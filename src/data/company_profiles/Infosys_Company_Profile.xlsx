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E:\Financial Modeling\"/>
    </mc:Choice>
  </mc:AlternateContent>
  <bookViews>
    <workbookView xWindow="0" yWindow="0" windowWidth="16815" windowHeight="7620" firstSheet="1" activeTab="1"/>
  </bookViews>
  <sheets>
    <sheet name="Input Sheet" sheetId="8" r:id="rId1"/>
    <sheet name="Teaser" sheetId="7" r:id="rId2"/>
    <sheet name="Share Price" sheetId="9" r:id="rId3"/>
    <sheet name="Profit &amp; Loss" sheetId="1" r:id="rId4"/>
    <sheet name="Quarters" sheetId="3" r:id="rId5"/>
    <sheet name="Balance Sheet" sheetId="2" r:id="rId6"/>
    <sheet name="Cash Flow" sheetId="4" r:id="rId7"/>
    <sheet name="Customization" sheetId="5" r:id="rId8"/>
    <sheet name="Data Sheet" sheetId="6" r:id="rId9"/>
  </sheets>
  <definedNames>
    <definedName name="_xlnm.Print_Area" localSheetId="1">Teaser!$A$1:$T$70</definedName>
    <definedName name="UPDATE">'Data Sheet'!$E$1</definedName>
  </definedNames>
  <calcPr calcId="162913"/>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47" i="7" l="1"/>
  <c r="K46" i="7"/>
  <c r="K44" i="7"/>
  <c r="K43" i="7"/>
  <c r="J37" i="9"/>
  <c r="E31" i="7"/>
  <c r="E32" i="7"/>
  <c r="E33" i="7"/>
  <c r="E34" i="7"/>
  <c r="E35" i="7"/>
  <c r="E36" i="7"/>
  <c r="E37" i="7"/>
  <c r="E38" i="7"/>
  <c r="E39" i="7"/>
  <c r="E30" i="7"/>
  <c r="C31" i="7"/>
  <c r="C32" i="7"/>
  <c r="C33" i="7"/>
  <c r="C34" i="7"/>
  <c r="C35" i="7"/>
  <c r="C36" i="7"/>
  <c r="C37" i="7"/>
  <c r="C38" i="7"/>
  <c r="C39" i="7"/>
  <c r="C30" i="7"/>
  <c r="B31" i="7"/>
  <c r="B32" i="7"/>
  <c r="B33" i="7"/>
  <c r="B34" i="7"/>
  <c r="B35" i="7"/>
  <c r="B36" i="7"/>
  <c r="B37" i="7"/>
  <c r="B38" i="7"/>
  <c r="B39" i="7"/>
  <c r="B30" i="7"/>
  <c r="F28" i="7"/>
  <c r="E28" i="7"/>
  <c r="C28" i="7"/>
  <c r="C28" i="9"/>
  <c r="K20" i="9"/>
  <c r="F31" i="7" s="1"/>
  <c r="K21" i="9"/>
  <c r="F32" i="7" s="1"/>
  <c r="K22" i="9"/>
  <c r="F33" i="7" s="1"/>
  <c r="K23" i="9"/>
  <c r="F34" i="7" s="1"/>
  <c r="K24" i="9"/>
  <c r="F35" i="7" s="1"/>
  <c r="K25" i="9"/>
  <c r="F36" i="7" s="1"/>
  <c r="K26" i="9"/>
  <c r="F37" i="7" s="1"/>
  <c r="K27" i="9"/>
  <c r="F38" i="7" s="1"/>
  <c r="K28" i="9"/>
  <c r="F39" i="7" s="1"/>
  <c r="K19" i="9"/>
  <c r="F30" i="7" s="1"/>
  <c r="D24" i="7"/>
  <c r="E24" i="7"/>
  <c r="F24" i="7"/>
  <c r="G24" i="7"/>
  <c r="D25" i="7"/>
  <c r="E25" i="7"/>
  <c r="F25" i="7"/>
  <c r="G25" i="7"/>
  <c r="D26" i="7"/>
  <c r="E26" i="7"/>
  <c r="F26" i="7"/>
  <c r="G26" i="7"/>
  <c r="C26" i="7"/>
  <c r="C25" i="7"/>
  <c r="C24" i="7"/>
  <c r="D23" i="7"/>
  <c r="E23" i="7"/>
  <c r="F23" i="7"/>
  <c r="G23" i="7"/>
  <c r="C23" i="7"/>
  <c r="D22" i="7"/>
  <c r="E22" i="7"/>
  <c r="F22" i="7"/>
  <c r="G22" i="7"/>
  <c r="C22" i="7"/>
  <c r="D21" i="7"/>
  <c r="E21" i="7"/>
  <c r="F21" i="7"/>
  <c r="G21" i="7"/>
  <c r="C21" i="7"/>
  <c r="C51" i="1"/>
  <c r="D51" i="1"/>
  <c r="E51" i="1"/>
  <c r="F51" i="1"/>
  <c r="G51" i="1"/>
  <c r="H51" i="1"/>
  <c r="I51" i="1"/>
  <c r="J51" i="1"/>
  <c r="K51" i="1"/>
  <c r="B51" i="1"/>
  <c r="K26" i="2"/>
  <c r="C26" i="2"/>
  <c r="D26" i="2"/>
  <c r="E26" i="2"/>
  <c r="F26" i="2"/>
  <c r="G26" i="2"/>
  <c r="H26" i="2"/>
  <c r="I26" i="2"/>
  <c r="J26" i="2"/>
  <c r="B26" i="2"/>
  <c r="K49" i="1"/>
  <c r="C49" i="1"/>
  <c r="D49" i="1"/>
  <c r="E49" i="1"/>
  <c r="F49" i="1"/>
  <c r="G49" i="1"/>
  <c r="H49" i="1"/>
  <c r="I49" i="1"/>
  <c r="J49" i="1"/>
  <c r="B49" i="1"/>
  <c r="C48" i="1"/>
  <c r="D48" i="1"/>
  <c r="E48" i="1"/>
  <c r="F48" i="1"/>
  <c r="G48" i="1"/>
  <c r="H48" i="1"/>
  <c r="I48" i="1"/>
  <c r="J48" i="1"/>
  <c r="K48" i="1"/>
  <c r="G46" i="1"/>
  <c r="K46" i="1"/>
  <c r="C45" i="1"/>
  <c r="D45" i="1"/>
  <c r="E45" i="1"/>
  <c r="F45" i="1"/>
  <c r="G45" i="1"/>
  <c r="H45" i="1"/>
  <c r="I45" i="1"/>
  <c r="J45" i="1"/>
  <c r="K45" i="1"/>
  <c r="B45" i="1"/>
  <c r="F44" i="1"/>
  <c r="F46" i="1" s="1"/>
  <c r="G44" i="1"/>
  <c r="H44" i="1"/>
  <c r="I44" i="1"/>
  <c r="I46" i="1" s="1"/>
  <c r="J44" i="1"/>
  <c r="J46" i="1" s="1"/>
  <c r="K44" i="1"/>
  <c r="E44" i="1"/>
  <c r="C43" i="1"/>
  <c r="C46" i="1" s="1"/>
  <c r="D43" i="1"/>
  <c r="D46" i="1" s="1"/>
  <c r="E43" i="1"/>
  <c r="E46" i="1" s="1"/>
  <c r="F43" i="1"/>
  <c r="G43" i="1"/>
  <c r="H43" i="1"/>
  <c r="H46" i="1" s="1"/>
  <c r="I43" i="1"/>
  <c r="J43" i="1"/>
  <c r="K43" i="1"/>
  <c r="B43" i="1"/>
  <c r="B46" i="1" s="1"/>
  <c r="K45" i="7" l="1"/>
  <c r="K49" i="7" s="1"/>
  <c r="C29" i="1"/>
  <c r="D29" i="1"/>
  <c r="E29" i="1"/>
  <c r="F29" i="1"/>
  <c r="G29" i="1"/>
  <c r="H29" i="1"/>
  <c r="I29" i="1"/>
  <c r="J29" i="1"/>
  <c r="K29" i="1"/>
  <c r="B29" i="1"/>
  <c r="C4" i="7"/>
  <c r="B2" i="7"/>
  <c r="B15" i="1" l="1"/>
  <c r="C15" i="1"/>
  <c r="D15" i="1"/>
  <c r="E15" i="1"/>
  <c r="F15" i="1"/>
  <c r="G15" i="1"/>
  <c r="H15" i="1"/>
  <c r="I15" i="1"/>
  <c r="J15" i="1"/>
  <c r="K15" i="1"/>
  <c r="L15" i="1"/>
  <c r="C6" i="3" l="1"/>
  <c r="D6" i="3"/>
  <c r="E6" i="3"/>
  <c r="F6" i="3"/>
  <c r="F14" i="3" s="1"/>
  <c r="G6" i="3"/>
  <c r="H6" i="3"/>
  <c r="I6" i="3"/>
  <c r="J6" i="3"/>
  <c r="K6" i="3"/>
  <c r="B6" i="3"/>
  <c r="C5" i="1"/>
  <c r="D5" i="1"/>
  <c r="E5" i="1"/>
  <c r="F5" i="1"/>
  <c r="G5" i="1"/>
  <c r="H5" i="1"/>
  <c r="I5" i="1"/>
  <c r="J5" i="1"/>
  <c r="K5" i="1"/>
  <c r="B5" i="1"/>
  <c r="B6" i="6"/>
  <c r="C17" i="2"/>
  <c r="D17" i="2"/>
  <c r="E17" i="2"/>
  <c r="F17" i="2"/>
  <c r="G17" i="2"/>
  <c r="H17" i="2"/>
  <c r="I17" i="2"/>
  <c r="J17" i="2"/>
  <c r="K17" i="2"/>
  <c r="C18" i="2"/>
  <c r="D18" i="2"/>
  <c r="E18" i="2"/>
  <c r="F18" i="2"/>
  <c r="F21" i="2" s="1"/>
  <c r="G18" i="2"/>
  <c r="H18" i="2"/>
  <c r="I18" i="2"/>
  <c r="J18" i="2"/>
  <c r="J21" i="2" s="1"/>
  <c r="K18" i="2"/>
  <c r="B17" i="2"/>
  <c r="C4" i="2"/>
  <c r="D4" i="2"/>
  <c r="E4" i="2"/>
  <c r="E5" i="2"/>
  <c r="F4" i="2"/>
  <c r="G4" i="2"/>
  <c r="H4" i="2"/>
  <c r="I4" i="2"/>
  <c r="I5" i="2"/>
  <c r="J4" i="2"/>
  <c r="J5" i="2"/>
  <c r="K4" i="2"/>
  <c r="K23" i="2" s="1"/>
  <c r="C5" i="2"/>
  <c r="D5" i="2"/>
  <c r="F5" i="2"/>
  <c r="G5" i="2"/>
  <c r="G23" i="2" s="1"/>
  <c r="H5" i="2"/>
  <c r="K5" i="2"/>
  <c r="C6" i="2"/>
  <c r="D6" i="2"/>
  <c r="E6" i="2"/>
  <c r="F6" i="2"/>
  <c r="G6" i="2"/>
  <c r="H6" i="2"/>
  <c r="I6" i="2"/>
  <c r="J6" i="2"/>
  <c r="K6" i="2"/>
  <c r="C7" i="2"/>
  <c r="C16" i="2" s="1"/>
  <c r="D7" i="2"/>
  <c r="E7" i="2"/>
  <c r="F7" i="2"/>
  <c r="G7" i="2"/>
  <c r="G16" i="2" s="1"/>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F16" i="2" s="1"/>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E14" i="3" s="1"/>
  <c r="F4" i="3"/>
  <c r="G4" i="3"/>
  <c r="H4" i="3"/>
  <c r="H14" i="3" s="1"/>
  <c r="I4" i="3"/>
  <c r="I14" i="3" s="1"/>
  <c r="J4" i="3"/>
  <c r="K4" i="3"/>
  <c r="K14" i="3" s="1"/>
  <c r="C5" i="3"/>
  <c r="D5" i="3"/>
  <c r="E5" i="3"/>
  <c r="F5" i="3"/>
  <c r="G5" i="3"/>
  <c r="H5" i="3"/>
  <c r="L5" i="1" s="1"/>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L10" i="1" s="1"/>
  <c r="I10" i="3"/>
  <c r="J10" i="3"/>
  <c r="K10" i="3"/>
  <c r="C11" i="3"/>
  <c r="D11" i="3"/>
  <c r="E11" i="3"/>
  <c r="F11" i="3"/>
  <c r="G11" i="3"/>
  <c r="H11" i="3"/>
  <c r="I11" i="3"/>
  <c r="J11" i="3"/>
  <c r="L11" i="1" s="1"/>
  <c r="K11" i="3"/>
  <c r="C12" i="3"/>
  <c r="D12" i="3"/>
  <c r="E12" i="3"/>
  <c r="F12" i="3"/>
  <c r="G12" i="3"/>
  <c r="H12" i="3"/>
  <c r="L12" i="1" s="1"/>
  <c r="I12" i="3"/>
  <c r="J12" i="3"/>
  <c r="K12" i="3"/>
  <c r="B5" i="3"/>
  <c r="C18" i="1"/>
  <c r="D18" i="1"/>
  <c r="E18" i="1"/>
  <c r="F18" i="1"/>
  <c r="G18" i="1"/>
  <c r="H18" i="1"/>
  <c r="I18" i="1"/>
  <c r="J18" i="1"/>
  <c r="K18" i="1"/>
  <c r="B18" i="1"/>
  <c r="C4" i="1"/>
  <c r="C30" i="1" s="1"/>
  <c r="D4" i="1"/>
  <c r="E4" i="1"/>
  <c r="E30" i="1" s="1"/>
  <c r="F4" i="1"/>
  <c r="F30" i="1" s="1"/>
  <c r="G4" i="1"/>
  <c r="G30" i="1" s="1"/>
  <c r="C10" i="7" s="1"/>
  <c r="H4" i="1"/>
  <c r="H30" i="1" s="1"/>
  <c r="D10" i="7" s="1"/>
  <c r="I4" i="1"/>
  <c r="I30" i="1" s="1"/>
  <c r="E10" i="7" s="1"/>
  <c r="J4" i="1"/>
  <c r="J30" i="1" s="1"/>
  <c r="F10" i="7" s="1"/>
  <c r="K4" i="1"/>
  <c r="K30" i="1" s="1"/>
  <c r="G10" i="7" s="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D12" i="1"/>
  <c r="E12" i="1"/>
  <c r="F12" i="1"/>
  <c r="G12" i="1"/>
  <c r="H12" i="1"/>
  <c r="I12" i="1"/>
  <c r="J12" i="1"/>
  <c r="K12" i="1"/>
  <c r="B7" i="1"/>
  <c r="B4" i="1"/>
  <c r="A1" i="1"/>
  <c r="A1" i="3" s="1"/>
  <c r="E1" i="6"/>
  <c r="H1" i="1" s="1"/>
  <c r="H16" i="2"/>
  <c r="D16" i="2"/>
  <c r="K16" i="2"/>
  <c r="K6" i="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C6" i="7" s="1"/>
  <c r="C19" i="7" s="1"/>
  <c r="H3" i="1"/>
  <c r="D6" i="7" s="1"/>
  <c r="D19" i="7" s="1"/>
  <c r="I3" i="1"/>
  <c r="E6" i="7" s="1"/>
  <c r="E19" i="7" s="1"/>
  <c r="J3" i="1"/>
  <c r="F6" i="7" s="1"/>
  <c r="F19" i="7" s="1"/>
  <c r="K3" i="1"/>
  <c r="G6" i="7" s="1"/>
  <c r="G19" i="7" s="1"/>
  <c r="B7" i="4"/>
  <c r="B6" i="4"/>
  <c r="B5" i="4"/>
  <c r="B4" i="4"/>
  <c r="B3" i="4"/>
  <c r="K21" i="2"/>
  <c r="I21" i="2"/>
  <c r="H21" i="2"/>
  <c r="G21" i="2"/>
  <c r="E21" i="2"/>
  <c r="D21" i="2"/>
  <c r="C21" i="2"/>
  <c r="B18" i="2"/>
  <c r="B21" i="2"/>
  <c r="B13" i="2"/>
  <c r="B16" i="2" s="1"/>
  <c r="B12" i="2"/>
  <c r="B11" i="2"/>
  <c r="B10" i="2"/>
  <c r="B8" i="2"/>
  <c r="B7" i="2"/>
  <c r="B6" i="2"/>
  <c r="B3" i="2"/>
  <c r="J14" i="3"/>
  <c r="B12" i="3"/>
  <c r="B11" i="3"/>
  <c r="B10" i="3"/>
  <c r="B9" i="3"/>
  <c r="B8" i="3"/>
  <c r="B7" i="3"/>
  <c r="B4" i="3"/>
  <c r="B3" i="3"/>
  <c r="B12" i="1"/>
  <c r="B11" i="1"/>
  <c r="B10" i="1"/>
  <c r="B9" i="1"/>
  <c r="B8" i="1"/>
  <c r="B3" i="1"/>
  <c r="G14" i="3"/>
  <c r="D20" i="2"/>
  <c r="E20" i="2"/>
  <c r="L6" i="1"/>
  <c r="H13" i="1" l="1"/>
  <c r="H36" i="1"/>
  <c r="D13" i="7" s="1"/>
  <c r="D23" i="2"/>
  <c r="D36" i="1"/>
  <c r="K13" i="1"/>
  <c r="K36" i="1"/>
  <c r="G13" i="7" s="1"/>
  <c r="G13" i="1"/>
  <c r="G36" i="1"/>
  <c r="C13" i="7" s="1"/>
  <c r="C13" i="1"/>
  <c r="C36" i="1"/>
  <c r="I23" i="1"/>
  <c r="B20" i="2"/>
  <c r="B30" i="1"/>
  <c r="J13" i="1"/>
  <c r="J36" i="1"/>
  <c r="F13" i="7" s="1"/>
  <c r="F13" i="1"/>
  <c r="F36" i="1"/>
  <c r="D27" i="1"/>
  <c r="D30" i="1"/>
  <c r="B13" i="1"/>
  <c r="B40" i="1" s="1"/>
  <c r="B36" i="1"/>
  <c r="K19" i="1"/>
  <c r="K34" i="1"/>
  <c r="G12" i="7" s="1"/>
  <c r="K32" i="1"/>
  <c r="G11" i="7" s="1"/>
  <c r="I13" i="1"/>
  <c r="I36" i="1"/>
  <c r="E13" i="7" s="1"/>
  <c r="E23" i="2"/>
  <c r="E36" i="1"/>
  <c r="F20" i="2"/>
  <c r="F27" i="1"/>
  <c r="E8" i="7"/>
  <c r="I27" i="1"/>
  <c r="E9" i="7" s="1"/>
  <c r="E6" i="1"/>
  <c r="E27" i="1"/>
  <c r="J27" i="1"/>
  <c r="F9" i="7" s="1"/>
  <c r="F8" i="7"/>
  <c r="H27" i="1"/>
  <c r="D9" i="7" s="1"/>
  <c r="D8" i="7"/>
  <c r="G8" i="7"/>
  <c r="K27" i="1"/>
  <c r="G9" i="7" s="1"/>
  <c r="G20" i="2"/>
  <c r="C8" i="7"/>
  <c r="G27" i="1"/>
  <c r="C9" i="7" s="1"/>
  <c r="C27" i="1"/>
  <c r="H23" i="1"/>
  <c r="C23" i="2"/>
  <c r="C6" i="1"/>
  <c r="K20" i="2"/>
  <c r="C20" i="2"/>
  <c r="B23" i="2"/>
  <c r="G6" i="1"/>
  <c r="J23" i="1"/>
  <c r="A1" i="2"/>
  <c r="A1" i="4" s="1"/>
  <c r="J23" i="2"/>
  <c r="D6" i="1"/>
  <c r="N11" i="1"/>
  <c r="M11" i="1"/>
  <c r="L13" i="1"/>
  <c r="L14" i="1" s="1"/>
  <c r="L25" i="1" s="1"/>
  <c r="H14" i="1"/>
  <c r="G24" i="2"/>
  <c r="E24" i="2"/>
  <c r="D13" i="1"/>
  <c r="B6" i="1"/>
  <c r="H23" i="2"/>
  <c r="L9" i="1"/>
  <c r="M9" i="1" s="1"/>
  <c r="L8" i="1"/>
  <c r="N8" i="1" s="1"/>
  <c r="L7" i="1"/>
  <c r="J24" i="2"/>
  <c r="D24" i="2"/>
  <c r="J20" i="2"/>
  <c r="J6" i="1"/>
  <c r="F23" i="2"/>
  <c r="E1" i="3"/>
  <c r="I16" i="2"/>
  <c r="K24" i="2"/>
  <c r="I24" i="2"/>
  <c r="L4" i="1"/>
  <c r="L23" i="1" s="1"/>
  <c r="B14" i="3"/>
  <c r="I6" i="1"/>
  <c r="E1" i="2"/>
  <c r="I14" i="1"/>
  <c r="C24" i="2"/>
  <c r="I23" i="2"/>
  <c r="H24" i="2"/>
  <c r="F24" i="2"/>
  <c r="M8" i="1"/>
  <c r="I20" i="2"/>
  <c r="H20" i="2"/>
  <c r="K23" i="1"/>
  <c r="H6" i="1"/>
  <c r="F6" i="1"/>
  <c r="E1" i="4"/>
  <c r="H19" i="1" l="1"/>
  <c r="H34" i="1"/>
  <c r="D12" i="7" s="1"/>
  <c r="H32" i="1"/>
  <c r="D11" i="7" s="1"/>
  <c r="N9" i="1"/>
  <c r="I19" i="1"/>
  <c r="I32" i="1"/>
  <c r="E11" i="7" s="1"/>
  <c r="I34" i="1"/>
  <c r="E12" i="7" s="1"/>
  <c r="F14" i="1"/>
  <c r="F40" i="1"/>
  <c r="J19" i="1"/>
  <c r="J24" i="1" s="1"/>
  <c r="J34" i="1"/>
  <c r="F12" i="7" s="1"/>
  <c r="J32" i="1"/>
  <c r="F11" i="7" s="1"/>
  <c r="B19" i="1"/>
  <c r="B48" i="1"/>
  <c r="B34" i="1"/>
  <c r="B32" i="1"/>
  <c r="D19" i="1"/>
  <c r="D32" i="1"/>
  <c r="D34" i="1"/>
  <c r="G19" i="1"/>
  <c r="G34" i="1"/>
  <c r="C12" i="7" s="1"/>
  <c r="G32" i="1"/>
  <c r="C11" i="7" s="1"/>
  <c r="C19" i="1"/>
  <c r="H24" i="1" s="1"/>
  <c r="C34" i="1"/>
  <c r="C32" i="1"/>
  <c r="G14" i="1"/>
  <c r="C14" i="7"/>
  <c r="G40" i="1"/>
  <c r="G38" i="1"/>
  <c r="C15" i="7" s="1"/>
  <c r="F19" i="1"/>
  <c r="I24" i="1" s="1"/>
  <c r="F34" i="1"/>
  <c r="F32" i="1"/>
  <c r="B14" i="1"/>
  <c r="E13" i="1"/>
  <c r="D40" i="1"/>
  <c r="D38" i="1"/>
  <c r="J14" i="1"/>
  <c r="J40" i="1"/>
  <c r="J38" i="1"/>
  <c r="F15" i="7" s="1"/>
  <c r="F14" i="7"/>
  <c r="E19" i="1"/>
  <c r="E32" i="1"/>
  <c r="E34" i="1"/>
  <c r="E14" i="7"/>
  <c r="I40" i="1"/>
  <c r="I38" i="1"/>
  <c r="E15" i="7" s="1"/>
  <c r="C40" i="1"/>
  <c r="C41" i="1" s="1"/>
  <c r="C38" i="1"/>
  <c r="C14" i="1"/>
  <c r="K14" i="1"/>
  <c r="K40" i="1"/>
  <c r="K38" i="1"/>
  <c r="G15" i="7" s="1"/>
  <c r="G14" i="7"/>
  <c r="H40" i="1"/>
  <c r="H38" i="1"/>
  <c r="D15" i="7" s="1"/>
  <c r="D14" i="7"/>
  <c r="M23" i="1"/>
  <c r="M4" i="1" s="1"/>
  <c r="N23" i="1"/>
  <c r="N4" i="1" s="1"/>
  <c r="J25" i="1"/>
  <c r="K25" i="1"/>
  <c r="M25" i="1" s="1"/>
  <c r="M14" i="1" s="1"/>
  <c r="L19" i="1"/>
  <c r="L24" i="1" s="1"/>
  <c r="D14" i="1"/>
  <c r="G16" i="7" l="1"/>
  <c r="K41" i="1"/>
  <c r="G17" i="7" s="1"/>
  <c r="D41" i="1"/>
  <c r="D16" i="7"/>
  <c r="H41" i="1"/>
  <c r="D17" i="7" s="1"/>
  <c r="F16" i="7"/>
  <c r="J41" i="1"/>
  <c r="F17" i="7" s="1"/>
  <c r="E14" i="1"/>
  <c r="I25" i="1" s="1"/>
  <c r="E40" i="1"/>
  <c r="E41" i="1" s="1"/>
  <c r="E38" i="1"/>
  <c r="I41" i="1"/>
  <c r="E17" i="7" s="1"/>
  <c r="E16" i="7"/>
  <c r="F41" i="1"/>
  <c r="C16" i="7"/>
  <c r="G41" i="1"/>
  <c r="C17" i="7" s="1"/>
  <c r="F38" i="1"/>
  <c r="K24" i="1"/>
  <c r="M24" i="1" s="1"/>
  <c r="M6" i="1" s="1"/>
  <c r="M10" i="1" l="1"/>
  <c r="M12" i="1" s="1"/>
  <c r="M13" i="1" s="1"/>
  <c r="M15" i="1" s="1"/>
  <c r="M5" i="1"/>
  <c r="N24" i="1"/>
  <c r="N6" i="1" s="1"/>
  <c r="H25" i="1"/>
  <c r="N25" i="1" s="1"/>
  <c r="N14" i="1" s="1"/>
  <c r="N5" i="1" l="1"/>
  <c r="N10" i="1"/>
  <c r="N12" i="1" s="1"/>
  <c r="N13" i="1" s="1"/>
  <c r="N15" i="1" s="1"/>
</calcChain>
</file>

<file path=xl/sharedStrings.xml><?xml version="1.0" encoding="utf-8"?>
<sst xmlns="http://schemas.openxmlformats.org/spreadsheetml/2006/main" count="254" uniqueCount="194">
  <si>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</si>
  <si>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</si>
  <si>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</si>
  <si>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</si>
  <si>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</si>
  <si>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</si>
  <si>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</si>
  <si>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</si>
  <si>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</si>
  <si>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</si>
  <si>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</si>
  <si>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</si>
  <si>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</si>
  <si>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</si>
  <si>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</si>
  <si>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</si>
  <si>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</si>
  <si>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</si>
  <si>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</si>
  <si>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</si>
  <si>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</si>
  <si>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</si>
  <si>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</si>
  <si>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</si>
  <si>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</si>
  <si>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</si>
  <si>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</si>
  <si>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</si>
  <si>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</si>
  <si>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</si>
  <si>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</si>
  <si>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</si>
  <si>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</si>
  <si>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</si>
  <si>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</si>
  <si>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</si>
  <si>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</si>
  <si>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</si>
  <si>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</si>
  <si>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</si>
  <si>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</si>
  <si>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</si>
  <si>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</si>
  <si>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</si>
  <si>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</si>
  <si>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</si>
  <si>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</si>
  <si>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</si>
  <si>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</si>
  <si>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</si>
  <si>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</si>
  <si>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</si>
  <si>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</si>
  <si>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</si>
  <si>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</si>
  <si>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</si>
  <si>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</si>
  <si>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</si>
  <si>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</si>
  <si>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</si>
  <si>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</si>
  <si>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</si>
  <si>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</si>
  <si>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INFOSYS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</si>
  <si>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</si>
  <si>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</si>
  <si>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</si>
  <si>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</si>
  <si>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</si>
  <si>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</si>
  <si>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</si>
  <si>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</si>
  <si>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</si>
  <si>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</si>
  <si>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</si>
  <si>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</si>
  <si>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</si>
  <si>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</si>
  <si>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</si>
  <si>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</si>
  <si>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</si>
  <si>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</si>
  <si>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</si>
  <si>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</si>
  <si>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</si>
  <si>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</si>
  <si>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</si>
  <si>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</si>
  <si>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</si>
  <si>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</si>
  <si>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</si>
  <si>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</si>
  <si>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</si>
  <si>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Company Description</t>
  </si>
  <si>
    <t>Key Financials Metrics</t>
  </si>
  <si>
    <t>Total Sales</t>
  </si>
  <si>
    <t>INR (Crs)</t>
  </si>
  <si>
    <t>Sales Growth (y-o-y)</t>
  </si>
  <si>
    <t>Sales Growth y-o-y</t>
  </si>
  <si>
    <t>Gross profit</t>
  </si>
  <si>
    <t>GPM</t>
  </si>
  <si>
    <t>Gross Profit Margins (%)</t>
  </si>
  <si>
    <t>EBITDA Margins</t>
  </si>
  <si>
    <t>EBIT Margins</t>
  </si>
  <si>
    <t>EBIT Margins (%)</t>
  </si>
  <si>
    <t>EBITDA Margins (%)</t>
  </si>
  <si>
    <t>Net Profit Margins</t>
  </si>
  <si>
    <t>Net Profit Margins (%)</t>
  </si>
  <si>
    <t>Earning per Share (in Rs)</t>
  </si>
  <si>
    <t>EPS Growth (y-o-y)</t>
  </si>
  <si>
    <t>EPS Growth</t>
  </si>
  <si>
    <t xml:space="preserve">Dividend Per Share </t>
  </si>
  <si>
    <t>Dividend Growth</t>
  </si>
  <si>
    <t>Dividend per Share (in Rs)</t>
  </si>
  <si>
    <t>DPS  Growth (y-o-y)</t>
  </si>
  <si>
    <t>Close</t>
  </si>
  <si>
    <t>Date</t>
  </si>
  <si>
    <t>Share Price - 5Y</t>
  </si>
  <si>
    <t>Infosys Limited is one of India's leading multinational information technology (IT) services and consulting companies, established in 1981 by N. R. Narayana Murthy and six other engineers. Headquartered in Bengaluru, the company provides a wide range of services, including IT consulting, software development, cloud computing, artificial intelligence (AI), data analytics, cybersecurity, digital transformation, and business process management. Infosys serves clients across various industries such as banking, healthcare, retail, manufacturing, telecommunications, and financial services in more than 50 countries.</t>
  </si>
  <si>
    <t>Debt</t>
  </si>
  <si>
    <t>Cash</t>
  </si>
  <si>
    <t>EV</t>
  </si>
  <si>
    <t>EV EBITDA</t>
  </si>
  <si>
    <t>EV Sales</t>
  </si>
  <si>
    <t>P/B</t>
  </si>
  <si>
    <t>Book Value</t>
  </si>
  <si>
    <t>Key Financial Ratios</t>
  </si>
  <si>
    <t>Price to Earnings</t>
  </si>
  <si>
    <t>EV/EBITDA</t>
  </si>
  <si>
    <t>EV/Sales</t>
  </si>
  <si>
    <t>Price to Book Value</t>
  </si>
  <si>
    <t>Retuen on Equity (%)</t>
  </si>
  <si>
    <t>Return on Capital Employed (%)</t>
  </si>
  <si>
    <t>Volumn</t>
  </si>
  <si>
    <t>Volumn-5Y</t>
  </si>
  <si>
    <t>Shareholder's name</t>
  </si>
  <si>
    <t>ICICI PRUDENTIAL MUTUAL FUND</t>
  </si>
  <si>
    <t>SBI MUTUAL FUND</t>
  </si>
  <si>
    <t>National Pension System Trust</t>
  </si>
  <si>
    <t>SUDHA GOPALAKRISHNAN</t>
  </si>
  <si>
    <t>NIPPON LIFE INDIA TRUSTEE</t>
  </si>
  <si>
    <t>HDFC MUTUAL FUND</t>
  </si>
  <si>
    <t>UTI MUTUAL FUND</t>
  </si>
  <si>
    <t>ROHAN MURTY</t>
  </si>
  <si>
    <t>SBI LIFE INSURANCE CO. LTD</t>
  </si>
  <si>
    <t>Top 10 Shareholders</t>
  </si>
  <si>
    <t xml:space="preserve"> </t>
  </si>
  <si>
    <t>N. Share (In Crs)</t>
  </si>
  <si>
    <t>Holding %</t>
  </si>
  <si>
    <t>Market Value  (In Crs)</t>
  </si>
  <si>
    <t>LIFE INSURANCE CORPORATION OF INDIA</t>
  </si>
  <si>
    <t>Promoters</t>
  </si>
  <si>
    <t>FIIs</t>
  </si>
  <si>
    <t>DIIs</t>
  </si>
  <si>
    <t>Public &amp; Government</t>
  </si>
  <si>
    <t>Others</t>
  </si>
  <si>
    <t>Shareholdering Pattern</t>
  </si>
  <si>
    <t xml:space="preserve">Capital Structure </t>
  </si>
  <si>
    <t>Share Price as on Jun-26</t>
  </si>
  <si>
    <t>Number of Share O/s</t>
  </si>
  <si>
    <t>Less: Cash &amp; Equivalents</t>
  </si>
  <si>
    <t>Add: Total Debt</t>
  </si>
  <si>
    <t>Add: Minority Interest</t>
  </si>
  <si>
    <t>Enterprise Value</t>
  </si>
  <si>
    <t>Managerial Remuneration</t>
  </si>
  <si>
    <t>Mr. Salil Parekh</t>
  </si>
  <si>
    <t>Remuneration</t>
  </si>
  <si>
    <t>Designation</t>
  </si>
  <si>
    <t>X of Median Salary</t>
  </si>
  <si>
    <t>Mr. D. Sundaram</t>
  </si>
  <si>
    <t>ID</t>
  </si>
  <si>
    <t>Mr. Michael Gibbs</t>
  </si>
  <si>
    <t>Mr.Bobby Parik</t>
  </si>
  <si>
    <t>Mrs. Chitra Nayak</t>
  </si>
  <si>
    <t>Mr. Govind Iyer</t>
  </si>
  <si>
    <t>Mrs. Helene Auriol Potier</t>
  </si>
  <si>
    <t>Mr. Nitin Paranjpe</t>
  </si>
  <si>
    <t>CEO &amp;MD</t>
  </si>
  <si>
    <t>Mr. Jayesh Sanghrajka</t>
  </si>
  <si>
    <t>CFO</t>
  </si>
  <si>
    <t>Mr. A.G.S. Manikantha</t>
  </si>
  <si>
    <t>CS</t>
  </si>
  <si>
    <t xml:space="preserve">Recent Updates </t>
  </si>
  <si>
    <t>Infosys partnered with Valmet to accelerate AI-powered IT transformation and improve operational efficiency.</t>
  </si>
  <si>
    <t>Infosys ADRs fell over 8% following Accenture’s reduced annual revenue forecast, reflecting weaker market sentiment toward the IT sector.</t>
  </si>
  <si>
    <t>CEO Salil Parekh said AI will gradually transform jobs, not replace engineers overnight.</t>
  </si>
  <si>
    <t>Shares of Infosys declined 1.45% ahead of Q4 results due to seasonal headwinds and a weakening rupee.</t>
  </si>
  <si>
    <t>Employee bonus payouts at Infosys were reduced in Q4 after the highest variable pay distribution in over three years.</t>
  </si>
  <si>
    <t>The Infosys–Anthropic partnership is expected to boost AI-driven growth in the Indian IT sector.</t>
  </si>
  <si>
    <r>
      <t>Infosys</t>
    </r>
    <r>
      <rPr>
        <sz val="11"/>
        <color theme="1"/>
        <rFont val="Calibri"/>
        <family val="2"/>
        <scheme val="minor"/>
      </rPr>
      <t xml:space="preserve"> dropped out of the list of India's top 10 most valuable companies by market capitalization.</t>
    </r>
  </si>
  <si>
    <t>Intel gained market attention following its AI partnership with Infosys, highlighting stronger AI collaboration opportunities.</t>
  </si>
  <si>
    <r>
      <t>Infosys</t>
    </r>
    <r>
      <rPr>
        <sz val="11"/>
        <color theme="1"/>
        <rFont val="Calibri"/>
        <family val="2"/>
        <scheme val="minor"/>
      </rPr>
      <t xml:space="preserve"> secured a $500 million GCC deal and plans to hire 4,500 employees in Hyderabad.</t>
    </r>
  </si>
  <si>
    <t>At 71, Nandan Nilekani continues to guide Infosys through two key leadership transitions.</t>
  </si>
  <si>
    <r>
      <t>Sources -</t>
    </r>
    <r>
      <rPr>
        <sz val="11"/>
        <color theme="1"/>
        <rFont val="Calibri"/>
        <family val="2"/>
        <scheme val="minor"/>
      </rPr>
      <t xml:space="preserve"> Screener.in, Infosys Integrated Annual Report FY 2025-2026 (Annexur 3), Infosys Investor Relations.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</si>
</sst>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_(* #,##0.00_);_(* \(#,##0.00\);_(* &quot;-&quot;??_);_(@_)"/>
    <numFmt numFmtId="165" formatCode="[$-409]mmm\-yy;@"/>
    <numFmt numFmtId="166" formatCode="0.00&quot;x&quot;"/>
    <numFmt numFmtId="167" formatCode="#,##0;\(#,##0\)"/>
    <numFmt numFmtId="168" formatCode="&quot;Mr&quot;General"/>
    <numFmt numFmtId="169" formatCode="0&quot;x&quot;"/>
  </numFmts>
  <fonts count="17"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2"/>
      <color rgb="FF202122"/>
      <name val="Arial"/>
      <family val="2"/>
    </font>
    <font>
      <b/>
      <sz val="14"/>
      <color theme="0"/>
      <name val="Calibri"/>
      <family val="2"/>
      <scheme val="minor"/>
    </font>
    <font>
      <b/>
      <sz val="12"/>
      <color theme="0"/>
      <name val="Calibri"/>
      <family val="2"/>
      <scheme val="minor"/>
    </font>
    <font>
      <i/>
      <sz val="11"/>
      <color theme="1"/>
      <name val="Calibri"/>
      <family val="2"/>
      <scheme val="minor"/>
    </font>
    <font>
      <b/>
      <sz val="11"/>
      <name val="Calibri"/>
      <family val="2"/>
    </font>
    <font>
      <sz val="11"/>
      <name val="Calibri"/>
      <family val="2"/>
    </font>
    <font>
      <i/>
      <sz val="10"/>
      <color theme="1"/>
      <name val="Calibri"/>
      <family val="2"/>
      <scheme val="minor"/>
    </font>
  </fonts>
  <fills count="10">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s>
  <borders count="6">
    <border>
      <left/>
      <right/>
      <top/>
      <bottom/>
      <diagonal/>
    </border>
    <border>
      <left/>
      <right/>
      <top/>
      <bottom style="hair">
        <color theme="0" tint="-0.499984740745262"/>
      </bottom>
      <diagonal/>
    </border>
    <border>
      <left/>
      <right/>
      <top style="hair">
        <color auto="1"/>
      </top>
      <bottom style="hair">
        <color auto="1"/>
      </bottom>
      <diagonal/>
    </border>
    <border>
      <left/>
      <right/>
      <top style="hair">
        <color auto="1"/>
      </top>
      <bottom/>
      <diagonal/>
    </border>
    <border>
      <left/>
      <right/>
      <top style="thin">
        <color auto="1"/>
      </top>
      <bottom style="medium">
        <color auto="1"/>
      </bottom>
      <diagonal/>
    </border>
    <border>
      <left/>
      <right/>
      <top style="medium">
        <color auto="1"/>
      </top>
      <bottom style="hair">
        <color auto="1"/>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02">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43" fontId="2" fillId="7" borderId="0" xfId="0" applyNumberFormat="1" applyFont="1" applyFill="1" applyAlignment="1">
      <alignment horizontal="center"/>
    </xf>
    <xf numFmtId="0" fontId="0" fillId="7" borderId="0" xfId="0" applyFill="1"/>
    <xf numFmtId="0" fontId="0" fillId="0" borderId="0" xfId="0" applyAlignment="1">
      <alignment wrapText="1"/>
    </xf>
    <xf numFmtId="0" fontId="10" fillId="0" borderId="0" xfId="0" applyFont="1" applyAlignment="1"/>
    <xf numFmtId="0" fontId="0" fillId="8" borderId="0" xfId="0" applyFill="1"/>
    <xf numFmtId="0" fontId="0" fillId="0" borderId="0" xfId="0" applyAlignment="1">
      <alignment vertical="top" wrapText="1"/>
    </xf>
    <xf numFmtId="0" fontId="0" fillId="0" borderId="1" xfId="0" applyBorder="1"/>
    <xf numFmtId="0" fontId="12" fillId="5" borderId="0" xfId="0" applyFont="1" applyFill="1"/>
    <xf numFmtId="17" fontId="2" fillId="5" borderId="0" xfId="0" applyNumberFormat="1" applyFont="1" applyFill="1"/>
    <xf numFmtId="10" fontId="0" fillId="0" borderId="0" xfId="6" applyNumberFormat="1" applyFont="1" applyBorder="1"/>
    <xf numFmtId="10" fontId="0" fillId="0" borderId="0" xfId="0" applyNumberFormat="1"/>
    <xf numFmtId="43" fontId="0" fillId="0" borderId="0" xfId="0" applyNumberFormat="1" applyFont="1" applyBorder="1"/>
    <xf numFmtId="0" fontId="14" fillId="0" borderId="0" xfId="0" applyFont="1" applyBorder="1" applyAlignment="1">
      <alignment horizontal="center" vertical="top"/>
    </xf>
    <xf numFmtId="0" fontId="0" fillId="9" borderId="0" xfId="0" applyFill="1"/>
    <xf numFmtId="0" fontId="0" fillId="6" borderId="0" xfId="0" applyFill="1"/>
    <xf numFmtId="2" fontId="0" fillId="0" borderId="0" xfId="0" applyNumberFormat="1"/>
    <xf numFmtId="14" fontId="15" fillId="0" borderId="0" xfId="0" applyNumberFormat="1" applyFont="1" applyBorder="1" applyAlignment="1">
      <alignment horizontal="center" vertical="top"/>
    </xf>
    <xf numFmtId="2" fontId="0" fillId="0" borderId="0" xfId="0" applyNumberFormat="1" applyFont="1" applyBorder="1"/>
    <xf numFmtId="43" fontId="0" fillId="0" borderId="0" xfId="0" applyNumberFormat="1" applyBorder="1"/>
    <xf numFmtId="17" fontId="12" fillId="5" borderId="0" xfId="0" applyNumberFormat="1" applyFont="1" applyFill="1"/>
    <xf numFmtId="9" fontId="0" fillId="0" borderId="0" xfId="0" applyNumberFormat="1"/>
    <xf numFmtId="10" fontId="0" fillId="0" borderId="0" xfId="6" applyNumberFormat="1" applyFont="1"/>
    <xf numFmtId="0" fontId="2" fillId="6" borderId="0" xfId="0" applyFont="1" applyFill="1"/>
    <xf numFmtId="0" fontId="0" fillId="0" borderId="0" xfId="0" applyAlignment="1">
      <alignment horizontal="left" vertical="top" wrapText="1"/>
    </xf>
    <xf numFmtId="0" fontId="12" fillId="6" borderId="0" xfId="0" applyFont="1" applyFill="1"/>
    <xf numFmtId="0" fontId="0" fillId="0" borderId="0" xfId="0" applyAlignment="1">
      <alignment horizontal="left" indent="1"/>
    </xf>
    <xf numFmtId="167" fontId="0" fillId="0" borderId="0" xfId="0" applyNumberFormat="1" applyAlignment="1">
      <alignment horizontal="right"/>
    </xf>
    <xf numFmtId="0" fontId="0" fillId="0" borderId="2" xfId="0" applyBorder="1"/>
    <xf numFmtId="3" fontId="0" fillId="0" borderId="2" xfId="0" applyNumberFormat="1" applyBorder="1"/>
    <xf numFmtId="0" fontId="13" fillId="0" borderId="2" xfId="0" applyFont="1" applyBorder="1"/>
    <xf numFmtId="10" fontId="13" fillId="0" borderId="2" xfId="0" applyNumberFormat="1" applyFont="1" applyBorder="1"/>
    <xf numFmtId="10" fontId="0" fillId="0" borderId="2" xfId="0" applyNumberFormat="1" applyBorder="1"/>
    <xf numFmtId="43" fontId="0" fillId="0" borderId="2" xfId="0" applyNumberFormat="1" applyBorder="1"/>
    <xf numFmtId="0" fontId="16" fillId="0" borderId="0" xfId="0" applyFont="1"/>
    <xf numFmtId="166" fontId="0" fillId="0" borderId="2" xfId="0" applyNumberFormat="1" applyBorder="1"/>
    <xf numFmtId="2" fontId="0" fillId="0" borderId="2" xfId="0" applyNumberFormat="1" applyBorder="1" applyAlignment="1">
      <alignment horizontal="right"/>
    </xf>
    <xf numFmtId="167" fontId="0" fillId="0" borderId="2" xfId="0" applyNumberFormat="1" applyBorder="1" applyAlignment="1">
      <alignment horizontal="right"/>
    </xf>
    <xf numFmtId="0" fontId="0" fillId="0" borderId="3" xfId="0" applyBorder="1"/>
    <xf numFmtId="0" fontId="0" fillId="0" borderId="0" xfId="0" applyAlignment="1">
      <alignment horizontal="left"/>
    </xf>
    <xf numFmtId="168" fontId="0" fillId="0" borderId="2" xfId="0" applyNumberFormat="1" applyBorder="1"/>
    <xf numFmtId="0" fontId="0" fillId="0" borderId="2" xfId="0" applyBorder="1" applyAlignment="1">
      <alignment horizontal="right"/>
    </xf>
    <xf numFmtId="167" fontId="0" fillId="0" borderId="3" xfId="0" applyNumberFormat="1" applyBorder="1" applyAlignment="1">
      <alignment horizontal="right"/>
    </xf>
    <xf numFmtId="0" fontId="1" fillId="0" borderId="4" xfId="0" applyFont="1" applyBorder="1"/>
    <xf numFmtId="167" fontId="1" fillId="0" borderId="4" xfId="0" applyNumberFormat="1" applyFont="1" applyBorder="1" applyAlignment="1">
      <alignment horizontal="right"/>
    </xf>
    <xf numFmtId="0" fontId="0" fillId="0" borderId="4" xfId="0" applyBorder="1" applyAlignment="1">
      <alignment horizontal="left" indent="1"/>
    </xf>
    <xf numFmtId="0" fontId="0" fillId="0" borderId="5" xfId="0" applyBorder="1" applyAlignment="1">
      <alignment horizontal="left" indent="1"/>
    </xf>
    <xf numFmtId="167" fontId="0" fillId="0" borderId="5" xfId="0" applyNumberFormat="1" applyBorder="1" applyAlignment="1">
      <alignment horizontal="right"/>
    </xf>
    <xf numFmtId="0" fontId="0" fillId="0" borderId="2" xfId="0" applyBorder="1" applyAlignment="1">
      <alignment horizontal="left" indent="1"/>
    </xf>
    <xf numFmtId="0" fontId="12" fillId="5" borderId="0" xfId="0" applyFont="1" applyFill="1" applyAlignment="1"/>
    <xf numFmtId="0" fontId="0" fillId="5" borderId="0" xfId="0" applyFill="1"/>
    <xf numFmtId="0" fontId="0" fillId="0" borderId="0" xfId="0" applyFont="1" applyAlignment="1">
      <alignment horizontal="left"/>
    </xf>
    <xf numFmtId="0" fontId="1" fillId="0" borderId="0" xfId="0" applyFont="1" applyAlignment="1">
      <alignment horizontal="left" wrapText="1"/>
    </xf>
    <xf numFmtId="0" fontId="0" fillId="0" borderId="0" xfId="0" applyAlignment="1">
      <alignment horizontal="left"/>
    </xf>
    <xf numFmtId="0" fontId="0" fillId="0" borderId="0" xfId="0" applyFont="1" applyAlignment="1">
      <alignment horizontal="left"/>
    </xf>
    <xf numFmtId="0" fontId="1" fillId="0" borderId="0" xfId="0" applyFont="1" applyAlignment="1">
      <alignment horizontal="left"/>
    </xf>
    <xf numFmtId="169" fontId="0" fillId="0" borderId="0" xfId="0" quotePrefix="1" applyNumberFormat="1" applyAlignment="1">
      <alignment horizontal="right"/>
    </xf>
    <xf numFmtId="169" fontId="0" fillId="0" borderId="0" xfId="0" applyNumberFormat="1" applyAlignment="1">
      <alignment horizontal="right"/>
    </xf>
    <xf numFmtId="0" fontId="0" fillId="0" borderId="2" xfId="0" applyBorder="1" applyAlignment="1">
      <alignment horizontal="right"/>
    </xf>
    <xf numFmtId="169" fontId="0" fillId="0" borderId="2" xfId="0" quotePrefix="1" applyNumberFormat="1" applyBorder="1" applyAlignment="1">
      <alignment horizontal="right"/>
    </xf>
    <xf numFmtId="169" fontId="0" fillId="0" borderId="2" xfId="0" applyNumberFormat="1" applyBorder="1" applyAlignment="1">
      <alignment horizontal="right"/>
    </xf>
    <xf numFmtId="0" fontId="12" fillId="6" borderId="0" xfId="0" applyFont="1" applyFill="1" applyAlignment="1">
      <alignment horizontal="center"/>
    </xf>
    <xf numFmtId="0" fontId="0" fillId="0" borderId="0" xfId="0" applyAlignment="1">
      <alignment horizontal="center"/>
    </xf>
    <xf numFmtId="0" fontId="0" fillId="0" borderId="1" xfId="0" applyBorder="1" applyAlignment="1">
      <alignment horizontal="left" vertical="top" wrapText="1"/>
    </xf>
    <xf numFmtId="43" fontId="11" fillId="6" borderId="0" xfId="0" applyNumberFormat="1" applyFont="1"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2" fontId="0" fillId="0" borderId="2" xfId="0" applyNumberFormat="1" applyBorder="1" applyAlignment="1">
      <alignment horizontal="right"/>
    </xf>
    <xf numFmtId="167" fontId="0" fillId="0" borderId="2" xfId="0" applyNumberFormat="1" applyBorder="1" applyAlignment="1">
      <alignment horizontal="right"/>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32881836106668"/>
          <c:y val="7.8571472762358138E-2"/>
          <c:w val="0.73747194125905868"/>
          <c:h val="0.73512583527887243"/>
        </c:manualLayout>
      </c:layout>
      <c:lineChart>
        <c:grouping val="standard"/>
        <c:varyColors val="0"/>
        <c:ser>
          <c:idx val="0"/>
          <c:order val="0"/>
          <c:tx>
            <c:strRef>
              <c:f>'Share Price'!$C$2</c:f>
              <c:strCache>
                <c:ptCount val="1"/>
                <c:pt idx="0">
                  <c:v>Close</c:v>
                </c:pt>
              </c:strCache>
            </c:strRef>
          </c:tx>
          <c:spPr>
            <a:ln w="28575" cap="rnd">
              <a:solidFill>
                <a:srgbClr val="002060"/>
              </a:solidFill>
              <a:round/>
            </a:ln>
            <a:effectLst/>
          </c:spPr>
          <c:marker>
            <c:symbol val="none"/>
          </c:marker>
          <c:cat>
            <c:numRef>
              <c:f>'Share Price'!$B$3:$B$1256</c:f>
              <c:numCache>
                <c:formatCode>m/d/yyyy</c:formatCode>
                <c:ptCount val="1254"/>
                <c:pt idx="0">
                  <c:v>44287</c:v>
                </c:pt>
                <c:pt idx="1">
                  <c:v>44291</c:v>
                </c:pt>
                <c:pt idx="2">
                  <c:v>44292</c:v>
                </c:pt>
                <c:pt idx="3">
                  <c:v>44293</c:v>
                </c:pt>
                <c:pt idx="4">
                  <c:v>44294</c:v>
                </c:pt>
                <c:pt idx="5">
                  <c:v>44295</c:v>
                </c:pt>
                <c:pt idx="6">
                  <c:v>44298</c:v>
                </c:pt>
                <c:pt idx="7">
                  <c:v>44299</c:v>
                </c:pt>
                <c:pt idx="8">
                  <c:v>44300</c:v>
                </c:pt>
                <c:pt idx="9">
                  <c:v>44301</c:v>
                </c:pt>
                <c:pt idx="10">
                  <c:v>44302</c:v>
                </c:pt>
                <c:pt idx="11">
                  <c:v>44305</c:v>
                </c:pt>
                <c:pt idx="12">
                  <c:v>44306</c:v>
                </c:pt>
                <c:pt idx="13">
                  <c:v>44307</c:v>
                </c:pt>
                <c:pt idx="14">
                  <c:v>44308</c:v>
                </c:pt>
                <c:pt idx="15">
                  <c:v>44309</c:v>
                </c:pt>
                <c:pt idx="16">
                  <c:v>44312</c:v>
                </c:pt>
                <c:pt idx="17">
                  <c:v>44313</c:v>
                </c:pt>
                <c:pt idx="18">
                  <c:v>44314</c:v>
                </c:pt>
                <c:pt idx="19">
                  <c:v>44315</c:v>
                </c:pt>
                <c:pt idx="20">
                  <c:v>44316</c:v>
                </c:pt>
                <c:pt idx="21">
                  <c:v>44319</c:v>
                </c:pt>
                <c:pt idx="22">
                  <c:v>44320</c:v>
                </c:pt>
                <c:pt idx="23">
                  <c:v>44321</c:v>
                </c:pt>
                <c:pt idx="24">
                  <c:v>44322</c:v>
                </c:pt>
                <c:pt idx="25">
                  <c:v>44323</c:v>
                </c:pt>
                <c:pt idx="26">
                  <c:v>44326</c:v>
                </c:pt>
                <c:pt idx="27">
                  <c:v>44327</c:v>
                </c:pt>
                <c:pt idx="28">
                  <c:v>44328</c:v>
                </c:pt>
                <c:pt idx="29">
                  <c:v>44329</c:v>
                </c:pt>
                <c:pt idx="30">
                  <c:v>44330</c:v>
                </c:pt>
                <c:pt idx="31">
                  <c:v>44333</c:v>
                </c:pt>
                <c:pt idx="32">
                  <c:v>44334</c:v>
                </c:pt>
                <c:pt idx="33">
                  <c:v>44335</c:v>
                </c:pt>
                <c:pt idx="34">
                  <c:v>44336</c:v>
                </c:pt>
                <c:pt idx="35">
                  <c:v>44337</c:v>
                </c:pt>
                <c:pt idx="36">
                  <c:v>44340</c:v>
                </c:pt>
                <c:pt idx="37">
                  <c:v>44341</c:v>
                </c:pt>
                <c:pt idx="38">
                  <c:v>44342</c:v>
                </c:pt>
                <c:pt idx="39">
                  <c:v>44343</c:v>
                </c:pt>
                <c:pt idx="40">
                  <c:v>44344</c:v>
                </c:pt>
                <c:pt idx="41">
                  <c:v>44348</c:v>
                </c:pt>
                <c:pt idx="42">
                  <c:v>44349</c:v>
                </c:pt>
                <c:pt idx="43">
                  <c:v>44350</c:v>
                </c:pt>
                <c:pt idx="44">
                  <c:v>44351</c:v>
                </c:pt>
                <c:pt idx="45">
                  <c:v>44354</c:v>
                </c:pt>
                <c:pt idx="46">
                  <c:v>44355</c:v>
                </c:pt>
                <c:pt idx="47">
                  <c:v>44356</c:v>
                </c:pt>
                <c:pt idx="48">
                  <c:v>44357</c:v>
                </c:pt>
                <c:pt idx="49">
                  <c:v>44358</c:v>
                </c:pt>
                <c:pt idx="50">
                  <c:v>44361</c:v>
                </c:pt>
                <c:pt idx="51">
                  <c:v>44362</c:v>
                </c:pt>
                <c:pt idx="52">
                  <c:v>44363</c:v>
                </c:pt>
                <c:pt idx="53">
                  <c:v>44364</c:v>
                </c:pt>
                <c:pt idx="54">
                  <c:v>44365</c:v>
                </c:pt>
                <c:pt idx="55">
                  <c:v>44368</c:v>
                </c:pt>
                <c:pt idx="56">
                  <c:v>44369</c:v>
                </c:pt>
                <c:pt idx="57">
                  <c:v>44370</c:v>
                </c:pt>
                <c:pt idx="58">
                  <c:v>44371</c:v>
                </c:pt>
                <c:pt idx="59">
                  <c:v>44372</c:v>
                </c:pt>
                <c:pt idx="60">
                  <c:v>44375</c:v>
                </c:pt>
                <c:pt idx="61">
                  <c:v>44376</c:v>
                </c:pt>
                <c:pt idx="62">
                  <c:v>44377</c:v>
                </c:pt>
                <c:pt idx="63">
                  <c:v>44378</c:v>
                </c:pt>
                <c:pt idx="64">
                  <c:v>44379</c:v>
                </c:pt>
                <c:pt idx="65">
                  <c:v>44383</c:v>
                </c:pt>
                <c:pt idx="66">
                  <c:v>44384</c:v>
                </c:pt>
                <c:pt idx="67">
                  <c:v>44385</c:v>
                </c:pt>
                <c:pt idx="68">
                  <c:v>44386</c:v>
                </c:pt>
                <c:pt idx="69">
                  <c:v>44389</c:v>
                </c:pt>
                <c:pt idx="70">
                  <c:v>44390</c:v>
                </c:pt>
                <c:pt idx="71">
                  <c:v>44391</c:v>
                </c:pt>
                <c:pt idx="72">
                  <c:v>44392</c:v>
                </c:pt>
                <c:pt idx="73">
                  <c:v>44393</c:v>
                </c:pt>
                <c:pt idx="74">
                  <c:v>44396</c:v>
                </c:pt>
                <c:pt idx="75">
                  <c:v>44397</c:v>
                </c:pt>
                <c:pt idx="76">
                  <c:v>44398</c:v>
                </c:pt>
                <c:pt idx="77">
                  <c:v>44399</c:v>
                </c:pt>
                <c:pt idx="78">
                  <c:v>44400</c:v>
                </c:pt>
                <c:pt idx="79">
                  <c:v>44403</c:v>
                </c:pt>
                <c:pt idx="80">
                  <c:v>44404</c:v>
                </c:pt>
                <c:pt idx="81">
                  <c:v>44405</c:v>
                </c:pt>
                <c:pt idx="82">
                  <c:v>44406</c:v>
                </c:pt>
                <c:pt idx="83">
                  <c:v>44407</c:v>
                </c:pt>
                <c:pt idx="84">
                  <c:v>44410</c:v>
                </c:pt>
                <c:pt idx="85">
                  <c:v>44411</c:v>
                </c:pt>
                <c:pt idx="86">
                  <c:v>44412</c:v>
                </c:pt>
                <c:pt idx="87">
                  <c:v>44413</c:v>
                </c:pt>
                <c:pt idx="88">
                  <c:v>44414</c:v>
                </c:pt>
                <c:pt idx="89">
                  <c:v>44417</c:v>
                </c:pt>
                <c:pt idx="90">
                  <c:v>44418</c:v>
                </c:pt>
                <c:pt idx="91">
                  <c:v>44419</c:v>
                </c:pt>
                <c:pt idx="92">
                  <c:v>44420</c:v>
                </c:pt>
                <c:pt idx="93">
                  <c:v>44421</c:v>
                </c:pt>
                <c:pt idx="94">
                  <c:v>44424</c:v>
                </c:pt>
                <c:pt idx="95">
                  <c:v>44425</c:v>
                </c:pt>
                <c:pt idx="96">
                  <c:v>44426</c:v>
                </c:pt>
                <c:pt idx="97">
                  <c:v>44427</c:v>
                </c:pt>
                <c:pt idx="98">
                  <c:v>44428</c:v>
                </c:pt>
                <c:pt idx="99">
                  <c:v>44431</c:v>
                </c:pt>
                <c:pt idx="100">
                  <c:v>44432</c:v>
                </c:pt>
                <c:pt idx="101">
                  <c:v>44433</c:v>
                </c:pt>
                <c:pt idx="102">
                  <c:v>44434</c:v>
                </c:pt>
                <c:pt idx="103">
                  <c:v>44435</c:v>
                </c:pt>
                <c:pt idx="104">
                  <c:v>44438</c:v>
                </c:pt>
                <c:pt idx="105">
                  <c:v>44439</c:v>
                </c:pt>
                <c:pt idx="106">
                  <c:v>44440</c:v>
                </c:pt>
                <c:pt idx="107">
                  <c:v>44441</c:v>
                </c:pt>
                <c:pt idx="108">
                  <c:v>44442</c:v>
                </c:pt>
                <c:pt idx="109">
                  <c:v>44446</c:v>
                </c:pt>
                <c:pt idx="110">
                  <c:v>44447</c:v>
                </c:pt>
                <c:pt idx="111">
                  <c:v>44448</c:v>
                </c:pt>
                <c:pt idx="112">
                  <c:v>44449</c:v>
                </c:pt>
                <c:pt idx="113">
                  <c:v>44452</c:v>
                </c:pt>
                <c:pt idx="114">
                  <c:v>44453</c:v>
                </c:pt>
                <c:pt idx="115">
                  <c:v>44454</c:v>
                </c:pt>
                <c:pt idx="116">
                  <c:v>44455</c:v>
                </c:pt>
                <c:pt idx="117">
                  <c:v>44456</c:v>
                </c:pt>
                <c:pt idx="118">
                  <c:v>44459</c:v>
                </c:pt>
                <c:pt idx="119">
                  <c:v>44460</c:v>
                </c:pt>
                <c:pt idx="120">
                  <c:v>44461</c:v>
                </c:pt>
                <c:pt idx="121">
                  <c:v>44462</c:v>
                </c:pt>
                <c:pt idx="122">
                  <c:v>44463</c:v>
                </c:pt>
                <c:pt idx="123">
                  <c:v>44466</c:v>
                </c:pt>
                <c:pt idx="124">
                  <c:v>44467</c:v>
                </c:pt>
                <c:pt idx="125">
                  <c:v>44468</c:v>
                </c:pt>
                <c:pt idx="126">
                  <c:v>44469</c:v>
                </c:pt>
                <c:pt idx="127">
                  <c:v>44470</c:v>
                </c:pt>
                <c:pt idx="128">
                  <c:v>44473</c:v>
                </c:pt>
                <c:pt idx="129">
                  <c:v>44474</c:v>
                </c:pt>
                <c:pt idx="130">
                  <c:v>44475</c:v>
                </c:pt>
                <c:pt idx="131">
                  <c:v>44476</c:v>
                </c:pt>
                <c:pt idx="132">
                  <c:v>44477</c:v>
                </c:pt>
                <c:pt idx="133">
                  <c:v>44480</c:v>
                </c:pt>
                <c:pt idx="134">
                  <c:v>44481</c:v>
                </c:pt>
                <c:pt idx="135">
                  <c:v>44482</c:v>
                </c:pt>
                <c:pt idx="136">
                  <c:v>44483</c:v>
                </c:pt>
                <c:pt idx="137">
                  <c:v>44484</c:v>
                </c:pt>
                <c:pt idx="138">
                  <c:v>44487</c:v>
                </c:pt>
                <c:pt idx="139">
                  <c:v>44488</c:v>
                </c:pt>
                <c:pt idx="140">
                  <c:v>44489</c:v>
                </c:pt>
                <c:pt idx="141">
                  <c:v>44490</c:v>
                </c:pt>
                <c:pt idx="142">
                  <c:v>44491</c:v>
                </c:pt>
                <c:pt idx="143">
                  <c:v>44494</c:v>
                </c:pt>
                <c:pt idx="144">
                  <c:v>44495</c:v>
                </c:pt>
                <c:pt idx="145">
                  <c:v>44496</c:v>
                </c:pt>
                <c:pt idx="146">
                  <c:v>44497</c:v>
                </c:pt>
                <c:pt idx="147">
                  <c:v>44498</c:v>
                </c:pt>
                <c:pt idx="148">
                  <c:v>44501</c:v>
                </c:pt>
                <c:pt idx="149">
                  <c:v>44502</c:v>
                </c:pt>
                <c:pt idx="150">
                  <c:v>44503</c:v>
                </c:pt>
                <c:pt idx="151">
                  <c:v>44504</c:v>
                </c:pt>
                <c:pt idx="152">
                  <c:v>44505</c:v>
                </c:pt>
                <c:pt idx="153">
                  <c:v>44508</c:v>
                </c:pt>
                <c:pt idx="154">
                  <c:v>44509</c:v>
                </c:pt>
                <c:pt idx="155">
                  <c:v>44510</c:v>
                </c:pt>
                <c:pt idx="156">
                  <c:v>44511</c:v>
                </c:pt>
                <c:pt idx="157">
                  <c:v>44512</c:v>
                </c:pt>
                <c:pt idx="158">
                  <c:v>44515</c:v>
                </c:pt>
                <c:pt idx="159">
                  <c:v>44516</c:v>
                </c:pt>
                <c:pt idx="160">
                  <c:v>44517</c:v>
                </c:pt>
                <c:pt idx="161">
                  <c:v>44518</c:v>
                </c:pt>
                <c:pt idx="162">
                  <c:v>44519</c:v>
                </c:pt>
                <c:pt idx="163">
                  <c:v>44522</c:v>
                </c:pt>
                <c:pt idx="164">
                  <c:v>44523</c:v>
                </c:pt>
                <c:pt idx="165">
                  <c:v>44524</c:v>
                </c:pt>
                <c:pt idx="166">
                  <c:v>44526</c:v>
                </c:pt>
                <c:pt idx="167">
                  <c:v>44529</c:v>
                </c:pt>
                <c:pt idx="168">
                  <c:v>44530</c:v>
                </c:pt>
                <c:pt idx="169">
                  <c:v>44531</c:v>
                </c:pt>
                <c:pt idx="170">
                  <c:v>44532</c:v>
                </c:pt>
                <c:pt idx="171">
                  <c:v>44533</c:v>
                </c:pt>
                <c:pt idx="172">
                  <c:v>44536</c:v>
                </c:pt>
                <c:pt idx="173">
                  <c:v>44537</c:v>
                </c:pt>
                <c:pt idx="174">
                  <c:v>44538</c:v>
                </c:pt>
                <c:pt idx="175">
                  <c:v>44539</c:v>
                </c:pt>
                <c:pt idx="176">
                  <c:v>44540</c:v>
                </c:pt>
                <c:pt idx="177">
                  <c:v>44543</c:v>
                </c:pt>
                <c:pt idx="178">
                  <c:v>44544</c:v>
                </c:pt>
                <c:pt idx="179">
                  <c:v>44545</c:v>
                </c:pt>
                <c:pt idx="180">
                  <c:v>44546</c:v>
                </c:pt>
                <c:pt idx="181">
                  <c:v>44547</c:v>
                </c:pt>
                <c:pt idx="182">
                  <c:v>44550</c:v>
                </c:pt>
                <c:pt idx="183">
                  <c:v>44551</c:v>
                </c:pt>
                <c:pt idx="184">
                  <c:v>44552</c:v>
                </c:pt>
                <c:pt idx="185">
                  <c:v>44553</c:v>
                </c:pt>
                <c:pt idx="186">
                  <c:v>44557</c:v>
                </c:pt>
                <c:pt idx="187">
                  <c:v>44558</c:v>
                </c:pt>
                <c:pt idx="188">
                  <c:v>44559</c:v>
                </c:pt>
                <c:pt idx="189">
                  <c:v>44560</c:v>
                </c:pt>
                <c:pt idx="190">
                  <c:v>44561</c:v>
                </c:pt>
                <c:pt idx="191">
                  <c:v>44564</c:v>
                </c:pt>
                <c:pt idx="192">
                  <c:v>44565</c:v>
                </c:pt>
                <c:pt idx="193">
                  <c:v>44566</c:v>
                </c:pt>
                <c:pt idx="194">
                  <c:v>44567</c:v>
                </c:pt>
                <c:pt idx="195">
                  <c:v>44568</c:v>
                </c:pt>
                <c:pt idx="196">
                  <c:v>44571</c:v>
                </c:pt>
                <c:pt idx="197">
                  <c:v>44572</c:v>
                </c:pt>
                <c:pt idx="198">
                  <c:v>44573</c:v>
                </c:pt>
                <c:pt idx="199">
                  <c:v>44574</c:v>
                </c:pt>
                <c:pt idx="200">
                  <c:v>44575</c:v>
                </c:pt>
                <c:pt idx="201">
                  <c:v>44579</c:v>
                </c:pt>
                <c:pt idx="202">
                  <c:v>44580</c:v>
                </c:pt>
                <c:pt idx="203">
                  <c:v>44581</c:v>
                </c:pt>
                <c:pt idx="204">
                  <c:v>44582</c:v>
                </c:pt>
                <c:pt idx="205">
                  <c:v>44585</c:v>
                </c:pt>
                <c:pt idx="206">
                  <c:v>44586</c:v>
                </c:pt>
                <c:pt idx="207">
                  <c:v>44587</c:v>
                </c:pt>
                <c:pt idx="208">
                  <c:v>44588</c:v>
                </c:pt>
                <c:pt idx="209">
                  <c:v>44589</c:v>
                </c:pt>
                <c:pt idx="210">
                  <c:v>44592</c:v>
                </c:pt>
                <c:pt idx="211">
                  <c:v>44593</c:v>
                </c:pt>
                <c:pt idx="212">
                  <c:v>44594</c:v>
                </c:pt>
                <c:pt idx="213">
                  <c:v>44595</c:v>
                </c:pt>
                <c:pt idx="214">
                  <c:v>44596</c:v>
                </c:pt>
                <c:pt idx="215">
                  <c:v>44599</c:v>
                </c:pt>
                <c:pt idx="216">
                  <c:v>44600</c:v>
                </c:pt>
                <c:pt idx="217">
                  <c:v>44601</c:v>
                </c:pt>
                <c:pt idx="218">
                  <c:v>44602</c:v>
                </c:pt>
                <c:pt idx="219">
                  <c:v>44603</c:v>
                </c:pt>
                <c:pt idx="220">
                  <c:v>44606</c:v>
                </c:pt>
                <c:pt idx="221">
                  <c:v>44607</c:v>
                </c:pt>
                <c:pt idx="222">
                  <c:v>44608</c:v>
                </c:pt>
                <c:pt idx="223">
                  <c:v>44609</c:v>
                </c:pt>
                <c:pt idx="224">
                  <c:v>44610</c:v>
                </c:pt>
                <c:pt idx="225">
                  <c:v>44614</c:v>
                </c:pt>
                <c:pt idx="226">
                  <c:v>44615</c:v>
                </c:pt>
                <c:pt idx="227">
                  <c:v>44616</c:v>
                </c:pt>
                <c:pt idx="228">
                  <c:v>44617</c:v>
                </c:pt>
                <c:pt idx="229">
                  <c:v>44620</c:v>
                </c:pt>
                <c:pt idx="230">
                  <c:v>44621</c:v>
                </c:pt>
                <c:pt idx="231">
                  <c:v>44622</c:v>
                </c:pt>
                <c:pt idx="232">
                  <c:v>44623</c:v>
                </c:pt>
                <c:pt idx="233">
                  <c:v>44624</c:v>
                </c:pt>
                <c:pt idx="234">
                  <c:v>44627</c:v>
                </c:pt>
                <c:pt idx="235">
                  <c:v>44628</c:v>
                </c:pt>
                <c:pt idx="236">
                  <c:v>44629</c:v>
                </c:pt>
                <c:pt idx="237">
                  <c:v>44630</c:v>
                </c:pt>
                <c:pt idx="238">
                  <c:v>44631</c:v>
                </c:pt>
                <c:pt idx="239">
                  <c:v>44634</c:v>
                </c:pt>
                <c:pt idx="240">
                  <c:v>44635</c:v>
                </c:pt>
                <c:pt idx="241">
                  <c:v>44636</c:v>
                </c:pt>
                <c:pt idx="242">
                  <c:v>44637</c:v>
                </c:pt>
                <c:pt idx="243">
                  <c:v>44638</c:v>
                </c:pt>
                <c:pt idx="244">
                  <c:v>44641</c:v>
                </c:pt>
                <c:pt idx="245">
                  <c:v>44642</c:v>
                </c:pt>
                <c:pt idx="246">
                  <c:v>44643</c:v>
                </c:pt>
                <c:pt idx="247">
                  <c:v>44644</c:v>
                </c:pt>
                <c:pt idx="248">
                  <c:v>44645</c:v>
                </c:pt>
                <c:pt idx="249">
                  <c:v>44648</c:v>
                </c:pt>
                <c:pt idx="250">
                  <c:v>44649</c:v>
                </c:pt>
                <c:pt idx="251">
                  <c:v>44650</c:v>
                </c:pt>
                <c:pt idx="252">
                  <c:v>44651</c:v>
                </c:pt>
                <c:pt idx="253">
                  <c:v>44652</c:v>
                </c:pt>
                <c:pt idx="254">
                  <c:v>44655</c:v>
                </c:pt>
                <c:pt idx="255">
                  <c:v>44656</c:v>
                </c:pt>
                <c:pt idx="256">
                  <c:v>44657</c:v>
                </c:pt>
                <c:pt idx="257">
                  <c:v>44658</c:v>
                </c:pt>
                <c:pt idx="258">
                  <c:v>44659</c:v>
                </c:pt>
                <c:pt idx="259">
                  <c:v>44662</c:v>
                </c:pt>
                <c:pt idx="260">
                  <c:v>44663</c:v>
                </c:pt>
                <c:pt idx="261">
                  <c:v>44664</c:v>
                </c:pt>
                <c:pt idx="262">
                  <c:v>44665</c:v>
                </c:pt>
                <c:pt idx="263">
                  <c:v>44669</c:v>
                </c:pt>
                <c:pt idx="264">
                  <c:v>44670</c:v>
                </c:pt>
                <c:pt idx="265">
                  <c:v>44671</c:v>
                </c:pt>
                <c:pt idx="266">
                  <c:v>44672</c:v>
                </c:pt>
                <c:pt idx="267">
                  <c:v>44673</c:v>
                </c:pt>
                <c:pt idx="268">
                  <c:v>44676</c:v>
                </c:pt>
                <c:pt idx="269">
                  <c:v>44677</c:v>
                </c:pt>
                <c:pt idx="270">
                  <c:v>44678</c:v>
                </c:pt>
                <c:pt idx="271">
                  <c:v>44679</c:v>
                </c:pt>
                <c:pt idx="272">
                  <c:v>44680</c:v>
                </c:pt>
                <c:pt idx="273">
                  <c:v>44683</c:v>
                </c:pt>
                <c:pt idx="274">
                  <c:v>44684</c:v>
                </c:pt>
                <c:pt idx="275">
                  <c:v>44685</c:v>
                </c:pt>
                <c:pt idx="276">
                  <c:v>44686</c:v>
                </c:pt>
                <c:pt idx="277">
                  <c:v>44687</c:v>
                </c:pt>
                <c:pt idx="278">
                  <c:v>44690</c:v>
                </c:pt>
                <c:pt idx="279">
                  <c:v>44691</c:v>
                </c:pt>
                <c:pt idx="280">
                  <c:v>44692</c:v>
                </c:pt>
                <c:pt idx="281">
                  <c:v>44693</c:v>
                </c:pt>
                <c:pt idx="282">
                  <c:v>44694</c:v>
                </c:pt>
                <c:pt idx="283">
                  <c:v>44697</c:v>
                </c:pt>
                <c:pt idx="284">
                  <c:v>44698</c:v>
                </c:pt>
                <c:pt idx="285">
                  <c:v>44699</c:v>
                </c:pt>
                <c:pt idx="286">
                  <c:v>44700</c:v>
                </c:pt>
                <c:pt idx="287">
                  <c:v>44701</c:v>
                </c:pt>
                <c:pt idx="288">
                  <c:v>44704</c:v>
                </c:pt>
                <c:pt idx="289">
                  <c:v>44705</c:v>
                </c:pt>
                <c:pt idx="290">
                  <c:v>44706</c:v>
                </c:pt>
                <c:pt idx="291">
                  <c:v>44707</c:v>
                </c:pt>
                <c:pt idx="292">
                  <c:v>44708</c:v>
                </c:pt>
                <c:pt idx="293">
                  <c:v>44712</c:v>
                </c:pt>
                <c:pt idx="294">
                  <c:v>44713</c:v>
                </c:pt>
                <c:pt idx="295">
                  <c:v>44714</c:v>
                </c:pt>
                <c:pt idx="296">
                  <c:v>44715</c:v>
                </c:pt>
                <c:pt idx="297">
                  <c:v>44718</c:v>
                </c:pt>
                <c:pt idx="298">
                  <c:v>44719</c:v>
                </c:pt>
                <c:pt idx="299">
                  <c:v>44720</c:v>
                </c:pt>
                <c:pt idx="300">
                  <c:v>44721</c:v>
                </c:pt>
                <c:pt idx="301">
                  <c:v>44722</c:v>
                </c:pt>
                <c:pt idx="302">
                  <c:v>44725</c:v>
                </c:pt>
                <c:pt idx="303">
                  <c:v>44726</c:v>
                </c:pt>
                <c:pt idx="304">
                  <c:v>44727</c:v>
                </c:pt>
                <c:pt idx="305">
                  <c:v>44728</c:v>
                </c:pt>
                <c:pt idx="306">
                  <c:v>44729</c:v>
                </c:pt>
                <c:pt idx="307">
                  <c:v>44733</c:v>
                </c:pt>
                <c:pt idx="308">
                  <c:v>44734</c:v>
                </c:pt>
                <c:pt idx="309">
                  <c:v>44735</c:v>
                </c:pt>
                <c:pt idx="310">
                  <c:v>44736</c:v>
                </c:pt>
                <c:pt idx="311">
                  <c:v>44739</c:v>
                </c:pt>
                <c:pt idx="312">
                  <c:v>44740</c:v>
                </c:pt>
                <c:pt idx="313">
                  <c:v>44741</c:v>
                </c:pt>
                <c:pt idx="314">
                  <c:v>44742</c:v>
                </c:pt>
                <c:pt idx="315">
                  <c:v>44743</c:v>
                </c:pt>
                <c:pt idx="316">
                  <c:v>44747</c:v>
                </c:pt>
                <c:pt idx="317">
                  <c:v>44748</c:v>
                </c:pt>
                <c:pt idx="318">
                  <c:v>44749</c:v>
                </c:pt>
                <c:pt idx="319">
                  <c:v>44750</c:v>
                </c:pt>
                <c:pt idx="320">
                  <c:v>44753</c:v>
                </c:pt>
                <c:pt idx="321">
                  <c:v>44754</c:v>
                </c:pt>
                <c:pt idx="322">
                  <c:v>44755</c:v>
                </c:pt>
                <c:pt idx="323">
                  <c:v>44756</c:v>
                </c:pt>
                <c:pt idx="324">
                  <c:v>44757</c:v>
                </c:pt>
                <c:pt idx="325">
                  <c:v>44760</c:v>
                </c:pt>
                <c:pt idx="326">
                  <c:v>44761</c:v>
                </c:pt>
                <c:pt idx="327">
                  <c:v>44762</c:v>
                </c:pt>
                <c:pt idx="328">
                  <c:v>44763</c:v>
                </c:pt>
                <c:pt idx="329">
                  <c:v>44764</c:v>
                </c:pt>
                <c:pt idx="330">
                  <c:v>44767</c:v>
                </c:pt>
                <c:pt idx="331">
                  <c:v>44768</c:v>
                </c:pt>
                <c:pt idx="332">
                  <c:v>44769</c:v>
                </c:pt>
                <c:pt idx="333">
                  <c:v>44770</c:v>
                </c:pt>
                <c:pt idx="334">
                  <c:v>44771</c:v>
                </c:pt>
                <c:pt idx="335">
                  <c:v>44774</c:v>
                </c:pt>
                <c:pt idx="336">
                  <c:v>44775</c:v>
                </c:pt>
                <c:pt idx="337">
                  <c:v>44776</c:v>
                </c:pt>
                <c:pt idx="338">
                  <c:v>44777</c:v>
                </c:pt>
                <c:pt idx="339">
                  <c:v>44778</c:v>
                </c:pt>
                <c:pt idx="340">
                  <c:v>44781</c:v>
                </c:pt>
                <c:pt idx="341">
                  <c:v>44782</c:v>
                </c:pt>
                <c:pt idx="342">
                  <c:v>44783</c:v>
                </c:pt>
                <c:pt idx="343">
                  <c:v>44784</c:v>
                </c:pt>
                <c:pt idx="344">
                  <c:v>44785</c:v>
                </c:pt>
                <c:pt idx="345">
                  <c:v>44788</c:v>
                </c:pt>
                <c:pt idx="346">
                  <c:v>44789</c:v>
                </c:pt>
                <c:pt idx="347">
                  <c:v>44790</c:v>
                </c:pt>
                <c:pt idx="348">
                  <c:v>44791</c:v>
                </c:pt>
                <c:pt idx="349">
                  <c:v>44792</c:v>
                </c:pt>
                <c:pt idx="350">
                  <c:v>44795</c:v>
                </c:pt>
                <c:pt idx="351">
                  <c:v>44796</c:v>
                </c:pt>
                <c:pt idx="352">
                  <c:v>44797</c:v>
                </c:pt>
                <c:pt idx="353">
                  <c:v>44798</c:v>
                </c:pt>
                <c:pt idx="354">
                  <c:v>44799</c:v>
                </c:pt>
                <c:pt idx="355">
                  <c:v>44802</c:v>
                </c:pt>
                <c:pt idx="356">
                  <c:v>44803</c:v>
                </c:pt>
                <c:pt idx="357">
                  <c:v>44804</c:v>
                </c:pt>
                <c:pt idx="358">
                  <c:v>44805</c:v>
                </c:pt>
                <c:pt idx="359">
                  <c:v>44806</c:v>
                </c:pt>
                <c:pt idx="360">
                  <c:v>44810</c:v>
                </c:pt>
                <c:pt idx="361">
                  <c:v>44811</c:v>
                </c:pt>
                <c:pt idx="362">
                  <c:v>44812</c:v>
                </c:pt>
                <c:pt idx="363">
                  <c:v>44813</c:v>
                </c:pt>
                <c:pt idx="364">
                  <c:v>44816</c:v>
                </c:pt>
                <c:pt idx="365">
                  <c:v>44817</c:v>
                </c:pt>
                <c:pt idx="366">
                  <c:v>44818</c:v>
                </c:pt>
                <c:pt idx="367">
                  <c:v>44819</c:v>
                </c:pt>
                <c:pt idx="368">
                  <c:v>44820</c:v>
                </c:pt>
                <c:pt idx="369">
                  <c:v>44823</c:v>
                </c:pt>
                <c:pt idx="370">
                  <c:v>44824</c:v>
                </c:pt>
                <c:pt idx="371">
                  <c:v>44825</c:v>
                </c:pt>
                <c:pt idx="372">
                  <c:v>44826</c:v>
                </c:pt>
                <c:pt idx="373">
                  <c:v>44827</c:v>
                </c:pt>
                <c:pt idx="374">
                  <c:v>44830</c:v>
                </c:pt>
                <c:pt idx="375">
                  <c:v>44831</c:v>
                </c:pt>
                <c:pt idx="376">
                  <c:v>44832</c:v>
                </c:pt>
                <c:pt idx="377">
                  <c:v>44833</c:v>
                </c:pt>
                <c:pt idx="378">
                  <c:v>44834</c:v>
                </c:pt>
                <c:pt idx="379">
                  <c:v>44837</c:v>
                </c:pt>
                <c:pt idx="380">
                  <c:v>44838</c:v>
                </c:pt>
                <c:pt idx="381">
                  <c:v>44839</c:v>
                </c:pt>
                <c:pt idx="382">
                  <c:v>44840</c:v>
                </c:pt>
                <c:pt idx="383">
                  <c:v>44841</c:v>
                </c:pt>
                <c:pt idx="384">
                  <c:v>44844</c:v>
                </c:pt>
                <c:pt idx="385">
                  <c:v>44845</c:v>
                </c:pt>
                <c:pt idx="386">
                  <c:v>44846</c:v>
                </c:pt>
                <c:pt idx="387">
                  <c:v>44847</c:v>
                </c:pt>
                <c:pt idx="388">
                  <c:v>44848</c:v>
                </c:pt>
                <c:pt idx="389">
                  <c:v>44851</c:v>
                </c:pt>
                <c:pt idx="390">
                  <c:v>44852</c:v>
                </c:pt>
                <c:pt idx="391">
                  <c:v>44853</c:v>
                </c:pt>
                <c:pt idx="392">
                  <c:v>44854</c:v>
                </c:pt>
                <c:pt idx="393">
                  <c:v>44855</c:v>
                </c:pt>
                <c:pt idx="394">
                  <c:v>44858</c:v>
                </c:pt>
                <c:pt idx="395">
                  <c:v>44859</c:v>
                </c:pt>
                <c:pt idx="396">
                  <c:v>44860</c:v>
                </c:pt>
                <c:pt idx="397">
                  <c:v>44861</c:v>
                </c:pt>
                <c:pt idx="398">
                  <c:v>44862</c:v>
                </c:pt>
                <c:pt idx="399">
                  <c:v>44865</c:v>
                </c:pt>
                <c:pt idx="400">
                  <c:v>44866</c:v>
                </c:pt>
                <c:pt idx="401">
                  <c:v>44867</c:v>
                </c:pt>
                <c:pt idx="402">
                  <c:v>44868</c:v>
                </c:pt>
                <c:pt idx="403">
                  <c:v>44869</c:v>
                </c:pt>
                <c:pt idx="404">
                  <c:v>44872</c:v>
                </c:pt>
                <c:pt idx="405">
                  <c:v>44873</c:v>
                </c:pt>
                <c:pt idx="406">
                  <c:v>44874</c:v>
                </c:pt>
                <c:pt idx="407">
                  <c:v>44875</c:v>
                </c:pt>
                <c:pt idx="408">
                  <c:v>44876</c:v>
                </c:pt>
                <c:pt idx="409">
                  <c:v>44879</c:v>
                </c:pt>
                <c:pt idx="410">
                  <c:v>44880</c:v>
                </c:pt>
                <c:pt idx="411">
                  <c:v>44881</c:v>
                </c:pt>
                <c:pt idx="412">
                  <c:v>44882</c:v>
                </c:pt>
                <c:pt idx="413">
                  <c:v>44883</c:v>
                </c:pt>
                <c:pt idx="414">
                  <c:v>44886</c:v>
                </c:pt>
                <c:pt idx="415">
                  <c:v>44887</c:v>
                </c:pt>
                <c:pt idx="416">
                  <c:v>44888</c:v>
                </c:pt>
                <c:pt idx="417">
                  <c:v>44890</c:v>
                </c:pt>
                <c:pt idx="418">
                  <c:v>44893</c:v>
                </c:pt>
                <c:pt idx="419">
                  <c:v>44894</c:v>
                </c:pt>
                <c:pt idx="420">
                  <c:v>44895</c:v>
                </c:pt>
                <c:pt idx="421">
                  <c:v>44896</c:v>
                </c:pt>
                <c:pt idx="422">
                  <c:v>44897</c:v>
                </c:pt>
                <c:pt idx="423">
                  <c:v>44900</c:v>
                </c:pt>
                <c:pt idx="424">
                  <c:v>44901</c:v>
                </c:pt>
                <c:pt idx="425">
                  <c:v>44902</c:v>
                </c:pt>
                <c:pt idx="426">
                  <c:v>44903</c:v>
                </c:pt>
                <c:pt idx="427">
                  <c:v>44904</c:v>
                </c:pt>
                <c:pt idx="428">
                  <c:v>44907</c:v>
                </c:pt>
                <c:pt idx="429">
                  <c:v>44908</c:v>
                </c:pt>
                <c:pt idx="430">
                  <c:v>44909</c:v>
                </c:pt>
                <c:pt idx="431">
                  <c:v>44910</c:v>
                </c:pt>
                <c:pt idx="432">
                  <c:v>44911</c:v>
                </c:pt>
                <c:pt idx="433">
                  <c:v>44914</c:v>
                </c:pt>
                <c:pt idx="434">
                  <c:v>44915</c:v>
                </c:pt>
                <c:pt idx="435">
                  <c:v>44916</c:v>
                </c:pt>
                <c:pt idx="436">
                  <c:v>44917</c:v>
                </c:pt>
                <c:pt idx="437">
                  <c:v>44918</c:v>
                </c:pt>
                <c:pt idx="438">
                  <c:v>44922</c:v>
                </c:pt>
                <c:pt idx="439">
                  <c:v>44923</c:v>
                </c:pt>
                <c:pt idx="440">
                  <c:v>44924</c:v>
                </c:pt>
                <c:pt idx="441">
                  <c:v>44925</c:v>
                </c:pt>
                <c:pt idx="442">
                  <c:v>44929</c:v>
                </c:pt>
                <c:pt idx="443">
                  <c:v>44930</c:v>
                </c:pt>
                <c:pt idx="444">
                  <c:v>44931</c:v>
                </c:pt>
                <c:pt idx="445">
                  <c:v>44932</c:v>
                </c:pt>
                <c:pt idx="446">
                  <c:v>44935</c:v>
                </c:pt>
                <c:pt idx="447">
                  <c:v>44936</c:v>
                </c:pt>
                <c:pt idx="448">
                  <c:v>44937</c:v>
                </c:pt>
                <c:pt idx="449">
                  <c:v>44938</c:v>
                </c:pt>
                <c:pt idx="450">
                  <c:v>44939</c:v>
                </c:pt>
                <c:pt idx="451">
                  <c:v>44943</c:v>
                </c:pt>
                <c:pt idx="452">
                  <c:v>44944</c:v>
                </c:pt>
                <c:pt idx="453">
                  <c:v>44945</c:v>
                </c:pt>
                <c:pt idx="454">
                  <c:v>44946</c:v>
                </c:pt>
                <c:pt idx="455">
                  <c:v>44949</c:v>
                </c:pt>
                <c:pt idx="456">
                  <c:v>44950</c:v>
                </c:pt>
                <c:pt idx="457">
                  <c:v>44951</c:v>
                </c:pt>
                <c:pt idx="458">
                  <c:v>44952</c:v>
                </c:pt>
                <c:pt idx="459">
                  <c:v>44953</c:v>
                </c:pt>
                <c:pt idx="460">
                  <c:v>44956</c:v>
                </c:pt>
                <c:pt idx="461">
                  <c:v>44957</c:v>
                </c:pt>
                <c:pt idx="462">
                  <c:v>44958</c:v>
                </c:pt>
                <c:pt idx="463">
                  <c:v>44959</c:v>
                </c:pt>
                <c:pt idx="464">
                  <c:v>44960</c:v>
                </c:pt>
                <c:pt idx="465">
                  <c:v>44963</c:v>
                </c:pt>
                <c:pt idx="466">
                  <c:v>44964</c:v>
                </c:pt>
                <c:pt idx="467">
                  <c:v>44965</c:v>
                </c:pt>
                <c:pt idx="468">
                  <c:v>44966</c:v>
                </c:pt>
                <c:pt idx="469">
                  <c:v>44967</c:v>
                </c:pt>
                <c:pt idx="470">
                  <c:v>44970</c:v>
                </c:pt>
                <c:pt idx="471">
                  <c:v>44971</c:v>
                </c:pt>
                <c:pt idx="472">
                  <c:v>44972</c:v>
                </c:pt>
                <c:pt idx="473">
                  <c:v>44973</c:v>
                </c:pt>
                <c:pt idx="474">
                  <c:v>44974</c:v>
                </c:pt>
                <c:pt idx="475">
                  <c:v>44978</c:v>
                </c:pt>
                <c:pt idx="476">
                  <c:v>44979</c:v>
                </c:pt>
                <c:pt idx="477">
                  <c:v>44980</c:v>
                </c:pt>
                <c:pt idx="478">
                  <c:v>44981</c:v>
                </c:pt>
                <c:pt idx="479">
                  <c:v>44984</c:v>
                </c:pt>
                <c:pt idx="480">
                  <c:v>44985</c:v>
                </c:pt>
                <c:pt idx="481">
                  <c:v>44986</c:v>
                </c:pt>
                <c:pt idx="482">
                  <c:v>44987</c:v>
                </c:pt>
                <c:pt idx="483">
                  <c:v>44988</c:v>
                </c:pt>
                <c:pt idx="484">
                  <c:v>44991</c:v>
                </c:pt>
                <c:pt idx="485">
                  <c:v>44992</c:v>
                </c:pt>
                <c:pt idx="486">
                  <c:v>44993</c:v>
                </c:pt>
                <c:pt idx="487">
                  <c:v>44994</c:v>
                </c:pt>
                <c:pt idx="488">
                  <c:v>44995</c:v>
                </c:pt>
                <c:pt idx="489">
                  <c:v>44998</c:v>
                </c:pt>
                <c:pt idx="490">
                  <c:v>44999</c:v>
                </c:pt>
                <c:pt idx="491">
                  <c:v>45000</c:v>
                </c:pt>
                <c:pt idx="492">
                  <c:v>45001</c:v>
                </c:pt>
                <c:pt idx="493">
                  <c:v>45002</c:v>
                </c:pt>
                <c:pt idx="494">
                  <c:v>45005</c:v>
                </c:pt>
                <c:pt idx="495">
                  <c:v>45006</c:v>
                </c:pt>
                <c:pt idx="496">
                  <c:v>45007</c:v>
                </c:pt>
                <c:pt idx="497">
                  <c:v>45008</c:v>
                </c:pt>
                <c:pt idx="498">
                  <c:v>45009</c:v>
                </c:pt>
                <c:pt idx="499">
                  <c:v>45012</c:v>
                </c:pt>
                <c:pt idx="500">
                  <c:v>45013</c:v>
                </c:pt>
                <c:pt idx="501">
                  <c:v>45014</c:v>
                </c:pt>
                <c:pt idx="502">
                  <c:v>45015</c:v>
                </c:pt>
                <c:pt idx="503">
                  <c:v>45016</c:v>
                </c:pt>
                <c:pt idx="504">
                  <c:v>45019</c:v>
                </c:pt>
                <c:pt idx="505">
                  <c:v>45020</c:v>
                </c:pt>
                <c:pt idx="506">
                  <c:v>45021</c:v>
                </c:pt>
                <c:pt idx="507">
                  <c:v>45022</c:v>
                </c:pt>
                <c:pt idx="508">
                  <c:v>45026</c:v>
                </c:pt>
                <c:pt idx="509">
                  <c:v>45027</c:v>
                </c:pt>
                <c:pt idx="510">
                  <c:v>45028</c:v>
                </c:pt>
                <c:pt idx="511">
                  <c:v>45029</c:v>
                </c:pt>
                <c:pt idx="512">
                  <c:v>45030</c:v>
                </c:pt>
                <c:pt idx="513">
                  <c:v>45033</c:v>
                </c:pt>
                <c:pt idx="514">
                  <c:v>45034</c:v>
                </c:pt>
                <c:pt idx="515">
                  <c:v>45035</c:v>
                </c:pt>
                <c:pt idx="516">
                  <c:v>45036</c:v>
                </c:pt>
                <c:pt idx="517">
                  <c:v>45037</c:v>
                </c:pt>
                <c:pt idx="518">
                  <c:v>45040</c:v>
                </c:pt>
                <c:pt idx="519">
                  <c:v>45041</c:v>
                </c:pt>
                <c:pt idx="520">
                  <c:v>45042</c:v>
                </c:pt>
                <c:pt idx="521">
                  <c:v>45043</c:v>
                </c:pt>
                <c:pt idx="522">
                  <c:v>45044</c:v>
                </c:pt>
                <c:pt idx="523">
                  <c:v>45047</c:v>
                </c:pt>
                <c:pt idx="524">
                  <c:v>45048</c:v>
                </c:pt>
                <c:pt idx="525">
                  <c:v>45049</c:v>
                </c:pt>
                <c:pt idx="526">
                  <c:v>45050</c:v>
                </c:pt>
                <c:pt idx="527">
                  <c:v>45051</c:v>
                </c:pt>
                <c:pt idx="528">
                  <c:v>45054</c:v>
                </c:pt>
                <c:pt idx="529">
                  <c:v>45055</c:v>
                </c:pt>
                <c:pt idx="530">
                  <c:v>45056</c:v>
                </c:pt>
                <c:pt idx="531">
                  <c:v>45057</c:v>
                </c:pt>
                <c:pt idx="532">
                  <c:v>45058</c:v>
                </c:pt>
                <c:pt idx="533">
                  <c:v>45061</c:v>
                </c:pt>
                <c:pt idx="534">
                  <c:v>45062</c:v>
                </c:pt>
                <c:pt idx="535">
                  <c:v>45063</c:v>
                </c:pt>
                <c:pt idx="536">
                  <c:v>45064</c:v>
                </c:pt>
                <c:pt idx="537">
                  <c:v>45065</c:v>
                </c:pt>
                <c:pt idx="538">
                  <c:v>45068</c:v>
                </c:pt>
                <c:pt idx="539">
                  <c:v>45069</c:v>
                </c:pt>
                <c:pt idx="540">
                  <c:v>45070</c:v>
                </c:pt>
                <c:pt idx="541">
                  <c:v>45071</c:v>
                </c:pt>
                <c:pt idx="542">
                  <c:v>45072</c:v>
                </c:pt>
                <c:pt idx="543">
                  <c:v>45076</c:v>
                </c:pt>
                <c:pt idx="544">
                  <c:v>45077</c:v>
                </c:pt>
                <c:pt idx="545">
                  <c:v>45078</c:v>
                </c:pt>
                <c:pt idx="546">
                  <c:v>45079</c:v>
                </c:pt>
                <c:pt idx="547">
                  <c:v>45082</c:v>
                </c:pt>
                <c:pt idx="548">
                  <c:v>45083</c:v>
                </c:pt>
                <c:pt idx="549">
                  <c:v>45084</c:v>
                </c:pt>
                <c:pt idx="550">
                  <c:v>45085</c:v>
                </c:pt>
                <c:pt idx="551">
                  <c:v>45086</c:v>
                </c:pt>
                <c:pt idx="552">
                  <c:v>45089</c:v>
                </c:pt>
                <c:pt idx="553">
                  <c:v>45090</c:v>
                </c:pt>
                <c:pt idx="554">
                  <c:v>45091</c:v>
                </c:pt>
                <c:pt idx="555">
                  <c:v>45092</c:v>
                </c:pt>
                <c:pt idx="556">
                  <c:v>45093</c:v>
                </c:pt>
                <c:pt idx="557">
                  <c:v>45097</c:v>
                </c:pt>
                <c:pt idx="558">
                  <c:v>45098</c:v>
                </c:pt>
                <c:pt idx="559">
                  <c:v>45099</c:v>
                </c:pt>
                <c:pt idx="560">
                  <c:v>45100</c:v>
                </c:pt>
                <c:pt idx="561">
                  <c:v>45103</c:v>
                </c:pt>
                <c:pt idx="562">
                  <c:v>45104</c:v>
                </c:pt>
                <c:pt idx="563">
                  <c:v>45105</c:v>
                </c:pt>
                <c:pt idx="564">
                  <c:v>45106</c:v>
                </c:pt>
                <c:pt idx="565">
                  <c:v>45107</c:v>
                </c:pt>
                <c:pt idx="566">
                  <c:v>45110</c:v>
                </c:pt>
                <c:pt idx="567">
                  <c:v>45112</c:v>
                </c:pt>
                <c:pt idx="568">
                  <c:v>45113</c:v>
                </c:pt>
                <c:pt idx="569">
                  <c:v>45114</c:v>
                </c:pt>
                <c:pt idx="570">
                  <c:v>45117</c:v>
                </c:pt>
                <c:pt idx="571">
                  <c:v>45118</c:v>
                </c:pt>
                <c:pt idx="572">
                  <c:v>45119</c:v>
                </c:pt>
                <c:pt idx="573">
                  <c:v>45120</c:v>
                </c:pt>
                <c:pt idx="574">
                  <c:v>45121</c:v>
                </c:pt>
                <c:pt idx="575">
                  <c:v>45124</c:v>
                </c:pt>
                <c:pt idx="576">
                  <c:v>45125</c:v>
                </c:pt>
                <c:pt idx="577">
                  <c:v>45126</c:v>
                </c:pt>
                <c:pt idx="578">
                  <c:v>45127</c:v>
                </c:pt>
                <c:pt idx="579">
                  <c:v>45128</c:v>
                </c:pt>
                <c:pt idx="580">
                  <c:v>45131</c:v>
                </c:pt>
                <c:pt idx="581">
                  <c:v>45132</c:v>
                </c:pt>
                <c:pt idx="582">
                  <c:v>45133</c:v>
                </c:pt>
                <c:pt idx="583">
                  <c:v>45134</c:v>
                </c:pt>
                <c:pt idx="584">
                  <c:v>45135</c:v>
                </c:pt>
                <c:pt idx="585">
                  <c:v>45138</c:v>
                </c:pt>
                <c:pt idx="586">
                  <c:v>45139</c:v>
                </c:pt>
                <c:pt idx="587">
                  <c:v>45140</c:v>
                </c:pt>
                <c:pt idx="588">
                  <c:v>45141</c:v>
                </c:pt>
                <c:pt idx="589">
                  <c:v>45142</c:v>
                </c:pt>
                <c:pt idx="590">
                  <c:v>45145</c:v>
                </c:pt>
                <c:pt idx="591">
                  <c:v>45146</c:v>
                </c:pt>
                <c:pt idx="592">
                  <c:v>45147</c:v>
                </c:pt>
                <c:pt idx="593">
                  <c:v>45148</c:v>
                </c:pt>
                <c:pt idx="594">
                  <c:v>45149</c:v>
                </c:pt>
                <c:pt idx="595">
                  <c:v>45152</c:v>
                </c:pt>
                <c:pt idx="596">
                  <c:v>45153</c:v>
                </c:pt>
                <c:pt idx="597">
                  <c:v>45154</c:v>
                </c:pt>
                <c:pt idx="598">
                  <c:v>45155</c:v>
                </c:pt>
                <c:pt idx="599">
                  <c:v>45156</c:v>
                </c:pt>
                <c:pt idx="600">
                  <c:v>45159</c:v>
                </c:pt>
                <c:pt idx="601">
                  <c:v>45160</c:v>
                </c:pt>
                <c:pt idx="602">
                  <c:v>45161</c:v>
                </c:pt>
                <c:pt idx="603">
                  <c:v>45162</c:v>
                </c:pt>
                <c:pt idx="604">
                  <c:v>45163</c:v>
                </c:pt>
                <c:pt idx="605">
                  <c:v>45166</c:v>
                </c:pt>
                <c:pt idx="606">
                  <c:v>45167</c:v>
                </c:pt>
                <c:pt idx="607">
                  <c:v>45168</c:v>
                </c:pt>
                <c:pt idx="608">
                  <c:v>45169</c:v>
                </c:pt>
                <c:pt idx="609">
                  <c:v>45170</c:v>
                </c:pt>
                <c:pt idx="610">
                  <c:v>45174</c:v>
                </c:pt>
                <c:pt idx="611">
                  <c:v>45175</c:v>
                </c:pt>
                <c:pt idx="612">
                  <c:v>45176</c:v>
                </c:pt>
                <c:pt idx="613">
                  <c:v>45177</c:v>
                </c:pt>
                <c:pt idx="614">
                  <c:v>45180</c:v>
                </c:pt>
                <c:pt idx="615">
                  <c:v>45181</c:v>
                </c:pt>
                <c:pt idx="616">
                  <c:v>45182</c:v>
                </c:pt>
                <c:pt idx="617">
                  <c:v>45183</c:v>
                </c:pt>
                <c:pt idx="618">
                  <c:v>45184</c:v>
                </c:pt>
                <c:pt idx="619">
                  <c:v>45187</c:v>
                </c:pt>
                <c:pt idx="620">
                  <c:v>45188</c:v>
                </c:pt>
                <c:pt idx="621">
                  <c:v>45189</c:v>
                </c:pt>
                <c:pt idx="622">
                  <c:v>45190</c:v>
                </c:pt>
                <c:pt idx="623">
                  <c:v>45191</c:v>
                </c:pt>
                <c:pt idx="624">
                  <c:v>45194</c:v>
                </c:pt>
                <c:pt idx="625">
                  <c:v>45195</c:v>
                </c:pt>
                <c:pt idx="626">
                  <c:v>45196</c:v>
                </c:pt>
                <c:pt idx="627">
                  <c:v>45197</c:v>
                </c:pt>
                <c:pt idx="628">
                  <c:v>45198</c:v>
                </c:pt>
                <c:pt idx="629">
                  <c:v>45201</c:v>
                </c:pt>
                <c:pt idx="630">
                  <c:v>45202</c:v>
                </c:pt>
                <c:pt idx="631">
                  <c:v>45203</c:v>
                </c:pt>
                <c:pt idx="632">
                  <c:v>45204</c:v>
                </c:pt>
                <c:pt idx="633">
                  <c:v>45205</c:v>
                </c:pt>
                <c:pt idx="634">
                  <c:v>45208</c:v>
                </c:pt>
                <c:pt idx="635">
                  <c:v>45209</c:v>
                </c:pt>
                <c:pt idx="636">
                  <c:v>45210</c:v>
                </c:pt>
                <c:pt idx="637">
                  <c:v>45211</c:v>
                </c:pt>
                <c:pt idx="638">
                  <c:v>45212</c:v>
                </c:pt>
                <c:pt idx="639">
                  <c:v>45215</c:v>
                </c:pt>
                <c:pt idx="640">
                  <c:v>45216</c:v>
                </c:pt>
                <c:pt idx="641">
                  <c:v>45217</c:v>
                </c:pt>
                <c:pt idx="642">
                  <c:v>45218</c:v>
                </c:pt>
                <c:pt idx="643">
                  <c:v>45219</c:v>
                </c:pt>
                <c:pt idx="644">
                  <c:v>45222</c:v>
                </c:pt>
                <c:pt idx="645">
                  <c:v>45223</c:v>
                </c:pt>
                <c:pt idx="646">
                  <c:v>45224</c:v>
                </c:pt>
                <c:pt idx="647">
                  <c:v>45225</c:v>
                </c:pt>
                <c:pt idx="648">
                  <c:v>45226</c:v>
                </c:pt>
                <c:pt idx="649">
                  <c:v>45229</c:v>
                </c:pt>
                <c:pt idx="650">
                  <c:v>45230</c:v>
                </c:pt>
                <c:pt idx="651">
                  <c:v>45231</c:v>
                </c:pt>
                <c:pt idx="652">
                  <c:v>45232</c:v>
                </c:pt>
                <c:pt idx="653">
                  <c:v>45233</c:v>
                </c:pt>
                <c:pt idx="654">
                  <c:v>45236</c:v>
                </c:pt>
                <c:pt idx="655">
                  <c:v>45237</c:v>
                </c:pt>
                <c:pt idx="656">
                  <c:v>45238</c:v>
                </c:pt>
                <c:pt idx="657">
                  <c:v>45239</c:v>
                </c:pt>
                <c:pt idx="658">
                  <c:v>45240</c:v>
                </c:pt>
                <c:pt idx="659">
                  <c:v>45243</c:v>
                </c:pt>
                <c:pt idx="660">
                  <c:v>45244</c:v>
                </c:pt>
                <c:pt idx="661">
                  <c:v>45245</c:v>
                </c:pt>
                <c:pt idx="662">
                  <c:v>45246</c:v>
                </c:pt>
                <c:pt idx="663">
                  <c:v>45247</c:v>
                </c:pt>
                <c:pt idx="664">
                  <c:v>45250</c:v>
                </c:pt>
                <c:pt idx="665">
                  <c:v>45251</c:v>
                </c:pt>
                <c:pt idx="666">
                  <c:v>45252</c:v>
                </c:pt>
                <c:pt idx="667">
                  <c:v>45254</c:v>
                </c:pt>
                <c:pt idx="668">
                  <c:v>45257</c:v>
                </c:pt>
                <c:pt idx="669">
                  <c:v>45258</c:v>
                </c:pt>
                <c:pt idx="670">
                  <c:v>45259</c:v>
                </c:pt>
                <c:pt idx="671">
                  <c:v>45260</c:v>
                </c:pt>
                <c:pt idx="672">
                  <c:v>45261</c:v>
                </c:pt>
                <c:pt idx="673">
                  <c:v>45264</c:v>
                </c:pt>
                <c:pt idx="674">
                  <c:v>45265</c:v>
                </c:pt>
                <c:pt idx="675">
                  <c:v>45266</c:v>
                </c:pt>
                <c:pt idx="676">
                  <c:v>45267</c:v>
                </c:pt>
                <c:pt idx="677">
                  <c:v>45268</c:v>
                </c:pt>
                <c:pt idx="678">
                  <c:v>45271</c:v>
                </c:pt>
                <c:pt idx="679">
                  <c:v>45272</c:v>
                </c:pt>
                <c:pt idx="680">
                  <c:v>45273</c:v>
                </c:pt>
                <c:pt idx="681">
                  <c:v>45274</c:v>
                </c:pt>
                <c:pt idx="682">
                  <c:v>45275</c:v>
                </c:pt>
                <c:pt idx="683">
                  <c:v>45278</c:v>
                </c:pt>
                <c:pt idx="684">
                  <c:v>45279</c:v>
                </c:pt>
                <c:pt idx="685">
                  <c:v>45280</c:v>
                </c:pt>
                <c:pt idx="686">
                  <c:v>45281</c:v>
                </c:pt>
                <c:pt idx="687">
                  <c:v>45282</c:v>
                </c:pt>
                <c:pt idx="688">
                  <c:v>45286</c:v>
                </c:pt>
                <c:pt idx="689">
                  <c:v>45287</c:v>
                </c:pt>
                <c:pt idx="690">
                  <c:v>45288</c:v>
                </c:pt>
                <c:pt idx="691">
                  <c:v>45289</c:v>
                </c:pt>
                <c:pt idx="692">
                  <c:v>45293</c:v>
                </c:pt>
                <c:pt idx="693">
                  <c:v>45294</c:v>
                </c:pt>
                <c:pt idx="694">
                  <c:v>45295</c:v>
                </c:pt>
                <c:pt idx="695">
                  <c:v>45296</c:v>
                </c:pt>
                <c:pt idx="696">
                  <c:v>45299</c:v>
                </c:pt>
                <c:pt idx="697">
                  <c:v>45300</c:v>
                </c:pt>
                <c:pt idx="698">
                  <c:v>45301</c:v>
                </c:pt>
                <c:pt idx="699">
                  <c:v>45302</c:v>
                </c:pt>
                <c:pt idx="700">
                  <c:v>45303</c:v>
                </c:pt>
                <c:pt idx="701">
                  <c:v>45307</c:v>
                </c:pt>
                <c:pt idx="702">
                  <c:v>45308</c:v>
                </c:pt>
                <c:pt idx="703">
                  <c:v>45309</c:v>
                </c:pt>
                <c:pt idx="704">
                  <c:v>45310</c:v>
                </c:pt>
                <c:pt idx="705">
                  <c:v>45313</c:v>
                </c:pt>
                <c:pt idx="706">
                  <c:v>45314</c:v>
                </c:pt>
                <c:pt idx="707">
                  <c:v>45315</c:v>
                </c:pt>
                <c:pt idx="708">
                  <c:v>45316</c:v>
                </c:pt>
                <c:pt idx="709">
                  <c:v>45317</c:v>
                </c:pt>
                <c:pt idx="710">
                  <c:v>45320</c:v>
                </c:pt>
                <c:pt idx="711">
                  <c:v>45321</c:v>
                </c:pt>
                <c:pt idx="712">
                  <c:v>45322</c:v>
                </c:pt>
                <c:pt idx="713">
                  <c:v>45323</c:v>
                </c:pt>
                <c:pt idx="714">
                  <c:v>45324</c:v>
                </c:pt>
                <c:pt idx="715">
                  <c:v>45327</c:v>
                </c:pt>
                <c:pt idx="716">
                  <c:v>45328</c:v>
                </c:pt>
                <c:pt idx="717">
                  <c:v>45329</c:v>
                </c:pt>
                <c:pt idx="718">
                  <c:v>45330</c:v>
                </c:pt>
                <c:pt idx="719">
                  <c:v>45331</c:v>
                </c:pt>
                <c:pt idx="720">
                  <c:v>45334</c:v>
                </c:pt>
                <c:pt idx="721">
                  <c:v>45335</c:v>
                </c:pt>
                <c:pt idx="722">
                  <c:v>45336</c:v>
                </c:pt>
                <c:pt idx="723">
                  <c:v>45337</c:v>
                </c:pt>
                <c:pt idx="724">
                  <c:v>45338</c:v>
                </c:pt>
                <c:pt idx="725">
                  <c:v>45342</c:v>
                </c:pt>
                <c:pt idx="726">
                  <c:v>45343</c:v>
                </c:pt>
                <c:pt idx="727">
                  <c:v>45344</c:v>
                </c:pt>
                <c:pt idx="728">
                  <c:v>45345</c:v>
                </c:pt>
                <c:pt idx="729">
                  <c:v>45348</c:v>
                </c:pt>
                <c:pt idx="730">
                  <c:v>45349</c:v>
                </c:pt>
                <c:pt idx="731">
                  <c:v>45350</c:v>
                </c:pt>
                <c:pt idx="732">
                  <c:v>45351</c:v>
                </c:pt>
                <c:pt idx="733">
                  <c:v>45352</c:v>
                </c:pt>
                <c:pt idx="734">
                  <c:v>45355</c:v>
                </c:pt>
                <c:pt idx="735">
                  <c:v>45356</c:v>
                </c:pt>
                <c:pt idx="736">
                  <c:v>45357</c:v>
                </c:pt>
                <c:pt idx="737">
                  <c:v>45358</c:v>
                </c:pt>
                <c:pt idx="738">
                  <c:v>45359</c:v>
                </c:pt>
                <c:pt idx="739">
                  <c:v>45362</c:v>
                </c:pt>
                <c:pt idx="740">
                  <c:v>45363</c:v>
                </c:pt>
                <c:pt idx="741">
                  <c:v>45364</c:v>
                </c:pt>
                <c:pt idx="742">
                  <c:v>45365</c:v>
                </c:pt>
                <c:pt idx="743">
                  <c:v>45366</c:v>
                </c:pt>
                <c:pt idx="744">
                  <c:v>45369</c:v>
                </c:pt>
                <c:pt idx="745">
                  <c:v>45370</c:v>
                </c:pt>
                <c:pt idx="746">
                  <c:v>45371</c:v>
                </c:pt>
                <c:pt idx="747">
                  <c:v>45372</c:v>
                </c:pt>
                <c:pt idx="748">
                  <c:v>45373</c:v>
                </c:pt>
                <c:pt idx="749">
                  <c:v>45376</c:v>
                </c:pt>
                <c:pt idx="750">
                  <c:v>45377</c:v>
                </c:pt>
                <c:pt idx="751">
                  <c:v>45378</c:v>
                </c:pt>
                <c:pt idx="752">
                  <c:v>45379</c:v>
                </c:pt>
                <c:pt idx="753">
                  <c:v>45383</c:v>
                </c:pt>
                <c:pt idx="754">
                  <c:v>45384</c:v>
                </c:pt>
                <c:pt idx="755">
                  <c:v>45385</c:v>
                </c:pt>
                <c:pt idx="756">
                  <c:v>45386</c:v>
                </c:pt>
                <c:pt idx="757">
                  <c:v>45387</c:v>
                </c:pt>
                <c:pt idx="758">
                  <c:v>45390</c:v>
                </c:pt>
                <c:pt idx="759">
                  <c:v>45391</c:v>
                </c:pt>
                <c:pt idx="760">
                  <c:v>45392</c:v>
                </c:pt>
                <c:pt idx="761">
                  <c:v>45393</c:v>
                </c:pt>
                <c:pt idx="762">
                  <c:v>45394</c:v>
                </c:pt>
                <c:pt idx="763">
                  <c:v>45397</c:v>
                </c:pt>
                <c:pt idx="764">
                  <c:v>45398</c:v>
                </c:pt>
                <c:pt idx="765">
                  <c:v>45399</c:v>
                </c:pt>
                <c:pt idx="766">
                  <c:v>45400</c:v>
                </c:pt>
                <c:pt idx="767">
                  <c:v>45401</c:v>
                </c:pt>
                <c:pt idx="768">
                  <c:v>45404</c:v>
                </c:pt>
                <c:pt idx="769">
                  <c:v>45405</c:v>
                </c:pt>
                <c:pt idx="770">
                  <c:v>45406</c:v>
                </c:pt>
                <c:pt idx="771">
                  <c:v>45407</c:v>
                </c:pt>
                <c:pt idx="772">
                  <c:v>45408</c:v>
                </c:pt>
                <c:pt idx="773">
                  <c:v>45411</c:v>
                </c:pt>
                <c:pt idx="774">
                  <c:v>45412</c:v>
                </c:pt>
                <c:pt idx="775">
                  <c:v>45413</c:v>
                </c:pt>
                <c:pt idx="776">
                  <c:v>45414</c:v>
                </c:pt>
                <c:pt idx="777">
                  <c:v>45415</c:v>
                </c:pt>
                <c:pt idx="778">
                  <c:v>45418</c:v>
                </c:pt>
                <c:pt idx="779">
                  <c:v>45419</c:v>
                </c:pt>
                <c:pt idx="780">
                  <c:v>45420</c:v>
                </c:pt>
                <c:pt idx="781">
                  <c:v>45421</c:v>
                </c:pt>
                <c:pt idx="782">
                  <c:v>45422</c:v>
                </c:pt>
                <c:pt idx="783">
                  <c:v>45425</c:v>
                </c:pt>
                <c:pt idx="784">
                  <c:v>45426</c:v>
                </c:pt>
                <c:pt idx="785">
                  <c:v>45427</c:v>
                </c:pt>
                <c:pt idx="786">
                  <c:v>45428</c:v>
                </c:pt>
                <c:pt idx="787">
                  <c:v>45429</c:v>
                </c:pt>
                <c:pt idx="788">
                  <c:v>45432</c:v>
                </c:pt>
                <c:pt idx="789">
                  <c:v>45433</c:v>
                </c:pt>
                <c:pt idx="790">
                  <c:v>45434</c:v>
                </c:pt>
                <c:pt idx="791">
                  <c:v>45435</c:v>
                </c:pt>
                <c:pt idx="792">
                  <c:v>45436</c:v>
                </c:pt>
                <c:pt idx="793">
                  <c:v>45440</c:v>
                </c:pt>
                <c:pt idx="794">
                  <c:v>45441</c:v>
                </c:pt>
                <c:pt idx="795">
                  <c:v>45442</c:v>
                </c:pt>
                <c:pt idx="796">
                  <c:v>45443</c:v>
                </c:pt>
                <c:pt idx="797">
                  <c:v>45446</c:v>
                </c:pt>
                <c:pt idx="798">
                  <c:v>45447</c:v>
                </c:pt>
                <c:pt idx="799">
                  <c:v>45448</c:v>
                </c:pt>
                <c:pt idx="800">
                  <c:v>45449</c:v>
                </c:pt>
                <c:pt idx="801">
                  <c:v>45450</c:v>
                </c:pt>
                <c:pt idx="802">
                  <c:v>45453</c:v>
                </c:pt>
                <c:pt idx="803">
                  <c:v>45454</c:v>
                </c:pt>
                <c:pt idx="804">
                  <c:v>45455</c:v>
                </c:pt>
                <c:pt idx="805">
                  <c:v>45456</c:v>
                </c:pt>
                <c:pt idx="806">
                  <c:v>45457</c:v>
                </c:pt>
                <c:pt idx="807">
                  <c:v>45460</c:v>
                </c:pt>
                <c:pt idx="808">
                  <c:v>45461</c:v>
                </c:pt>
                <c:pt idx="809">
                  <c:v>45463</c:v>
                </c:pt>
                <c:pt idx="810">
                  <c:v>45464</c:v>
                </c:pt>
                <c:pt idx="811">
                  <c:v>45467</c:v>
                </c:pt>
                <c:pt idx="812">
                  <c:v>45468</c:v>
                </c:pt>
                <c:pt idx="813">
                  <c:v>45469</c:v>
                </c:pt>
                <c:pt idx="814">
                  <c:v>45470</c:v>
                </c:pt>
                <c:pt idx="815">
                  <c:v>45471</c:v>
                </c:pt>
                <c:pt idx="816">
                  <c:v>45474</c:v>
                </c:pt>
                <c:pt idx="817">
                  <c:v>45475</c:v>
                </c:pt>
                <c:pt idx="818">
                  <c:v>45476</c:v>
                </c:pt>
                <c:pt idx="819">
                  <c:v>45478</c:v>
                </c:pt>
                <c:pt idx="820">
                  <c:v>45481</c:v>
                </c:pt>
                <c:pt idx="821">
                  <c:v>45482</c:v>
                </c:pt>
                <c:pt idx="822">
                  <c:v>45483</c:v>
                </c:pt>
                <c:pt idx="823">
                  <c:v>45484</c:v>
                </c:pt>
                <c:pt idx="824">
                  <c:v>45485</c:v>
                </c:pt>
                <c:pt idx="825">
                  <c:v>45488</c:v>
                </c:pt>
                <c:pt idx="826">
                  <c:v>45489</c:v>
                </c:pt>
                <c:pt idx="827">
                  <c:v>45490</c:v>
                </c:pt>
                <c:pt idx="828">
                  <c:v>45491</c:v>
                </c:pt>
                <c:pt idx="829">
                  <c:v>45492</c:v>
                </c:pt>
                <c:pt idx="830">
                  <c:v>45495</c:v>
                </c:pt>
                <c:pt idx="831">
                  <c:v>45496</c:v>
                </c:pt>
                <c:pt idx="832">
                  <c:v>45497</c:v>
                </c:pt>
                <c:pt idx="833">
                  <c:v>45498</c:v>
                </c:pt>
                <c:pt idx="834">
                  <c:v>45499</c:v>
                </c:pt>
                <c:pt idx="835">
                  <c:v>45502</c:v>
                </c:pt>
                <c:pt idx="836">
                  <c:v>45503</c:v>
                </c:pt>
                <c:pt idx="837">
                  <c:v>45504</c:v>
                </c:pt>
                <c:pt idx="838">
                  <c:v>45505</c:v>
                </c:pt>
                <c:pt idx="839">
                  <c:v>45506</c:v>
                </c:pt>
                <c:pt idx="840">
                  <c:v>45509</c:v>
                </c:pt>
                <c:pt idx="841">
                  <c:v>45510</c:v>
                </c:pt>
                <c:pt idx="842">
                  <c:v>45511</c:v>
                </c:pt>
                <c:pt idx="843">
                  <c:v>45512</c:v>
                </c:pt>
                <c:pt idx="844">
                  <c:v>45513</c:v>
                </c:pt>
                <c:pt idx="845">
                  <c:v>45516</c:v>
                </c:pt>
                <c:pt idx="846">
                  <c:v>45517</c:v>
                </c:pt>
                <c:pt idx="847">
                  <c:v>45518</c:v>
                </c:pt>
                <c:pt idx="848">
                  <c:v>45519</c:v>
                </c:pt>
                <c:pt idx="849">
                  <c:v>45520</c:v>
                </c:pt>
                <c:pt idx="850">
                  <c:v>45523</c:v>
                </c:pt>
                <c:pt idx="851">
                  <c:v>45524</c:v>
                </c:pt>
                <c:pt idx="852">
                  <c:v>45525</c:v>
                </c:pt>
                <c:pt idx="853">
                  <c:v>45526</c:v>
                </c:pt>
                <c:pt idx="854">
                  <c:v>45527</c:v>
                </c:pt>
                <c:pt idx="855">
                  <c:v>45530</c:v>
                </c:pt>
                <c:pt idx="856">
                  <c:v>45531</c:v>
                </c:pt>
                <c:pt idx="857">
                  <c:v>45532</c:v>
                </c:pt>
                <c:pt idx="858">
                  <c:v>45533</c:v>
                </c:pt>
                <c:pt idx="859">
                  <c:v>45534</c:v>
                </c:pt>
                <c:pt idx="860">
                  <c:v>45538</c:v>
                </c:pt>
                <c:pt idx="861">
                  <c:v>45539</c:v>
                </c:pt>
                <c:pt idx="862">
                  <c:v>45540</c:v>
                </c:pt>
                <c:pt idx="863">
                  <c:v>45541</c:v>
                </c:pt>
                <c:pt idx="864">
                  <c:v>45544</c:v>
                </c:pt>
                <c:pt idx="865">
                  <c:v>45545</c:v>
                </c:pt>
                <c:pt idx="866">
                  <c:v>45546</c:v>
                </c:pt>
                <c:pt idx="867">
                  <c:v>45547</c:v>
                </c:pt>
                <c:pt idx="868">
                  <c:v>45548</c:v>
                </c:pt>
                <c:pt idx="869">
                  <c:v>45551</c:v>
                </c:pt>
                <c:pt idx="870">
                  <c:v>45552</c:v>
                </c:pt>
                <c:pt idx="871">
                  <c:v>45553</c:v>
                </c:pt>
                <c:pt idx="872">
                  <c:v>45554</c:v>
                </c:pt>
                <c:pt idx="873">
                  <c:v>45555</c:v>
                </c:pt>
                <c:pt idx="874">
                  <c:v>45558</c:v>
                </c:pt>
                <c:pt idx="875">
                  <c:v>45559</c:v>
                </c:pt>
                <c:pt idx="876">
                  <c:v>45560</c:v>
                </c:pt>
                <c:pt idx="877">
                  <c:v>45561</c:v>
                </c:pt>
                <c:pt idx="878">
                  <c:v>45562</c:v>
                </c:pt>
                <c:pt idx="879">
                  <c:v>45565</c:v>
                </c:pt>
                <c:pt idx="880">
                  <c:v>45566</c:v>
                </c:pt>
                <c:pt idx="881">
                  <c:v>45567</c:v>
                </c:pt>
                <c:pt idx="882">
                  <c:v>45568</c:v>
                </c:pt>
                <c:pt idx="883">
                  <c:v>45569</c:v>
                </c:pt>
                <c:pt idx="884">
                  <c:v>45572</c:v>
                </c:pt>
                <c:pt idx="885">
                  <c:v>45573</c:v>
                </c:pt>
                <c:pt idx="886">
                  <c:v>45574</c:v>
                </c:pt>
                <c:pt idx="887">
                  <c:v>45575</c:v>
                </c:pt>
                <c:pt idx="888">
                  <c:v>45576</c:v>
                </c:pt>
                <c:pt idx="889">
                  <c:v>45579</c:v>
                </c:pt>
                <c:pt idx="890">
                  <c:v>45580</c:v>
                </c:pt>
                <c:pt idx="891">
                  <c:v>45581</c:v>
                </c:pt>
                <c:pt idx="892">
                  <c:v>45582</c:v>
                </c:pt>
                <c:pt idx="893">
                  <c:v>45583</c:v>
                </c:pt>
                <c:pt idx="894">
                  <c:v>45586</c:v>
                </c:pt>
                <c:pt idx="895">
                  <c:v>45587</c:v>
                </c:pt>
                <c:pt idx="896">
                  <c:v>45588</c:v>
                </c:pt>
                <c:pt idx="897">
                  <c:v>45589</c:v>
                </c:pt>
                <c:pt idx="898">
                  <c:v>45590</c:v>
                </c:pt>
                <c:pt idx="899">
                  <c:v>45593</c:v>
                </c:pt>
                <c:pt idx="900">
                  <c:v>45594</c:v>
                </c:pt>
                <c:pt idx="901">
                  <c:v>45595</c:v>
                </c:pt>
                <c:pt idx="902">
                  <c:v>45596</c:v>
                </c:pt>
                <c:pt idx="903">
                  <c:v>45597</c:v>
                </c:pt>
                <c:pt idx="904">
                  <c:v>45600</c:v>
                </c:pt>
                <c:pt idx="905">
                  <c:v>45601</c:v>
                </c:pt>
                <c:pt idx="906">
                  <c:v>45602</c:v>
                </c:pt>
                <c:pt idx="907">
                  <c:v>45603</c:v>
                </c:pt>
                <c:pt idx="908">
                  <c:v>45604</c:v>
                </c:pt>
                <c:pt idx="909">
                  <c:v>45607</c:v>
                </c:pt>
                <c:pt idx="910">
                  <c:v>45608</c:v>
                </c:pt>
                <c:pt idx="911">
                  <c:v>45609</c:v>
                </c:pt>
                <c:pt idx="912">
                  <c:v>45610</c:v>
                </c:pt>
                <c:pt idx="913">
                  <c:v>45611</c:v>
                </c:pt>
                <c:pt idx="914">
                  <c:v>45614</c:v>
                </c:pt>
                <c:pt idx="915">
                  <c:v>45615</c:v>
                </c:pt>
                <c:pt idx="916">
                  <c:v>45616</c:v>
                </c:pt>
                <c:pt idx="917">
                  <c:v>45617</c:v>
                </c:pt>
                <c:pt idx="918">
                  <c:v>45618</c:v>
                </c:pt>
                <c:pt idx="919">
                  <c:v>45621</c:v>
                </c:pt>
                <c:pt idx="920">
                  <c:v>45622</c:v>
                </c:pt>
                <c:pt idx="921">
                  <c:v>45623</c:v>
                </c:pt>
                <c:pt idx="922">
                  <c:v>45625</c:v>
                </c:pt>
                <c:pt idx="923">
                  <c:v>45628</c:v>
                </c:pt>
                <c:pt idx="924">
                  <c:v>45629</c:v>
                </c:pt>
                <c:pt idx="925">
                  <c:v>45630</c:v>
                </c:pt>
                <c:pt idx="926">
                  <c:v>45631</c:v>
                </c:pt>
                <c:pt idx="927">
                  <c:v>45632</c:v>
                </c:pt>
                <c:pt idx="928">
                  <c:v>45635</c:v>
                </c:pt>
                <c:pt idx="929">
                  <c:v>45636</c:v>
                </c:pt>
                <c:pt idx="930">
                  <c:v>45637</c:v>
                </c:pt>
                <c:pt idx="931">
                  <c:v>45638</c:v>
                </c:pt>
                <c:pt idx="932">
                  <c:v>45639</c:v>
                </c:pt>
                <c:pt idx="933">
                  <c:v>45642</c:v>
                </c:pt>
                <c:pt idx="934">
                  <c:v>45643</c:v>
                </c:pt>
                <c:pt idx="935">
                  <c:v>45644</c:v>
                </c:pt>
                <c:pt idx="936">
                  <c:v>45645</c:v>
                </c:pt>
                <c:pt idx="937">
                  <c:v>45646</c:v>
                </c:pt>
                <c:pt idx="938">
                  <c:v>45649</c:v>
                </c:pt>
                <c:pt idx="939">
                  <c:v>45650</c:v>
                </c:pt>
                <c:pt idx="940">
                  <c:v>45652</c:v>
                </c:pt>
                <c:pt idx="941">
                  <c:v>45653</c:v>
                </c:pt>
                <c:pt idx="942">
                  <c:v>45656</c:v>
                </c:pt>
                <c:pt idx="943">
                  <c:v>45657</c:v>
                </c:pt>
                <c:pt idx="944">
                  <c:v>45659</c:v>
                </c:pt>
                <c:pt idx="945">
                  <c:v>45660</c:v>
                </c:pt>
                <c:pt idx="946">
                  <c:v>45663</c:v>
                </c:pt>
                <c:pt idx="947">
                  <c:v>45664</c:v>
                </c:pt>
                <c:pt idx="948">
                  <c:v>45665</c:v>
                </c:pt>
                <c:pt idx="949">
                  <c:v>45667</c:v>
                </c:pt>
                <c:pt idx="950">
                  <c:v>45670</c:v>
                </c:pt>
                <c:pt idx="951">
                  <c:v>45671</c:v>
                </c:pt>
                <c:pt idx="952">
                  <c:v>45672</c:v>
                </c:pt>
                <c:pt idx="953">
                  <c:v>45673</c:v>
                </c:pt>
                <c:pt idx="954">
                  <c:v>45674</c:v>
                </c:pt>
                <c:pt idx="955">
                  <c:v>45678</c:v>
                </c:pt>
                <c:pt idx="956">
                  <c:v>45679</c:v>
                </c:pt>
                <c:pt idx="957">
                  <c:v>45680</c:v>
                </c:pt>
                <c:pt idx="958">
                  <c:v>45681</c:v>
                </c:pt>
                <c:pt idx="959">
                  <c:v>45684</c:v>
                </c:pt>
                <c:pt idx="960">
                  <c:v>45685</c:v>
                </c:pt>
                <c:pt idx="961">
                  <c:v>45686</c:v>
                </c:pt>
                <c:pt idx="962">
                  <c:v>45687</c:v>
                </c:pt>
                <c:pt idx="963">
                  <c:v>45688</c:v>
                </c:pt>
                <c:pt idx="964">
                  <c:v>45691</c:v>
                </c:pt>
                <c:pt idx="965">
                  <c:v>45692</c:v>
                </c:pt>
                <c:pt idx="966">
                  <c:v>45693</c:v>
                </c:pt>
                <c:pt idx="967">
                  <c:v>45694</c:v>
                </c:pt>
                <c:pt idx="968">
                  <c:v>45695</c:v>
                </c:pt>
                <c:pt idx="969">
                  <c:v>45698</c:v>
                </c:pt>
                <c:pt idx="970">
                  <c:v>45699</c:v>
                </c:pt>
                <c:pt idx="971">
                  <c:v>45700</c:v>
                </c:pt>
                <c:pt idx="972">
                  <c:v>45701</c:v>
                </c:pt>
                <c:pt idx="973">
                  <c:v>45702</c:v>
                </c:pt>
                <c:pt idx="974">
                  <c:v>45706</c:v>
                </c:pt>
                <c:pt idx="975">
                  <c:v>45707</c:v>
                </c:pt>
                <c:pt idx="976">
                  <c:v>45708</c:v>
                </c:pt>
                <c:pt idx="977">
                  <c:v>45709</c:v>
                </c:pt>
                <c:pt idx="978">
                  <c:v>45712</c:v>
                </c:pt>
                <c:pt idx="979">
                  <c:v>45713</c:v>
                </c:pt>
                <c:pt idx="980">
                  <c:v>45714</c:v>
                </c:pt>
                <c:pt idx="981">
                  <c:v>45715</c:v>
                </c:pt>
                <c:pt idx="982">
                  <c:v>45716</c:v>
                </c:pt>
                <c:pt idx="983">
                  <c:v>45719</c:v>
                </c:pt>
                <c:pt idx="984">
                  <c:v>45720</c:v>
                </c:pt>
                <c:pt idx="985">
                  <c:v>45721</c:v>
                </c:pt>
                <c:pt idx="986">
                  <c:v>45722</c:v>
                </c:pt>
                <c:pt idx="987">
                  <c:v>45723</c:v>
                </c:pt>
                <c:pt idx="988">
                  <c:v>45726</c:v>
                </c:pt>
                <c:pt idx="989">
                  <c:v>45727</c:v>
                </c:pt>
                <c:pt idx="990">
                  <c:v>45728</c:v>
                </c:pt>
                <c:pt idx="991">
                  <c:v>45729</c:v>
                </c:pt>
                <c:pt idx="992">
                  <c:v>45730</c:v>
                </c:pt>
                <c:pt idx="993">
                  <c:v>45733</c:v>
                </c:pt>
                <c:pt idx="994">
                  <c:v>45734</c:v>
                </c:pt>
                <c:pt idx="995">
                  <c:v>45735</c:v>
                </c:pt>
                <c:pt idx="996">
                  <c:v>45736</c:v>
                </c:pt>
                <c:pt idx="997">
                  <c:v>45737</c:v>
                </c:pt>
                <c:pt idx="998">
                  <c:v>45740</c:v>
                </c:pt>
                <c:pt idx="999">
                  <c:v>45741</c:v>
                </c:pt>
                <c:pt idx="1000">
                  <c:v>45742</c:v>
                </c:pt>
                <c:pt idx="1001">
                  <c:v>45743</c:v>
                </c:pt>
                <c:pt idx="1002">
                  <c:v>45744</c:v>
                </c:pt>
                <c:pt idx="1003">
                  <c:v>45747</c:v>
                </c:pt>
                <c:pt idx="1004">
                  <c:v>45748</c:v>
                </c:pt>
                <c:pt idx="1005">
                  <c:v>45749</c:v>
                </c:pt>
                <c:pt idx="1006">
                  <c:v>45750</c:v>
                </c:pt>
                <c:pt idx="1007">
                  <c:v>45751</c:v>
                </c:pt>
                <c:pt idx="1008">
                  <c:v>45754</c:v>
                </c:pt>
                <c:pt idx="1009">
                  <c:v>45755</c:v>
                </c:pt>
                <c:pt idx="1010">
                  <c:v>45756</c:v>
                </c:pt>
                <c:pt idx="1011">
                  <c:v>45757</c:v>
                </c:pt>
                <c:pt idx="1012">
                  <c:v>45758</c:v>
                </c:pt>
                <c:pt idx="1013">
                  <c:v>45761</c:v>
                </c:pt>
                <c:pt idx="1014">
                  <c:v>45762</c:v>
                </c:pt>
                <c:pt idx="1015">
                  <c:v>45763</c:v>
                </c:pt>
                <c:pt idx="1016">
                  <c:v>45764</c:v>
                </c:pt>
                <c:pt idx="1017">
                  <c:v>45768</c:v>
                </c:pt>
                <c:pt idx="1018">
                  <c:v>45769</c:v>
                </c:pt>
                <c:pt idx="1019">
                  <c:v>45770</c:v>
                </c:pt>
                <c:pt idx="1020">
                  <c:v>45771</c:v>
                </c:pt>
                <c:pt idx="1021">
                  <c:v>45772</c:v>
                </c:pt>
                <c:pt idx="1022">
                  <c:v>45775</c:v>
                </c:pt>
                <c:pt idx="1023">
                  <c:v>45776</c:v>
                </c:pt>
                <c:pt idx="1024">
                  <c:v>45777</c:v>
                </c:pt>
                <c:pt idx="1025">
                  <c:v>45778</c:v>
                </c:pt>
                <c:pt idx="1026">
                  <c:v>45779</c:v>
                </c:pt>
                <c:pt idx="1027">
                  <c:v>45782</c:v>
                </c:pt>
                <c:pt idx="1028">
                  <c:v>45783</c:v>
                </c:pt>
                <c:pt idx="1029">
                  <c:v>45784</c:v>
                </c:pt>
                <c:pt idx="1030">
                  <c:v>45785</c:v>
                </c:pt>
                <c:pt idx="1031">
                  <c:v>45786</c:v>
                </c:pt>
                <c:pt idx="1032">
                  <c:v>45789</c:v>
                </c:pt>
                <c:pt idx="1033">
                  <c:v>45790</c:v>
                </c:pt>
                <c:pt idx="1034">
                  <c:v>45791</c:v>
                </c:pt>
                <c:pt idx="1035">
                  <c:v>45792</c:v>
                </c:pt>
                <c:pt idx="1036">
                  <c:v>45793</c:v>
                </c:pt>
                <c:pt idx="1037">
                  <c:v>45796</c:v>
                </c:pt>
                <c:pt idx="1038">
                  <c:v>45797</c:v>
                </c:pt>
                <c:pt idx="1039">
                  <c:v>45798</c:v>
                </c:pt>
                <c:pt idx="1040">
                  <c:v>45799</c:v>
                </c:pt>
                <c:pt idx="1041">
                  <c:v>45800</c:v>
                </c:pt>
                <c:pt idx="1042">
                  <c:v>45804</c:v>
                </c:pt>
                <c:pt idx="1043">
                  <c:v>45805</c:v>
                </c:pt>
                <c:pt idx="1044">
                  <c:v>45806</c:v>
                </c:pt>
                <c:pt idx="1045">
                  <c:v>45807</c:v>
                </c:pt>
                <c:pt idx="1046">
                  <c:v>45810</c:v>
                </c:pt>
                <c:pt idx="1047">
                  <c:v>45811</c:v>
                </c:pt>
                <c:pt idx="1048">
                  <c:v>45812</c:v>
                </c:pt>
                <c:pt idx="1049">
                  <c:v>45813</c:v>
                </c:pt>
                <c:pt idx="1050">
                  <c:v>45814</c:v>
                </c:pt>
                <c:pt idx="1051">
                  <c:v>45817</c:v>
                </c:pt>
                <c:pt idx="1052">
                  <c:v>45818</c:v>
                </c:pt>
                <c:pt idx="1053">
                  <c:v>45819</c:v>
                </c:pt>
                <c:pt idx="1054">
                  <c:v>45820</c:v>
                </c:pt>
                <c:pt idx="1055">
                  <c:v>45821</c:v>
                </c:pt>
                <c:pt idx="1056">
                  <c:v>45824</c:v>
                </c:pt>
                <c:pt idx="1057">
                  <c:v>45825</c:v>
                </c:pt>
                <c:pt idx="1058">
                  <c:v>45826</c:v>
                </c:pt>
                <c:pt idx="1059">
                  <c:v>45828</c:v>
                </c:pt>
                <c:pt idx="1060">
                  <c:v>45831</c:v>
                </c:pt>
                <c:pt idx="1061">
                  <c:v>45832</c:v>
                </c:pt>
                <c:pt idx="1062">
                  <c:v>45833</c:v>
                </c:pt>
                <c:pt idx="1063">
                  <c:v>45834</c:v>
                </c:pt>
                <c:pt idx="1064">
                  <c:v>45835</c:v>
                </c:pt>
                <c:pt idx="1065">
                  <c:v>45838</c:v>
                </c:pt>
                <c:pt idx="1066">
                  <c:v>45839</c:v>
                </c:pt>
                <c:pt idx="1067">
                  <c:v>45840</c:v>
                </c:pt>
                <c:pt idx="1068">
                  <c:v>45841</c:v>
                </c:pt>
                <c:pt idx="1069">
                  <c:v>45845</c:v>
                </c:pt>
                <c:pt idx="1070">
                  <c:v>45846</c:v>
                </c:pt>
                <c:pt idx="1071">
                  <c:v>45847</c:v>
                </c:pt>
                <c:pt idx="1072">
                  <c:v>45848</c:v>
                </c:pt>
                <c:pt idx="1073">
                  <c:v>45849</c:v>
                </c:pt>
                <c:pt idx="1074">
                  <c:v>45852</c:v>
                </c:pt>
                <c:pt idx="1075">
                  <c:v>45853</c:v>
                </c:pt>
                <c:pt idx="1076">
                  <c:v>45854</c:v>
                </c:pt>
                <c:pt idx="1077">
                  <c:v>45855</c:v>
                </c:pt>
                <c:pt idx="1078">
                  <c:v>45856</c:v>
                </c:pt>
                <c:pt idx="1079">
                  <c:v>45859</c:v>
                </c:pt>
                <c:pt idx="1080">
                  <c:v>45860</c:v>
                </c:pt>
                <c:pt idx="1081">
                  <c:v>45861</c:v>
                </c:pt>
                <c:pt idx="1082">
                  <c:v>45862</c:v>
                </c:pt>
                <c:pt idx="1083">
                  <c:v>45863</c:v>
                </c:pt>
                <c:pt idx="1084">
                  <c:v>45866</c:v>
                </c:pt>
                <c:pt idx="1085">
                  <c:v>45867</c:v>
                </c:pt>
                <c:pt idx="1086">
                  <c:v>45868</c:v>
                </c:pt>
                <c:pt idx="1087">
                  <c:v>45869</c:v>
                </c:pt>
                <c:pt idx="1088">
                  <c:v>45870</c:v>
                </c:pt>
                <c:pt idx="1089">
                  <c:v>45873</c:v>
                </c:pt>
                <c:pt idx="1090">
                  <c:v>45874</c:v>
                </c:pt>
                <c:pt idx="1091">
                  <c:v>45875</c:v>
                </c:pt>
                <c:pt idx="1092">
                  <c:v>45876</c:v>
                </c:pt>
                <c:pt idx="1093">
                  <c:v>45877</c:v>
                </c:pt>
                <c:pt idx="1094">
                  <c:v>45880</c:v>
                </c:pt>
                <c:pt idx="1095">
                  <c:v>45881</c:v>
                </c:pt>
                <c:pt idx="1096">
                  <c:v>45882</c:v>
                </c:pt>
                <c:pt idx="1097">
                  <c:v>45883</c:v>
                </c:pt>
                <c:pt idx="1098">
                  <c:v>45884</c:v>
                </c:pt>
                <c:pt idx="1099">
                  <c:v>45887</c:v>
                </c:pt>
                <c:pt idx="1100">
                  <c:v>45888</c:v>
                </c:pt>
                <c:pt idx="1101">
                  <c:v>45889</c:v>
                </c:pt>
                <c:pt idx="1102">
                  <c:v>45890</c:v>
                </c:pt>
                <c:pt idx="1103">
                  <c:v>45891</c:v>
                </c:pt>
                <c:pt idx="1104">
                  <c:v>45894</c:v>
                </c:pt>
                <c:pt idx="1105">
                  <c:v>45895</c:v>
                </c:pt>
                <c:pt idx="1106">
                  <c:v>45896</c:v>
                </c:pt>
                <c:pt idx="1107">
                  <c:v>45897</c:v>
                </c:pt>
                <c:pt idx="1108">
                  <c:v>45898</c:v>
                </c:pt>
                <c:pt idx="1109">
                  <c:v>45902</c:v>
                </c:pt>
                <c:pt idx="1110">
                  <c:v>45903</c:v>
                </c:pt>
                <c:pt idx="1111">
                  <c:v>45904</c:v>
                </c:pt>
                <c:pt idx="1112">
                  <c:v>45905</c:v>
                </c:pt>
                <c:pt idx="1113">
                  <c:v>45908</c:v>
                </c:pt>
                <c:pt idx="1114">
                  <c:v>45909</c:v>
                </c:pt>
                <c:pt idx="1115">
                  <c:v>45910</c:v>
                </c:pt>
                <c:pt idx="1116">
                  <c:v>45911</c:v>
                </c:pt>
                <c:pt idx="1117">
                  <c:v>45912</c:v>
                </c:pt>
                <c:pt idx="1118">
                  <c:v>45915</c:v>
                </c:pt>
                <c:pt idx="1119">
                  <c:v>45916</c:v>
                </c:pt>
                <c:pt idx="1120">
                  <c:v>45917</c:v>
                </c:pt>
                <c:pt idx="1121">
                  <c:v>45918</c:v>
                </c:pt>
                <c:pt idx="1122">
                  <c:v>45919</c:v>
                </c:pt>
                <c:pt idx="1123">
                  <c:v>45922</c:v>
                </c:pt>
                <c:pt idx="1124">
                  <c:v>45923</c:v>
                </c:pt>
                <c:pt idx="1125">
                  <c:v>45924</c:v>
                </c:pt>
                <c:pt idx="1126">
                  <c:v>45925</c:v>
                </c:pt>
                <c:pt idx="1127">
                  <c:v>45926</c:v>
                </c:pt>
                <c:pt idx="1128">
                  <c:v>45929</c:v>
                </c:pt>
                <c:pt idx="1129">
                  <c:v>45930</c:v>
                </c:pt>
                <c:pt idx="1130">
                  <c:v>45931</c:v>
                </c:pt>
                <c:pt idx="1131">
                  <c:v>45932</c:v>
                </c:pt>
                <c:pt idx="1132">
                  <c:v>45933</c:v>
                </c:pt>
                <c:pt idx="1133">
                  <c:v>45936</c:v>
                </c:pt>
                <c:pt idx="1134">
                  <c:v>45937</c:v>
                </c:pt>
                <c:pt idx="1135">
                  <c:v>45938</c:v>
                </c:pt>
                <c:pt idx="1136">
                  <c:v>45939</c:v>
                </c:pt>
                <c:pt idx="1137">
                  <c:v>45940</c:v>
                </c:pt>
                <c:pt idx="1138">
                  <c:v>45943</c:v>
                </c:pt>
                <c:pt idx="1139">
                  <c:v>45944</c:v>
                </c:pt>
                <c:pt idx="1140">
                  <c:v>45945</c:v>
                </c:pt>
                <c:pt idx="1141">
                  <c:v>45946</c:v>
                </c:pt>
                <c:pt idx="1142">
                  <c:v>45947</c:v>
                </c:pt>
                <c:pt idx="1143">
                  <c:v>45950</c:v>
                </c:pt>
                <c:pt idx="1144">
                  <c:v>45951</c:v>
                </c:pt>
                <c:pt idx="1145">
                  <c:v>45952</c:v>
                </c:pt>
                <c:pt idx="1146">
                  <c:v>45953</c:v>
                </c:pt>
                <c:pt idx="1147">
                  <c:v>45954</c:v>
                </c:pt>
                <c:pt idx="1148">
                  <c:v>45957</c:v>
                </c:pt>
                <c:pt idx="1149">
                  <c:v>45958</c:v>
                </c:pt>
                <c:pt idx="1150">
                  <c:v>45959</c:v>
                </c:pt>
                <c:pt idx="1151">
                  <c:v>45960</c:v>
                </c:pt>
                <c:pt idx="1152">
                  <c:v>45961</c:v>
                </c:pt>
                <c:pt idx="1153">
                  <c:v>45964</c:v>
                </c:pt>
                <c:pt idx="1154">
                  <c:v>45965</c:v>
                </c:pt>
                <c:pt idx="1155">
                  <c:v>45966</c:v>
                </c:pt>
                <c:pt idx="1156">
                  <c:v>45967</c:v>
                </c:pt>
                <c:pt idx="1157">
                  <c:v>45968</c:v>
                </c:pt>
                <c:pt idx="1158">
                  <c:v>45971</c:v>
                </c:pt>
                <c:pt idx="1159">
                  <c:v>45972</c:v>
                </c:pt>
                <c:pt idx="1160">
                  <c:v>45973</c:v>
                </c:pt>
                <c:pt idx="1161">
                  <c:v>45974</c:v>
                </c:pt>
                <c:pt idx="1162">
                  <c:v>45975</c:v>
                </c:pt>
                <c:pt idx="1163">
                  <c:v>45978</c:v>
                </c:pt>
                <c:pt idx="1164">
                  <c:v>45979</c:v>
                </c:pt>
                <c:pt idx="1165">
                  <c:v>45980</c:v>
                </c:pt>
                <c:pt idx="1166">
                  <c:v>45981</c:v>
                </c:pt>
                <c:pt idx="1167">
                  <c:v>45982</c:v>
                </c:pt>
                <c:pt idx="1168">
                  <c:v>45985</c:v>
                </c:pt>
                <c:pt idx="1169">
                  <c:v>45986</c:v>
                </c:pt>
                <c:pt idx="1170">
                  <c:v>45987</c:v>
                </c:pt>
                <c:pt idx="1171">
                  <c:v>45989</c:v>
                </c:pt>
                <c:pt idx="1172">
                  <c:v>45992</c:v>
                </c:pt>
                <c:pt idx="1173">
                  <c:v>45993</c:v>
                </c:pt>
                <c:pt idx="1174">
                  <c:v>45994</c:v>
                </c:pt>
                <c:pt idx="1175">
                  <c:v>45995</c:v>
                </c:pt>
                <c:pt idx="1176">
                  <c:v>45996</c:v>
                </c:pt>
                <c:pt idx="1177">
                  <c:v>45999</c:v>
                </c:pt>
                <c:pt idx="1178">
                  <c:v>46000</c:v>
                </c:pt>
                <c:pt idx="1179">
                  <c:v>46001</c:v>
                </c:pt>
                <c:pt idx="1180">
                  <c:v>46002</c:v>
                </c:pt>
                <c:pt idx="1181">
                  <c:v>46003</c:v>
                </c:pt>
                <c:pt idx="1182">
                  <c:v>46006</c:v>
                </c:pt>
                <c:pt idx="1183">
                  <c:v>46007</c:v>
                </c:pt>
                <c:pt idx="1184">
                  <c:v>46008</c:v>
                </c:pt>
                <c:pt idx="1185">
                  <c:v>46009</c:v>
                </c:pt>
                <c:pt idx="1186">
                  <c:v>46010</c:v>
                </c:pt>
                <c:pt idx="1187">
                  <c:v>46013</c:v>
                </c:pt>
                <c:pt idx="1188">
                  <c:v>46014</c:v>
                </c:pt>
                <c:pt idx="1189">
                  <c:v>46015</c:v>
                </c:pt>
                <c:pt idx="1190">
                  <c:v>46017</c:v>
                </c:pt>
                <c:pt idx="1191">
                  <c:v>46020</c:v>
                </c:pt>
                <c:pt idx="1192">
                  <c:v>46021</c:v>
                </c:pt>
                <c:pt idx="1193">
                  <c:v>46022</c:v>
                </c:pt>
                <c:pt idx="1194">
                  <c:v>46024</c:v>
                </c:pt>
                <c:pt idx="1195">
                  <c:v>46027</c:v>
                </c:pt>
                <c:pt idx="1196">
                  <c:v>46028</c:v>
                </c:pt>
                <c:pt idx="1197">
                  <c:v>46029</c:v>
                </c:pt>
                <c:pt idx="1198">
                  <c:v>46030</c:v>
                </c:pt>
                <c:pt idx="1199">
                  <c:v>46031</c:v>
                </c:pt>
                <c:pt idx="1200">
                  <c:v>46034</c:v>
                </c:pt>
                <c:pt idx="1201">
                  <c:v>46035</c:v>
                </c:pt>
                <c:pt idx="1202">
                  <c:v>46036</c:v>
                </c:pt>
                <c:pt idx="1203">
                  <c:v>46037</c:v>
                </c:pt>
                <c:pt idx="1204">
                  <c:v>46038</c:v>
                </c:pt>
                <c:pt idx="1205">
                  <c:v>46042</c:v>
                </c:pt>
                <c:pt idx="1206">
                  <c:v>46043</c:v>
                </c:pt>
                <c:pt idx="1207">
                  <c:v>46044</c:v>
                </c:pt>
                <c:pt idx="1208">
                  <c:v>46045</c:v>
                </c:pt>
                <c:pt idx="1209">
                  <c:v>46048</c:v>
                </c:pt>
                <c:pt idx="1210">
                  <c:v>46049</c:v>
                </c:pt>
                <c:pt idx="1211">
                  <c:v>46050</c:v>
                </c:pt>
                <c:pt idx="1212">
                  <c:v>46051</c:v>
                </c:pt>
                <c:pt idx="1213">
                  <c:v>46052</c:v>
                </c:pt>
                <c:pt idx="1214">
                  <c:v>46055</c:v>
                </c:pt>
                <c:pt idx="1215">
                  <c:v>46056</c:v>
                </c:pt>
                <c:pt idx="1216">
                  <c:v>46057</c:v>
                </c:pt>
                <c:pt idx="1217">
                  <c:v>46058</c:v>
                </c:pt>
                <c:pt idx="1218">
                  <c:v>46059</c:v>
                </c:pt>
                <c:pt idx="1219">
                  <c:v>46062</c:v>
                </c:pt>
                <c:pt idx="1220">
                  <c:v>46063</c:v>
                </c:pt>
                <c:pt idx="1221">
                  <c:v>46064</c:v>
                </c:pt>
                <c:pt idx="1222">
                  <c:v>46065</c:v>
                </c:pt>
                <c:pt idx="1223">
                  <c:v>46066</c:v>
                </c:pt>
                <c:pt idx="1224">
                  <c:v>46070</c:v>
                </c:pt>
                <c:pt idx="1225">
                  <c:v>46071</c:v>
                </c:pt>
                <c:pt idx="1226">
                  <c:v>46072</c:v>
                </c:pt>
                <c:pt idx="1227">
                  <c:v>46073</c:v>
                </c:pt>
                <c:pt idx="1228">
                  <c:v>46076</c:v>
                </c:pt>
                <c:pt idx="1229">
                  <c:v>46077</c:v>
                </c:pt>
                <c:pt idx="1230">
                  <c:v>46078</c:v>
                </c:pt>
                <c:pt idx="1231">
                  <c:v>46079</c:v>
                </c:pt>
                <c:pt idx="1232">
                  <c:v>46080</c:v>
                </c:pt>
                <c:pt idx="1233">
                  <c:v>46083</c:v>
                </c:pt>
                <c:pt idx="1234">
                  <c:v>46084</c:v>
                </c:pt>
                <c:pt idx="1235">
                  <c:v>46085</c:v>
                </c:pt>
                <c:pt idx="1236">
                  <c:v>46086</c:v>
                </c:pt>
                <c:pt idx="1237">
                  <c:v>46087</c:v>
                </c:pt>
                <c:pt idx="1238">
                  <c:v>46090</c:v>
                </c:pt>
                <c:pt idx="1239">
                  <c:v>46091</c:v>
                </c:pt>
                <c:pt idx="1240">
                  <c:v>46092</c:v>
                </c:pt>
                <c:pt idx="1241">
                  <c:v>46093</c:v>
                </c:pt>
                <c:pt idx="1242">
                  <c:v>46094</c:v>
                </c:pt>
                <c:pt idx="1243">
                  <c:v>46097</c:v>
                </c:pt>
                <c:pt idx="1244">
                  <c:v>46098</c:v>
                </c:pt>
                <c:pt idx="1245">
                  <c:v>46099</c:v>
                </c:pt>
                <c:pt idx="1246">
                  <c:v>46100</c:v>
                </c:pt>
                <c:pt idx="1247">
                  <c:v>46101</c:v>
                </c:pt>
                <c:pt idx="1248">
                  <c:v>46104</c:v>
                </c:pt>
                <c:pt idx="1249">
                  <c:v>46105</c:v>
                </c:pt>
                <c:pt idx="1250">
                  <c:v>46106</c:v>
                </c:pt>
                <c:pt idx="1251">
                  <c:v>46107</c:v>
                </c:pt>
                <c:pt idx="1252">
                  <c:v>46108</c:v>
                </c:pt>
                <c:pt idx="1253">
                  <c:v>46111</c:v>
                </c:pt>
              </c:numCache>
            </c:numRef>
          </c:cat>
          <c:val>
            <c:numRef>
              <c:f>'Share Price'!$C$3:$C$1256</c:f>
              <c:numCache>
                <c:formatCode>0.00</c:formatCode>
                <c:ptCount val="1254"/>
                <c:pt idx="0">
                  <c:v>16.37508392333984</c:v>
                </c:pt>
                <c:pt idx="1">
                  <c:v>16.685182571411129</c:v>
                </c:pt>
                <c:pt idx="2">
                  <c:v>16.65933990478516</c:v>
                </c:pt>
                <c:pt idx="3">
                  <c:v>16.547359466552731</c:v>
                </c:pt>
                <c:pt idx="4">
                  <c:v>16.64211273193359</c:v>
                </c:pt>
                <c:pt idx="5">
                  <c:v>16.831619262695309</c:v>
                </c:pt>
                <c:pt idx="6">
                  <c:v>16.469833374023441</c:v>
                </c:pt>
                <c:pt idx="7">
                  <c:v>15.85824584960938</c:v>
                </c:pt>
                <c:pt idx="8">
                  <c:v>14.91071224212646</c:v>
                </c:pt>
                <c:pt idx="9">
                  <c:v>15.50507164001465</c:v>
                </c:pt>
                <c:pt idx="10">
                  <c:v>15.660122871398929</c:v>
                </c:pt>
                <c:pt idx="11">
                  <c:v>15.729039192199711</c:v>
                </c:pt>
                <c:pt idx="12">
                  <c:v>15.530917167663571</c:v>
                </c:pt>
                <c:pt idx="13">
                  <c:v>15.591213226318359</c:v>
                </c:pt>
                <c:pt idx="14">
                  <c:v>15.3758659362793</c:v>
                </c:pt>
                <c:pt idx="15">
                  <c:v>15.41032028198242</c:v>
                </c:pt>
                <c:pt idx="16">
                  <c:v>15.513689041137701</c:v>
                </c:pt>
                <c:pt idx="17">
                  <c:v>15.599825859069821</c:v>
                </c:pt>
                <c:pt idx="18">
                  <c:v>15.70319175720215</c:v>
                </c:pt>
                <c:pt idx="19">
                  <c:v>15.90131282806396</c:v>
                </c:pt>
                <c:pt idx="20">
                  <c:v>15.57398796081543</c:v>
                </c:pt>
                <c:pt idx="21">
                  <c:v>15.67735481262207</c:v>
                </c:pt>
                <c:pt idx="22">
                  <c:v>15.599825859069821</c:v>
                </c:pt>
                <c:pt idx="23">
                  <c:v>15.754875183105471</c:v>
                </c:pt>
                <c:pt idx="24">
                  <c:v>16.021907806396481</c:v>
                </c:pt>
                <c:pt idx="25">
                  <c:v>0</c:v>
                </c:pt>
                <c:pt idx="26">
                  <c:v>15.81517505645752</c:v>
                </c:pt>
                <c:pt idx="27">
                  <c:v>15.66873931884766</c:v>
                </c:pt>
                <c:pt idx="28">
                  <c:v>15.367250442504879</c:v>
                </c:pt>
                <c:pt idx="29">
                  <c:v>15.401706695556641</c:v>
                </c:pt>
                <c:pt idx="30">
                  <c:v>15.642898559570311</c:v>
                </c:pt>
                <c:pt idx="31">
                  <c:v>15.651510238647459</c:v>
                </c:pt>
                <c:pt idx="32">
                  <c:v>15.729039192199711</c:v>
                </c:pt>
                <c:pt idx="33">
                  <c:v>15.88408756256104</c:v>
                </c:pt>
                <c:pt idx="34">
                  <c:v>16.06497955322266</c:v>
                </c:pt>
                <c:pt idx="35">
                  <c:v>16.125276565551761</c:v>
                </c:pt>
                <c:pt idx="36">
                  <c:v>16.082206726074219</c:v>
                </c:pt>
                <c:pt idx="37">
                  <c:v>16.13388633728027</c:v>
                </c:pt>
                <c:pt idx="38">
                  <c:v>16.59042930603027</c:v>
                </c:pt>
                <c:pt idx="39">
                  <c:v>16.685182571411129</c:v>
                </c:pt>
                <c:pt idx="40">
                  <c:v>16.833147048950199</c:v>
                </c:pt>
                <c:pt idx="41">
                  <c:v>16.772218704223629</c:v>
                </c:pt>
                <c:pt idx="42">
                  <c:v>16.789630889892582</c:v>
                </c:pt>
                <c:pt idx="43">
                  <c:v>16.6590690612793</c:v>
                </c:pt>
                <c:pt idx="44">
                  <c:v>16.789630889892582</c:v>
                </c:pt>
                <c:pt idx="45">
                  <c:v>16.885368347167969</c:v>
                </c:pt>
                <c:pt idx="46">
                  <c:v>16.972406387329102</c:v>
                </c:pt>
                <c:pt idx="47">
                  <c:v>17.11166954040527</c:v>
                </c:pt>
                <c:pt idx="48">
                  <c:v>17.31185340881348</c:v>
                </c:pt>
                <c:pt idx="49">
                  <c:v>17.877603530883789</c:v>
                </c:pt>
                <c:pt idx="50">
                  <c:v>17.79926872253418</c:v>
                </c:pt>
                <c:pt idx="51">
                  <c:v>17.607782363891602</c:v>
                </c:pt>
                <c:pt idx="52">
                  <c:v>17.738338470458981</c:v>
                </c:pt>
                <c:pt idx="53">
                  <c:v>17.990753173828121</c:v>
                </c:pt>
                <c:pt idx="54">
                  <c:v>17.572971343994141</c:v>
                </c:pt>
                <c:pt idx="55">
                  <c:v>17.868898391723629</c:v>
                </c:pt>
                <c:pt idx="56">
                  <c:v>18.069086074829102</c:v>
                </c:pt>
                <c:pt idx="57">
                  <c:v>18.008161544799801</c:v>
                </c:pt>
                <c:pt idx="58">
                  <c:v>18.443349838256839</c:v>
                </c:pt>
                <c:pt idx="59">
                  <c:v>18.495573043823239</c:v>
                </c:pt>
                <c:pt idx="60">
                  <c:v>18.530389785766602</c:v>
                </c:pt>
                <c:pt idx="61">
                  <c:v>18.669651031494141</c:v>
                </c:pt>
                <c:pt idx="62">
                  <c:v>18.443349838256839</c:v>
                </c:pt>
                <c:pt idx="63">
                  <c:v>18.243160247802731</c:v>
                </c:pt>
                <c:pt idx="64">
                  <c:v>18.33890342712402</c:v>
                </c:pt>
                <c:pt idx="65">
                  <c:v>18.373722076416019</c:v>
                </c:pt>
                <c:pt idx="66">
                  <c:v>18.43464469909668</c:v>
                </c:pt>
                <c:pt idx="67">
                  <c:v>18.23445892333984</c:v>
                </c:pt>
                <c:pt idx="68">
                  <c:v>18.573907852172852</c:v>
                </c:pt>
                <c:pt idx="69">
                  <c:v>18.32149505615234</c:v>
                </c:pt>
                <c:pt idx="70">
                  <c:v>18.32149505615234</c:v>
                </c:pt>
                <c:pt idx="71">
                  <c:v>18.617425918579102</c:v>
                </c:pt>
                <c:pt idx="72">
                  <c:v>18.39112663269043</c:v>
                </c:pt>
                <c:pt idx="73">
                  <c:v>18.156126022338871</c:v>
                </c:pt>
                <c:pt idx="74">
                  <c:v>17.96463775634766</c:v>
                </c:pt>
                <c:pt idx="75">
                  <c:v>18.225753784179691</c:v>
                </c:pt>
                <c:pt idx="76">
                  <c:v>18.547792434692379</c:v>
                </c:pt>
                <c:pt idx="77">
                  <c:v>18.565202713012699</c:v>
                </c:pt>
                <c:pt idx="78">
                  <c:v>18.91335296630859</c:v>
                </c:pt>
                <c:pt idx="79">
                  <c:v>18.89594650268555</c:v>
                </c:pt>
                <c:pt idx="80">
                  <c:v>18.89594650268555</c:v>
                </c:pt>
                <c:pt idx="81">
                  <c:v>19.017801284790039</c:v>
                </c:pt>
                <c:pt idx="82">
                  <c:v>19.078727722167969</c:v>
                </c:pt>
                <c:pt idx="83">
                  <c:v>19.252801895141602</c:v>
                </c:pt>
                <c:pt idx="84">
                  <c:v>19.383359909057621</c:v>
                </c:pt>
                <c:pt idx="85">
                  <c:v>19.9142951965332</c:v>
                </c:pt>
                <c:pt idx="86">
                  <c:v>19.705400466918949</c:v>
                </c:pt>
                <c:pt idx="87">
                  <c:v>19.653179168701168</c:v>
                </c:pt>
                <c:pt idx="88">
                  <c:v>19.853364944458011</c:v>
                </c:pt>
                <c:pt idx="89">
                  <c:v>19.9142951965332</c:v>
                </c:pt>
                <c:pt idx="90">
                  <c:v>19.827255249023441</c:v>
                </c:pt>
                <c:pt idx="91">
                  <c:v>20.01003456115723</c:v>
                </c:pt>
                <c:pt idx="92">
                  <c:v>20.297256469726559</c:v>
                </c:pt>
                <c:pt idx="93">
                  <c:v>20.567075729370121</c:v>
                </c:pt>
                <c:pt idx="94">
                  <c:v>20.366888046264648</c:v>
                </c:pt>
                <c:pt idx="95">
                  <c:v>20.50615119934082</c:v>
                </c:pt>
                <c:pt idx="96">
                  <c:v>20.436517715454102</c:v>
                </c:pt>
                <c:pt idx="97">
                  <c:v>20.4974479675293</c:v>
                </c:pt>
                <c:pt idx="98">
                  <c:v>20.784671783447269</c:v>
                </c:pt>
                <c:pt idx="99">
                  <c:v>20.97616004943848</c:v>
                </c:pt>
                <c:pt idx="100">
                  <c:v>20.784671783447269</c:v>
                </c:pt>
                <c:pt idx="101">
                  <c:v>20.871707916259769</c:v>
                </c:pt>
                <c:pt idx="102">
                  <c:v>20.59318733215332</c:v>
                </c:pt>
                <c:pt idx="103">
                  <c:v>20.654115676879879</c:v>
                </c:pt>
                <c:pt idx="104">
                  <c:v>20.645412445068359</c:v>
                </c:pt>
                <c:pt idx="105">
                  <c:v>20.73244476318359</c:v>
                </c:pt>
                <c:pt idx="106">
                  <c:v>20.4974479675293</c:v>
                </c:pt>
                <c:pt idx="107">
                  <c:v>20.628005981445309</c:v>
                </c:pt>
                <c:pt idx="108">
                  <c:v>20.915227890014648</c:v>
                </c:pt>
                <c:pt idx="109">
                  <c:v>20.393001556396481</c:v>
                </c:pt>
                <c:pt idx="110">
                  <c:v>20.184112548828121</c:v>
                </c:pt>
                <c:pt idx="111">
                  <c:v>19.95781135559082</c:v>
                </c:pt>
                <c:pt idx="112">
                  <c:v>20.01003456115723</c:v>
                </c:pt>
                <c:pt idx="113">
                  <c:v>19.983921051025391</c:v>
                </c:pt>
                <c:pt idx="114">
                  <c:v>20.02744102478027</c:v>
                </c:pt>
                <c:pt idx="115">
                  <c:v>20.340778350830082</c:v>
                </c:pt>
                <c:pt idx="116">
                  <c:v>20.09707069396973</c:v>
                </c:pt>
                <c:pt idx="117">
                  <c:v>19.888181686401371</c:v>
                </c:pt>
                <c:pt idx="118">
                  <c:v>19.809844970703121</c:v>
                </c:pt>
                <c:pt idx="119">
                  <c:v>20.12318229675293</c:v>
                </c:pt>
                <c:pt idx="120">
                  <c:v>20.253738403320309</c:v>
                </c:pt>
                <c:pt idx="121">
                  <c:v>20.654115676879879</c:v>
                </c:pt>
                <c:pt idx="122">
                  <c:v>20.610595703125</c:v>
                </c:pt>
                <c:pt idx="123">
                  <c:v>19.931699752807621</c:v>
                </c:pt>
                <c:pt idx="124">
                  <c:v>19.226692199707031</c:v>
                </c:pt>
                <c:pt idx="125">
                  <c:v>19.56613922119141</c:v>
                </c:pt>
                <c:pt idx="126">
                  <c:v>19.36595344543457</c:v>
                </c:pt>
                <c:pt idx="127">
                  <c:v>19.43558311462402</c:v>
                </c:pt>
                <c:pt idx="128">
                  <c:v>19.278913497924801</c:v>
                </c:pt>
                <c:pt idx="129">
                  <c:v>19.801143646240231</c:v>
                </c:pt>
                <c:pt idx="130">
                  <c:v>19.5400276184082</c:v>
                </c:pt>
                <c:pt idx="131">
                  <c:v>19.818550109863281</c:v>
                </c:pt>
                <c:pt idx="132">
                  <c:v>19.087432861328121</c:v>
                </c:pt>
                <c:pt idx="133">
                  <c:v>18.991689682006839</c:v>
                </c:pt>
                <c:pt idx="134">
                  <c:v>19.043910980224609</c:v>
                </c:pt>
                <c:pt idx="135">
                  <c:v>19.714105606079102</c:v>
                </c:pt>
                <c:pt idx="136">
                  <c:v>19.766324996948239</c:v>
                </c:pt>
                <c:pt idx="137">
                  <c:v>20.349479675292969</c:v>
                </c:pt>
                <c:pt idx="138">
                  <c:v>20.697635650634769</c:v>
                </c:pt>
                <c:pt idx="139">
                  <c:v>21.080598831176761</c:v>
                </c:pt>
                <c:pt idx="140">
                  <c:v>21.002265930175781</c:v>
                </c:pt>
                <c:pt idx="141">
                  <c:v>20.375591278076168</c:v>
                </c:pt>
                <c:pt idx="142">
                  <c:v>20.02744102478027</c:v>
                </c:pt>
                <c:pt idx="143">
                  <c:v>19.95781135559082</c:v>
                </c:pt>
                <c:pt idx="144">
                  <c:v>19.921812057495121</c:v>
                </c:pt>
                <c:pt idx="145">
                  <c:v>19.798892974853519</c:v>
                </c:pt>
                <c:pt idx="146">
                  <c:v>19.807674407958981</c:v>
                </c:pt>
                <c:pt idx="147">
                  <c:v>19.561836242675781</c:v>
                </c:pt>
                <c:pt idx="148">
                  <c:v>19.728652954101559</c:v>
                </c:pt>
                <c:pt idx="149">
                  <c:v>19.89547157287598</c:v>
                </c:pt>
                <c:pt idx="150">
                  <c:v>19.939371109008789</c:v>
                </c:pt>
                <c:pt idx="151">
                  <c:v>19.939371109008789</c:v>
                </c:pt>
                <c:pt idx="152">
                  <c:v>20.009613037109379</c:v>
                </c:pt>
                <c:pt idx="153">
                  <c:v>20.580312728881839</c:v>
                </c:pt>
                <c:pt idx="154">
                  <c:v>20.457391738891602</c:v>
                </c:pt>
                <c:pt idx="155">
                  <c:v>20.15887451171875</c:v>
                </c:pt>
                <c:pt idx="156">
                  <c:v>20.36959266662598</c:v>
                </c:pt>
                <c:pt idx="157">
                  <c:v>20.808595657348629</c:v>
                </c:pt>
                <c:pt idx="158">
                  <c:v>20.74713134765625</c:v>
                </c:pt>
                <c:pt idx="159">
                  <c:v>21.098335266113281</c:v>
                </c:pt>
                <c:pt idx="160">
                  <c:v>20.84371185302734</c:v>
                </c:pt>
                <c:pt idx="161">
                  <c:v>20.764694213867191</c:v>
                </c:pt>
                <c:pt idx="162">
                  <c:v>20.712015151977539</c:v>
                </c:pt>
                <c:pt idx="163">
                  <c:v>19.992055892944339</c:v>
                </c:pt>
                <c:pt idx="164">
                  <c:v>20.097410202026371</c:v>
                </c:pt>
                <c:pt idx="165">
                  <c:v>19.8515739440918</c:v>
                </c:pt>
                <c:pt idx="166">
                  <c:v>19.491594314575199</c:v>
                </c:pt>
                <c:pt idx="167">
                  <c:v>19.860353469848629</c:v>
                </c:pt>
                <c:pt idx="168">
                  <c:v>19.82523345947266</c:v>
                </c:pt>
                <c:pt idx="169">
                  <c:v>19.702314376831051</c:v>
                </c:pt>
                <c:pt idx="170">
                  <c:v>20.580312728881839</c:v>
                </c:pt>
                <c:pt idx="171">
                  <c:v>20.088632583618161</c:v>
                </c:pt>
                <c:pt idx="172">
                  <c:v>19.535495758056641</c:v>
                </c:pt>
                <c:pt idx="173">
                  <c:v>20.246673583984379</c:v>
                </c:pt>
                <c:pt idx="174">
                  <c:v>20.580312728881839</c:v>
                </c:pt>
                <c:pt idx="175">
                  <c:v>20.41349029541016</c:v>
                </c:pt>
                <c:pt idx="176">
                  <c:v>20.360813140869141</c:v>
                </c:pt>
                <c:pt idx="177">
                  <c:v>19.8515739440918</c:v>
                </c:pt>
                <c:pt idx="178">
                  <c:v>20.097410202026371</c:v>
                </c:pt>
                <c:pt idx="179">
                  <c:v>20.422271728515621</c:v>
                </c:pt>
                <c:pt idx="180">
                  <c:v>21.168575286865231</c:v>
                </c:pt>
                <c:pt idx="181">
                  <c:v>21.107114791870121</c:v>
                </c:pt>
                <c:pt idx="182">
                  <c:v>20.799814224243161</c:v>
                </c:pt>
                <c:pt idx="183">
                  <c:v>21.265151977539059</c:v>
                </c:pt>
                <c:pt idx="184">
                  <c:v>21.537332534790039</c:v>
                </c:pt>
                <c:pt idx="185">
                  <c:v>21.712932586669918</c:v>
                </c:pt>
                <c:pt idx="186">
                  <c:v>22.2397346496582</c:v>
                </c:pt>
                <c:pt idx="187">
                  <c:v>22.2133903503418</c:v>
                </c:pt>
                <c:pt idx="188">
                  <c:v>22.283632278442379</c:v>
                </c:pt>
                <c:pt idx="189">
                  <c:v>22.309970855712891</c:v>
                </c:pt>
                <c:pt idx="190">
                  <c:v>22.222169876098629</c:v>
                </c:pt>
                <c:pt idx="191">
                  <c:v>22.17827224731445</c:v>
                </c:pt>
                <c:pt idx="192">
                  <c:v>22.046575546264648</c:v>
                </c:pt>
                <c:pt idx="193">
                  <c:v>21.335391998291019</c:v>
                </c:pt>
                <c:pt idx="194">
                  <c:v>21.168575286865231</c:v>
                </c:pt>
                <c:pt idx="195">
                  <c:v>21.247592926025391</c:v>
                </c:pt>
                <c:pt idx="196">
                  <c:v>21.748054504394531</c:v>
                </c:pt>
                <c:pt idx="197">
                  <c:v>21.96755218505859</c:v>
                </c:pt>
                <c:pt idx="198">
                  <c:v>22.608493804931641</c:v>
                </c:pt>
                <c:pt idx="199">
                  <c:v>22.47679328918457</c:v>
                </c:pt>
                <c:pt idx="200">
                  <c:v>23.003593444824219</c:v>
                </c:pt>
                <c:pt idx="201">
                  <c:v>22.397773742675781</c:v>
                </c:pt>
                <c:pt idx="202">
                  <c:v>21.484651565551761</c:v>
                </c:pt>
                <c:pt idx="203">
                  <c:v>20.791032791137699</c:v>
                </c:pt>
                <c:pt idx="204">
                  <c:v>20.553970336914059</c:v>
                </c:pt>
                <c:pt idx="205">
                  <c:v>20.141313552856449</c:v>
                </c:pt>
                <c:pt idx="206">
                  <c:v>19.737432479858398</c:v>
                </c:pt>
                <c:pt idx="207">
                  <c:v>19.658416748046879</c:v>
                </c:pt>
                <c:pt idx="208">
                  <c:v>19.149171829223629</c:v>
                </c:pt>
                <c:pt idx="209">
                  <c:v>19.89547157287598</c:v>
                </c:pt>
                <c:pt idx="210">
                  <c:v>20.694452285766602</c:v>
                </c:pt>
                <c:pt idx="211">
                  <c:v>20.650552749633789</c:v>
                </c:pt>
                <c:pt idx="212">
                  <c:v>20.870054244995121</c:v>
                </c:pt>
                <c:pt idx="213">
                  <c:v>19.983272552490231</c:v>
                </c:pt>
                <c:pt idx="214">
                  <c:v>20.097410202026371</c:v>
                </c:pt>
                <c:pt idx="215">
                  <c:v>19.728652954101559</c:v>
                </c:pt>
                <c:pt idx="216">
                  <c:v>20.097410202026371</c:v>
                </c:pt>
                <c:pt idx="217">
                  <c:v>20.553970336914059</c:v>
                </c:pt>
                <c:pt idx="218">
                  <c:v>20.141313552856449</c:v>
                </c:pt>
                <c:pt idx="219">
                  <c:v>19.553054809570309</c:v>
                </c:pt>
                <c:pt idx="220">
                  <c:v>19.48281288146973</c:v>
                </c:pt>
                <c:pt idx="221">
                  <c:v>20.097410202026371</c:v>
                </c:pt>
                <c:pt idx="222">
                  <c:v>20.053512573242191</c:v>
                </c:pt>
                <c:pt idx="223">
                  <c:v>19.693534851074219</c:v>
                </c:pt>
                <c:pt idx="224">
                  <c:v>19.76377105712891</c:v>
                </c:pt>
                <c:pt idx="225">
                  <c:v>20.23789215087891</c:v>
                </c:pt>
                <c:pt idx="226">
                  <c:v>19.948150634765621</c:v>
                </c:pt>
                <c:pt idx="227">
                  <c:v>19.526716232299801</c:v>
                </c:pt>
                <c:pt idx="228">
                  <c:v>20.053512573242191</c:v>
                </c:pt>
                <c:pt idx="229">
                  <c:v>19.71987152099609</c:v>
                </c:pt>
                <c:pt idx="230">
                  <c:v>19.456472396850589</c:v>
                </c:pt>
                <c:pt idx="231">
                  <c:v>19.834014892578121</c:v>
                </c:pt>
                <c:pt idx="232">
                  <c:v>19.772552490234379</c:v>
                </c:pt>
                <c:pt idx="233">
                  <c:v>19.71987152099609</c:v>
                </c:pt>
                <c:pt idx="234">
                  <c:v>19.82523345947266</c:v>
                </c:pt>
                <c:pt idx="235">
                  <c:v>20.483732223510739</c:v>
                </c:pt>
                <c:pt idx="236">
                  <c:v>20.98419189453125</c:v>
                </c:pt>
                <c:pt idx="237">
                  <c:v>20.931512832641602</c:v>
                </c:pt>
                <c:pt idx="238">
                  <c:v>21.08077430725098</c:v>
                </c:pt>
                <c:pt idx="239">
                  <c:v>21.677816390991211</c:v>
                </c:pt>
                <c:pt idx="240">
                  <c:v>21.238811492919918</c:v>
                </c:pt>
                <c:pt idx="241">
                  <c:v>22.046575546264648</c:v>
                </c:pt>
                <c:pt idx="242">
                  <c:v>21.502214431762699</c:v>
                </c:pt>
                <c:pt idx="243">
                  <c:v>21.985113143920898</c:v>
                </c:pt>
                <c:pt idx="244">
                  <c:v>21.25637054443359</c:v>
                </c:pt>
                <c:pt idx="245">
                  <c:v>21.76561164855957</c:v>
                </c:pt>
                <c:pt idx="246">
                  <c:v>21.344173431396481</c:v>
                </c:pt>
                <c:pt idx="247">
                  <c:v>21.66025352478027</c:v>
                </c:pt>
                <c:pt idx="248">
                  <c:v>21.712932586669918</c:v>
                </c:pt>
                <c:pt idx="249">
                  <c:v>21.70415115356445</c:v>
                </c:pt>
                <c:pt idx="250">
                  <c:v>22.046575546264648</c:v>
                </c:pt>
                <c:pt idx="251">
                  <c:v>21.923652648925781</c:v>
                </c:pt>
                <c:pt idx="252">
                  <c:v>21.853410720825199</c:v>
                </c:pt>
                <c:pt idx="253">
                  <c:v>21.607572555541989</c:v>
                </c:pt>
                <c:pt idx="254">
                  <c:v>21.721710205078121</c:v>
                </c:pt>
                <c:pt idx="255">
                  <c:v>21.405632019042969</c:v>
                </c:pt>
                <c:pt idx="256">
                  <c:v>21.045654296875</c:v>
                </c:pt>
                <c:pt idx="257">
                  <c:v>20.91395378112793</c:v>
                </c:pt>
                <c:pt idx="258">
                  <c:v>20.808595657348629</c:v>
                </c:pt>
                <c:pt idx="259">
                  <c:v>20.23789215087891</c:v>
                </c:pt>
                <c:pt idx="260">
                  <c:v>19.81645393371582</c:v>
                </c:pt>
                <c:pt idx="261">
                  <c:v>18.604812622070309</c:v>
                </c:pt>
                <c:pt idx="262">
                  <c:v>17.963872909545898</c:v>
                </c:pt>
                <c:pt idx="263">
                  <c:v>18.05167388916016</c:v>
                </c:pt>
                <c:pt idx="264">
                  <c:v>17.928754806518551</c:v>
                </c:pt>
                <c:pt idx="265">
                  <c:v>18.060455322265621</c:v>
                </c:pt>
                <c:pt idx="266">
                  <c:v>18.157033920288089</c:v>
                </c:pt>
                <c:pt idx="267">
                  <c:v>17.788274765014648</c:v>
                </c:pt>
                <c:pt idx="268">
                  <c:v>17.919973373413089</c:v>
                </c:pt>
                <c:pt idx="269">
                  <c:v>17.665353775024411</c:v>
                </c:pt>
                <c:pt idx="270">
                  <c:v>17.665353775024411</c:v>
                </c:pt>
                <c:pt idx="271">
                  <c:v>17.998996734619141</c:v>
                </c:pt>
                <c:pt idx="272">
                  <c:v>17.445854187011719</c:v>
                </c:pt>
                <c:pt idx="273">
                  <c:v>17.691694259643551</c:v>
                </c:pt>
                <c:pt idx="274">
                  <c:v>17.753154754638668</c:v>
                </c:pt>
                <c:pt idx="275">
                  <c:v>18.095573425292969</c:v>
                </c:pt>
                <c:pt idx="276">
                  <c:v>17.832174301147461</c:v>
                </c:pt>
                <c:pt idx="277">
                  <c:v>17.42829513549805</c:v>
                </c:pt>
                <c:pt idx="278">
                  <c:v>17.40195274353027</c:v>
                </c:pt>
                <c:pt idx="279">
                  <c:v>17.349271774291989</c:v>
                </c:pt>
                <c:pt idx="280">
                  <c:v>17.041971206665039</c:v>
                </c:pt>
                <c:pt idx="281">
                  <c:v>17.147335052490231</c:v>
                </c:pt>
                <c:pt idx="282">
                  <c:v>17.077096939086911</c:v>
                </c:pt>
                <c:pt idx="283">
                  <c:v>16.629312515258789</c:v>
                </c:pt>
                <c:pt idx="284">
                  <c:v>17.217575073242191</c:v>
                </c:pt>
                <c:pt idx="285">
                  <c:v>16.488836288452148</c:v>
                </c:pt>
                <c:pt idx="286">
                  <c:v>16.357133865356449</c:v>
                </c:pt>
                <c:pt idx="287">
                  <c:v>16.418598175048832</c:v>
                </c:pt>
                <c:pt idx="288">
                  <c:v>16.58541297912598</c:v>
                </c:pt>
                <c:pt idx="289">
                  <c:v>16.155195236206051</c:v>
                </c:pt>
                <c:pt idx="290">
                  <c:v>15.926913261413571</c:v>
                </c:pt>
                <c:pt idx="291">
                  <c:v>16.199094772338871</c:v>
                </c:pt>
                <c:pt idx="292">
                  <c:v>16.68199348449707</c:v>
                </c:pt>
                <c:pt idx="293">
                  <c:v>16.744140625</c:v>
                </c:pt>
                <c:pt idx="294">
                  <c:v>16.89506912231445</c:v>
                </c:pt>
                <c:pt idx="295">
                  <c:v>17.321218490600589</c:v>
                </c:pt>
                <c:pt idx="296">
                  <c:v>17.205802917480469</c:v>
                </c:pt>
                <c:pt idx="297">
                  <c:v>17.250192642211911</c:v>
                </c:pt>
                <c:pt idx="298">
                  <c:v>17.205802917480469</c:v>
                </c:pt>
                <c:pt idx="299">
                  <c:v>17.0104866027832</c:v>
                </c:pt>
                <c:pt idx="300">
                  <c:v>16.761896133422852</c:v>
                </c:pt>
                <c:pt idx="301">
                  <c:v>16.273601531982418</c:v>
                </c:pt>
                <c:pt idx="302">
                  <c:v>15.847451210021971</c:v>
                </c:pt>
                <c:pt idx="303">
                  <c:v>16.193698883056641</c:v>
                </c:pt>
                <c:pt idx="304">
                  <c:v>16.238088607788089</c:v>
                </c:pt>
                <c:pt idx="305">
                  <c:v>15.68764495849609</c:v>
                </c:pt>
                <c:pt idx="306">
                  <c:v>15.76754760742188</c:v>
                </c:pt>
                <c:pt idx="307">
                  <c:v>16.664236068725589</c:v>
                </c:pt>
                <c:pt idx="308">
                  <c:v>16.26472282409668</c:v>
                </c:pt>
                <c:pt idx="309">
                  <c:v>16.37126350402832</c:v>
                </c:pt>
                <c:pt idx="310">
                  <c:v>16.575456619262699</c:v>
                </c:pt>
                <c:pt idx="311">
                  <c:v>16.655363082885739</c:v>
                </c:pt>
                <c:pt idx="312">
                  <c:v>16.38901519775391</c:v>
                </c:pt>
                <c:pt idx="313">
                  <c:v>16.522190093994141</c:v>
                </c:pt>
                <c:pt idx="314">
                  <c:v>16.433406829833981</c:v>
                </c:pt>
                <c:pt idx="315">
                  <c:v>16.735263824462891</c:v>
                </c:pt>
                <c:pt idx="316">
                  <c:v>16.575456619262699</c:v>
                </c:pt>
                <c:pt idx="317">
                  <c:v>16.806289672851559</c:v>
                </c:pt>
                <c:pt idx="318">
                  <c:v>17.0104866027832</c:v>
                </c:pt>
                <c:pt idx="319">
                  <c:v>16.921701431274411</c:v>
                </c:pt>
                <c:pt idx="320">
                  <c:v>16.38901519775391</c:v>
                </c:pt>
                <c:pt idx="321">
                  <c:v>16.167062759399411</c:v>
                </c:pt>
                <c:pt idx="322">
                  <c:v>16.07828330993652</c:v>
                </c:pt>
                <c:pt idx="323">
                  <c:v>15.8918399810791</c:v>
                </c:pt>
                <c:pt idx="324">
                  <c:v>16.131551742553711</c:v>
                </c:pt>
                <c:pt idx="325">
                  <c:v>16.37126350402832</c:v>
                </c:pt>
                <c:pt idx="326">
                  <c:v>16.610967636108398</c:v>
                </c:pt>
                <c:pt idx="327">
                  <c:v>16.619846343994141</c:v>
                </c:pt>
                <c:pt idx="328">
                  <c:v>17.054874420166019</c:v>
                </c:pt>
                <c:pt idx="329">
                  <c:v>16.761896133422852</c:v>
                </c:pt>
                <c:pt idx="330">
                  <c:v>16.47779655456543</c:v>
                </c:pt>
                <c:pt idx="331">
                  <c:v>15.900717735290529</c:v>
                </c:pt>
                <c:pt idx="332">
                  <c:v>16.610967636108398</c:v>
                </c:pt>
                <c:pt idx="333">
                  <c:v>17.001605987548832</c:v>
                </c:pt>
                <c:pt idx="334">
                  <c:v>17.303464889526371</c:v>
                </c:pt>
                <c:pt idx="335">
                  <c:v>17.418880462646481</c:v>
                </c:pt>
                <c:pt idx="336">
                  <c:v>17.303464889526371</c:v>
                </c:pt>
                <c:pt idx="337">
                  <c:v>17.845029830932621</c:v>
                </c:pt>
                <c:pt idx="338">
                  <c:v>17.8894157409668</c:v>
                </c:pt>
                <c:pt idx="339">
                  <c:v>18.031467437744141</c:v>
                </c:pt>
                <c:pt idx="340">
                  <c:v>17.995956420898441</c:v>
                </c:pt>
                <c:pt idx="341">
                  <c:v>17.91605377197266</c:v>
                </c:pt>
                <c:pt idx="342">
                  <c:v>18.093612670898441</c:v>
                </c:pt>
                <c:pt idx="343">
                  <c:v>17.8894157409668</c:v>
                </c:pt>
                <c:pt idx="344">
                  <c:v>17.85390663146973</c:v>
                </c:pt>
                <c:pt idx="345">
                  <c:v>17.85390663146973</c:v>
                </c:pt>
                <c:pt idx="346">
                  <c:v>17.8894157409668</c:v>
                </c:pt>
                <c:pt idx="347">
                  <c:v>17.836151123046879</c:v>
                </c:pt>
                <c:pt idx="348">
                  <c:v>17.729612350463871</c:v>
                </c:pt>
                <c:pt idx="349">
                  <c:v>17.560932159423832</c:v>
                </c:pt>
                <c:pt idx="350">
                  <c:v>17.330099105834961</c:v>
                </c:pt>
                <c:pt idx="351">
                  <c:v>17.090387344360352</c:v>
                </c:pt>
                <c:pt idx="352">
                  <c:v>17.090387344360352</c:v>
                </c:pt>
                <c:pt idx="353">
                  <c:v>17.028240203857418</c:v>
                </c:pt>
                <c:pt idx="354">
                  <c:v>16.548820495605469</c:v>
                </c:pt>
                <c:pt idx="355">
                  <c:v>16.32686805725098</c:v>
                </c:pt>
                <c:pt idx="356">
                  <c:v>16.362380981445309</c:v>
                </c:pt>
                <c:pt idx="357">
                  <c:v>16.246963500976559</c:v>
                </c:pt>
                <c:pt idx="358">
                  <c:v>16.353506088256839</c:v>
                </c:pt>
                <c:pt idx="359">
                  <c:v>16.060525894165039</c:v>
                </c:pt>
                <c:pt idx="360">
                  <c:v>15.96286678314209</c:v>
                </c:pt>
                <c:pt idx="361">
                  <c:v>16.362380981445309</c:v>
                </c:pt>
                <c:pt idx="362">
                  <c:v>16.451164245605469</c:v>
                </c:pt>
                <c:pt idx="363">
                  <c:v>16.921701431274411</c:v>
                </c:pt>
                <c:pt idx="364">
                  <c:v>17.081508636474609</c:v>
                </c:pt>
                <c:pt idx="365">
                  <c:v>16.47779655456543</c:v>
                </c:pt>
                <c:pt idx="366">
                  <c:v>16.0516471862793</c:v>
                </c:pt>
                <c:pt idx="367">
                  <c:v>15.794180870056151</c:v>
                </c:pt>
                <c:pt idx="368">
                  <c:v>15.430178642272949</c:v>
                </c:pt>
                <c:pt idx="369">
                  <c:v>15.456812858581539</c:v>
                </c:pt>
                <c:pt idx="370">
                  <c:v>15.11056518554688</c:v>
                </c:pt>
                <c:pt idx="371">
                  <c:v>15.11056518554688</c:v>
                </c:pt>
                <c:pt idx="372">
                  <c:v>14.8087100982666</c:v>
                </c:pt>
                <c:pt idx="373">
                  <c:v>14.746564865112299</c:v>
                </c:pt>
                <c:pt idx="374">
                  <c:v>14.81758880615234</c:v>
                </c:pt>
                <c:pt idx="375">
                  <c:v>14.90637111663818</c:v>
                </c:pt>
                <c:pt idx="376">
                  <c:v>15.190469741821291</c:v>
                </c:pt>
                <c:pt idx="377">
                  <c:v>15.0040283203125</c:v>
                </c:pt>
                <c:pt idx="378">
                  <c:v>15.06617546081543</c:v>
                </c:pt>
                <c:pt idx="379">
                  <c:v>15.137199401855471</c:v>
                </c:pt>
                <c:pt idx="380">
                  <c:v>15.714277267456049</c:v>
                </c:pt>
                <c:pt idx="381">
                  <c:v>15.66100978851318</c:v>
                </c:pt>
                <c:pt idx="382">
                  <c:v>15.51895904541016</c:v>
                </c:pt>
                <c:pt idx="383">
                  <c:v>15.146078109741209</c:v>
                </c:pt>
                <c:pt idx="384">
                  <c:v>15.58998394012451</c:v>
                </c:pt>
                <c:pt idx="385">
                  <c:v>15.208226203918461</c:v>
                </c:pt>
                <c:pt idx="386">
                  <c:v>15.18159294128418</c:v>
                </c:pt>
                <c:pt idx="387">
                  <c:v>16.02501106262207</c:v>
                </c:pt>
                <c:pt idx="388">
                  <c:v>15.81194019317627</c:v>
                </c:pt>
                <c:pt idx="389">
                  <c:v>16.1226692199707</c:v>
                </c:pt>
                <c:pt idx="390">
                  <c:v>16.042766571044918</c:v>
                </c:pt>
                <c:pt idx="391">
                  <c:v>15.82969284057617</c:v>
                </c:pt>
                <c:pt idx="392">
                  <c:v>15.882962226867679</c:v>
                </c:pt>
                <c:pt idx="393">
                  <c:v>16.246963500976559</c:v>
                </c:pt>
                <c:pt idx="394">
                  <c:v>16.37126350402832</c:v>
                </c:pt>
                <c:pt idx="395">
                  <c:v>16.53106689453125</c:v>
                </c:pt>
                <c:pt idx="396">
                  <c:v>16.584335327148441</c:v>
                </c:pt>
                <c:pt idx="397">
                  <c:v>16.612155914306641</c:v>
                </c:pt>
                <c:pt idx="398">
                  <c:v>16.863447189331051</c:v>
                </c:pt>
                <c:pt idx="399">
                  <c:v>16.809598922729489</c:v>
                </c:pt>
                <c:pt idx="400">
                  <c:v>16.97114181518555</c:v>
                </c:pt>
                <c:pt idx="401">
                  <c:v>16.522407531738281</c:v>
                </c:pt>
                <c:pt idx="402">
                  <c:v>16.324966430664059</c:v>
                </c:pt>
                <c:pt idx="403">
                  <c:v>16.45061111450195</c:v>
                </c:pt>
                <c:pt idx="404">
                  <c:v>16.67497634887695</c:v>
                </c:pt>
                <c:pt idx="405">
                  <c:v>16.818572998046879</c:v>
                </c:pt>
                <c:pt idx="406">
                  <c:v>16.585233688354489</c:v>
                </c:pt>
                <c:pt idx="407">
                  <c:v>17.231410980224609</c:v>
                </c:pt>
                <c:pt idx="408">
                  <c:v>17.725019454956051</c:v>
                </c:pt>
                <c:pt idx="409">
                  <c:v>17.545524597167969</c:v>
                </c:pt>
                <c:pt idx="410">
                  <c:v>17.733993530273441</c:v>
                </c:pt>
                <c:pt idx="411">
                  <c:v>17.671169281005859</c:v>
                </c:pt>
                <c:pt idx="412">
                  <c:v>17.48270225524902</c:v>
                </c:pt>
                <c:pt idx="413">
                  <c:v>17.473726272583011</c:v>
                </c:pt>
                <c:pt idx="414">
                  <c:v>17.321157455444339</c:v>
                </c:pt>
                <c:pt idx="415">
                  <c:v>17.383977890014648</c:v>
                </c:pt>
                <c:pt idx="416">
                  <c:v>17.5275764465332</c:v>
                </c:pt>
                <c:pt idx="417">
                  <c:v>17.87758827209473</c:v>
                </c:pt>
                <c:pt idx="418">
                  <c:v>17.6173210144043</c:v>
                </c:pt>
                <c:pt idx="419">
                  <c:v>17.689119338989261</c:v>
                </c:pt>
                <c:pt idx="420">
                  <c:v>18.26350021362305</c:v>
                </c:pt>
                <c:pt idx="421">
                  <c:v>18.407096862792969</c:v>
                </c:pt>
                <c:pt idx="422">
                  <c:v>18.119905471801761</c:v>
                </c:pt>
                <c:pt idx="423">
                  <c:v>17.725019454956051</c:v>
                </c:pt>
                <c:pt idx="424">
                  <c:v>17.419878005981449</c:v>
                </c:pt>
                <c:pt idx="425">
                  <c:v>17.40192985534668</c:v>
                </c:pt>
                <c:pt idx="426">
                  <c:v>17.572446823120121</c:v>
                </c:pt>
                <c:pt idx="427">
                  <c:v>16.594205856323239</c:v>
                </c:pt>
                <c:pt idx="428">
                  <c:v>16.522407531738281</c:v>
                </c:pt>
                <c:pt idx="429">
                  <c:v>16.809598922729489</c:v>
                </c:pt>
                <c:pt idx="430">
                  <c:v>16.80062294006348</c:v>
                </c:pt>
                <c:pt idx="431">
                  <c:v>16.3070182800293</c:v>
                </c:pt>
                <c:pt idx="432">
                  <c:v>15.912129402160639</c:v>
                </c:pt>
                <c:pt idx="433">
                  <c:v>16.046751022338871</c:v>
                </c:pt>
                <c:pt idx="434">
                  <c:v>16.208293914794918</c:v>
                </c:pt>
                <c:pt idx="435">
                  <c:v>16.351886749267582</c:v>
                </c:pt>
                <c:pt idx="436">
                  <c:v>16.09162521362305</c:v>
                </c:pt>
                <c:pt idx="437">
                  <c:v>16.082651138305661</c:v>
                </c:pt>
                <c:pt idx="438">
                  <c:v>16.18137168884277</c:v>
                </c:pt>
                <c:pt idx="439">
                  <c:v>16.118549346923832</c:v>
                </c:pt>
                <c:pt idx="440">
                  <c:v>16.369840621948239</c:v>
                </c:pt>
                <c:pt idx="441">
                  <c:v>16.163421630859379</c:v>
                </c:pt>
                <c:pt idx="442">
                  <c:v>16.36086463928223</c:v>
                </c:pt>
                <c:pt idx="443">
                  <c:v>16.244194030761719</c:v>
                </c:pt>
                <c:pt idx="444">
                  <c:v>15.867258071899411</c:v>
                </c:pt>
                <c:pt idx="445">
                  <c:v>15.98392868041992</c:v>
                </c:pt>
                <c:pt idx="446">
                  <c:v>16.154447555541989</c:v>
                </c:pt>
                <c:pt idx="447">
                  <c:v>16.00187873840332</c:v>
                </c:pt>
                <c:pt idx="448">
                  <c:v>16.262144088745121</c:v>
                </c:pt>
                <c:pt idx="449">
                  <c:v>16.513431549072269</c:v>
                </c:pt>
                <c:pt idx="450">
                  <c:v>16.62113189697266</c:v>
                </c:pt>
                <c:pt idx="451">
                  <c:v>16.75575065612793</c:v>
                </c:pt>
                <c:pt idx="452">
                  <c:v>16.82755088806152</c:v>
                </c:pt>
                <c:pt idx="453">
                  <c:v>16.88139533996582</c:v>
                </c:pt>
                <c:pt idx="454">
                  <c:v>16.854475021362301</c:v>
                </c:pt>
                <c:pt idx="455">
                  <c:v>17.09678840637207</c:v>
                </c:pt>
                <c:pt idx="456">
                  <c:v>16.9621696472168</c:v>
                </c:pt>
                <c:pt idx="457">
                  <c:v>16.71087646484375</c:v>
                </c:pt>
                <c:pt idx="458">
                  <c:v>16.998067855834961</c:v>
                </c:pt>
                <c:pt idx="459">
                  <c:v>16.74677658081055</c:v>
                </c:pt>
                <c:pt idx="460">
                  <c:v>16.773700714111332</c:v>
                </c:pt>
                <c:pt idx="461">
                  <c:v>16.872421264648441</c:v>
                </c:pt>
                <c:pt idx="462">
                  <c:v>17.069866180419918</c:v>
                </c:pt>
                <c:pt idx="463">
                  <c:v>17.509628295898441</c:v>
                </c:pt>
                <c:pt idx="464">
                  <c:v>17.30320930480957</c:v>
                </c:pt>
                <c:pt idx="465">
                  <c:v>16.8903694152832</c:v>
                </c:pt>
                <c:pt idx="466">
                  <c:v>17.078842163085941</c:v>
                </c:pt>
                <c:pt idx="467">
                  <c:v>17.19550895690918</c:v>
                </c:pt>
                <c:pt idx="468">
                  <c:v>17.357053756713871</c:v>
                </c:pt>
                <c:pt idx="469">
                  <c:v>17.19550895690918</c:v>
                </c:pt>
                <c:pt idx="470">
                  <c:v>17.069866180419918</c:v>
                </c:pt>
                <c:pt idx="471">
                  <c:v>17.159612655639648</c:v>
                </c:pt>
                <c:pt idx="472">
                  <c:v>17.258333206176761</c:v>
                </c:pt>
                <c:pt idx="473">
                  <c:v>17.159612655639648</c:v>
                </c:pt>
                <c:pt idx="474">
                  <c:v>17.123712539672852</c:v>
                </c:pt>
                <c:pt idx="475">
                  <c:v>16.863447189331051</c:v>
                </c:pt>
                <c:pt idx="476">
                  <c:v>16.71087646484375</c:v>
                </c:pt>
                <c:pt idx="477">
                  <c:v>16.782674789428711</c:v>
                </c:pt>
                <c:pt idx="478">
                  <c:v>16.45061111450195</c:v>
                </c:pt>
                <c:pt idx="479">
                  <c:v>16.298040390014648</c:v>
                </c:pt>
                <c:pt idx="480">
                  <c:v>16.100601196289059</c:v>
                </c:pt>
                <c:pt idx="481">
                  <c:v>16.172397613525391</c:v>
                </c:pt>
                <c:pt idx="482">
                  <c:v>16.2352180480957</c:v>
                </c:pt>
                <c:pt idx="483">
                  <c:v>16.31599044799805</c:v>
                </c:pt>
                <c:pt idx="484">
                  <c:v>16.387790679931641</c:v>
                </c:pt>
                <c:pt idx="485">
                  <c:v>16.351886749267582</c:v>
                </c:pt>
                <c:pt idx="486">
                  <c:v>16.298040390014648</c:v>
                </c:pt>
                <c:pt idx="487">
                  <c:v>15.90315628051758</c:v>
                </c:pt>
                <c:pt idx="488">
                  <c:v>15.867258071899411</c:v>
                </c:pt>
                <c:pt idx="489">
                  <c:v>15.499295234680179</c:v>
                </c:pt>
                <c:pt idx="490">
                  <c:v>15.553140640258791</c:v>
                </c:pt>
                <c:pt idx="491">
                  <c:v>15.194156646728519</c:v>
                </c:pt>
                <c:pt idx="492">
                  <c:v>15.427497863769529</c:v>
                </c:pt>
                <c:pt idx="493">
                  <c:v>15.15825366973877</c:v>
                </c:pt>
                <c:pt idx="494">
                  <c:v>15.194156646728519</c:v>
                </c:pt>
                <c:pt idx="495">
                  <c:v>15.15825366973877</c:v>
                </c:pt>
                <c:pt idx="496">
                  <c:v>14.89799118041992</c:v>
                </c:pt>
                <c:pt idx="497">
                  <c:v>15.20313167572021</c:v>
                </c:pt>
                <c:pt idx="498">
                  <c:v>15.07748222351074</c:v>
                </c:pt>
                <c:pt idx="499">
                  <c:v>15.274928092956539</c:v>
                </c:pt>
                <c:pt idx="500">
                  <c:v>15.05056190490723</c:v>
                </c:pt>
                <c:pt idx="501">
                  <c:v>15.22107982635498</c:v>
                </c:pt>
                <c:pt idx="502">
                  <c:v>15.38262271881104</c:v>
                </c:pt>
                <c:pt idx="503">
                  <c:v>15.651864051818849</c:v>
                </c:pt>
                <c:pt idx="504">
                  <c:v>15.633914947509769</c:v>
                </c:pt>
                <c:pt idx="505">
                  <c:v>15.589042663574221</c:v>
                </c:pt>
                <c:pt idx="506">
                  <c:v>15.553140640258791</c:v>
                </c:pt>
                <c:pt idx="507">
                  <c:v>15.481344223022459</c:v>
                </c:pt>
                <c:pt idx="508">
                  <c:v>15.606990814208981</c:v>
                </c:pt>
                <c:pt idx="509">
                  <c:v>15.66084098815918</c:v>
                </c:pt>
                <c:pt idx="510">
                  <c:v>15.31980037689209</c:v>
                </c:pt>
                <c:pt idx="511">
                  <c:v>13.821027755737299</c:v>
                </c:pt>
                <c:pt idx="512">
                  <c:v>13.62358474731445</c:v>
                </c:pt>
                <c:pt idx="513">
                  <c:v>13.632558822631839</c:v>
                </c:pt>
                <c:pt idx="514">
                  <c:v>13.42614078521729</c:v>
                </c:pt>
                <c:pt idx="515">
                  <c:v>13.30049419403076</c:v>
                </c:pt>
                <c:pt idx="516">
                  <c:v>13.327419281005859</c:v>
                </c:pt>
                <c:pt idx="517">
                  <c:v>13.34536743164062</c:v>
                </c:pt>
                <c:pt idx="518">
                  <c:v>13.30049419403076</c:v>
                </c:pt>
                <c:pt idx="519">
                  <c:v>13.27357006072998</c:v>
                </c:pt>
                <c:pt idx="520">
                  <c:v>13.327419281005859</c:v>
                </c:pt>
                <c:pt idx="521">
                  <c:v>13.740256309509279</c:v>
                </c:pt>
                <c:pt idx="522">
                  <c:v>13.946672439575201</c:v>
                </c:pt>
                <c:pt idx="523">
                  <c:v>13.90180015563965</c:v>
                </c:pt>
                <c:pt idx="524">
                  <c:v>13.946672439575201</c:v>
                </c:pt>
                <c:pt idx="525">
                  <c:v>13.803078651428221</c:v>
                </c:pt>
                <c:pt idx="526">
                  <c:v>13.73128128051758</c:v>
                </c:pt>
                <c:pt idx="527">
                  <c:v>13.6864070892334</c:v>
                </c:pt>
                <c:pt idx="528">
                  <c:v>13.695381164550779</c:v>
                </c:pt>
                <c:pt idx="529">
                  <c:v>13.7043571472168</c:v>
                </c:pt>
                <c:pt idx="530">
                  <c:v>13.73128128051758</c:v>
                </c:pt>
                <c:pt idx="531">
                  <c:v>13.488962173461911</c:v>
                </c:pt>
                <c:pt idx="532">
                  <c:v>13.53383731842041</c:v>
                </c:pt>
                <c:pt idx="533">
                  <c:v>13.767178535461429</c:v>
                </c:pt>
                <c:pt idx="534">
                  <c:v>13.56076049804688</c:v>
                </c:pt>
                <c:pt idx="535">
                  <c:v>13.632558822631839</c:v>
                </c:pt>
                <c:pt idx="536">
                  <c:v>13.596658706665041</c:v>
                </c:pt>
                <c:pt idx="537">
                  <c:v>13.6864070892334</c:v>
                </c:pt>
                <c:pt idx="538">
                  <c:v>14.045393943786619</c:v>
                </c:pt>
                <c:pt idx="539">
                  <c:v>13.9376974105835</c:v>
                </c:pt>
                <c:pt idx="540">
                  <c:v>13.96462249755859</c:v>
                </c:pt>
                <c:pt idx="541">
                  <c:v>14.05436992645264</c:v>
                </c:pt>
                <c:pt idx="542">
                  <c:v>14.242836952209471</c:v>
                </c:pt>
                <c:pt idx="543">
                  <c:v>14.26976203918457</c:v>
                </c:pt>
                <c:pt idx="544">
                  <c:v>14.323610305786129</c:v>
                </c:pt>
                <c:pt idx="545">
                  <c:v>14.399106025695801</c:v>
                </c:pt>
                <c:pt idx="546">
                  <c:v>14.37181949615479</c:v>
                </c:pt>
                <c:pt idx="547">
                  <c:v>14.007975578308111</c:v>
                </c:pt>
                <c:pt idx="548">
                  <c:v>14.22628116607666</c:v>
                </c:pt>
                <c:pt idx="549">
                  <c:v>14.22628116607666</c:v>
                </c:pt>
                <c:pt idx="550">
                  <c:v>14.044358253479</c:v>
                </c:pt>
                <c:pt idx="551">
                  <c:v>14.05345630645752</c:v>
                </c:pt>
                <c:pt idx="552">
                  <c:v>14.38091564178467</c:v>
                </c:pt>
                <c:pt idx="553">
                  <c:v>14.417299270629879</c:v>
                </c:pt>
                <c:pt idx="554">
                  <c:v>14.153512954711911</c:v>
                </c:pt>
                <c:pt idx="555">
                  <c:v>14.208088874816889</c:v>
                </c:pt>
                <c:pt idx="556">
                  <c:v>14.399106025695801</c:v>
                </c:pt>
                <c:pt idx="557">
                  <c:v>14.22628116607666</c:v>
                </c:pt>
                <c:pt idx="558">
                  <c:v>13.998879432678221</c:v>
                </c:pt>
                <c:pt idx="559">
                  <c:v>14.07164859771729</c:v>
                </c:pt>
                <c:pt idx="560">
                  <c:v>13.826052665710449</c:v>
                </c:pt>
                <c:pt idx="561">
                  <c:v>14.098936080932621</c:v>
                </c:pt>
                <c:pt idx="562">
                  <c:v>14.208088874816889</c:v>
                </c:pt>
                <c:pt idx="563">
                  <c:v>14.326337814331049</c:v>
                </c:pt>
                <c:pt idx="564">
                  <c:v>14.46277904510498</c:v>
                </c:pt>
                <c:pt idx="565">
                  <c:v>14.61741352081299</c:v>
                </c:pt>
                <c:pt idx="566">
                  <c:v>14.68108654022217</c:v>
                </c:pt>
                <c:pt idx="567">
                  <c:v>14.790239334106451</c:v>
                </c:pt>
                <c:pt idx="568">
                  <c:v>14.61741352081299</c:v>
                </c:pt>
                <c:pt idx="569">
                  <c:v>14.599221229553221</c:v>
                </c:pt>
                <c:pt idx="570">
                  <c:v>14.56283664703369</c:v>
                </c:pt>
                <c:pt idx="571">
                  <c:v>14.77204608917236</c:v>
                </c:pt>
                <c:pt idx="572">
                  <c:v>14.61741352081299</c:v>
                </c:pt>
                <c:pt idx="573">
                  <c:v>15.27233219146729</c:v>
                </c:pt>
                <c:pt idx="574">
                  <c:v>15.499733924865721</c:v>
                </c:pt>
                <c:pt idx="575">
                  <c:v>15.72713565826416</c:v>
                </c:pt>
                <c:pt idx="576">
                  <c:v>16.263803482055661</c:v>
                </c:pt>
                <c:pt idx="577">
                  <c:v>16.109170913696289</c:v>
                </c:pt>
                <c:pt idx="578">
                  <c:v>14.753854751586911</c:v>
                </c:pt>
                <c:pt idx="579">
                  <c:v>14.82662391662598</c:v>
                </c:pt>
                <c:pt idx="580">
                  <c:v>14.753854751586911</c:v>
                </c:pt>
                <c:pt idx="581">
                  <c:v>14.89939117431641</c:v>
                </c:pt>
                <c:pt idx="582">
                  <c:v>15.11769962310791</c:v>
                </c:pt>
                <c:pt idx="583">
                  <c:v>15.12679290771484</c:v>
                </c:pt>
                <c:pt idx="584">
                  <c:v>14.972159385681151</c:v>
                </c:pt>
                <c:pt idx="585">
                  <c:v>15.15408229827881</c:v>
                </c:pt>
                <c:pt idx="586">
                  <c:v>15.28142642974854</c:v>
                </c:pt>
                <c:pt idx="587">
                  <c:v>15.026737213134769</c:v>
                </c:pt>
                <c:pt idx="588">
                  <c:v>15.017641067504879</c:v>
                </c:pt>
                <c:pt idx="589">
                  <c:v>15.19956207275391</c:v>
                </c:pt>
                <c:pt idx="590">
                  <c:v>15.263235092163089</c:v>
                </c:pt>
                <c:pt idx="591">
                  <c:v>15.25413990020752</c:v>
                </c:pt>
                <c:pt idx="592">
                  <c:v>15.19956207275391</c:v>
                </c:pt>
                <c:pt idx="593">
                  <c:v>15.34509944915771</c:v>
                </c:pt>
                <c:pt idx="594">
                  <c:v>15.172275543212891</c:v>
                </c:pt>
                <c:pt idx="595">
                  <c:v>15.33600425720215</c:v>
                </c:pt>
                <c:pt idx="596">
                  <c:v>15.58159828186035</c:v>
                </c:pt>
                <c:pt idx="597">
                  <c:v>15.58159828186035</c:v>
                </c:pt>
                <c:pt idx="598">
                  <c:v>15.436060905456539</c:v>
                </c:pt>
                <c:pt idx="599">
                  <c:v>15.208658218383791</c:v>
                </c:pt>
                <c:pt idx="600">
                  <c:v>15.354195594787599</c:v>
                </c:pt>
                <c:pt idx="601">
                  <c:v>15.45425510406494</c:v>
                </c:pt>
                <c:pt idx="602">
                  <c:v>15.708945274353029</c:v>
                </c:pt>
                <c:pt idx="603">
                  <c:v>15.58159828186035</c:v>
                </c:pt>
                <c:pt idx="604">
                  <c:v>15.690750122070311</c:v>
                </c:pt>
                <c:pt idx="605">
                  <c:v>15.76351737976074</c:v>
                </c:pt>
                <c:pt idx="606">
                  <c:v>15.84538745880127</c:v>
                </c:pt>
                <c:pt idx="607">
                  <c:v>15.963631629943849</c:v>
                </c:pt>
                <c:pt idx="608">
                  <c:v>15.799904823303221</c:v>
                </c:pt>
                <c:pt idx="609">
                  <c:v>15.93634605407715</c:v>
                </c:pt>
                <c:pt idx="610">
                  <c:v>16.163749694824219</c:v>
                </c:pt>
                <c:pt idx="611">
                  <c:v>15.990921974182131</c:v>
                </c:pt>
                <c:pt idx="612">
                  <c:v>15.93634605407715</c:v>
                </c:pt>
                <c:pt idx="613">
                  <c:v>16.14555740356445</c:v>
                </c:pt>
                <c:pt idx="614">
                  <c:v>16.32747840881348</c:v>
                </c:pt>
                <c:pt idx="615">
                  <c:v>16.427534103393551</c:v>
                </c:pt>
                <c:pt idx="616">
                  <c:v>16.372957229614261</c:v>
                </c:pt>
                <c:pt idx="617">
                  <c:v>16.473016738891602</c:v>
                </c:pt>
                <c:pt idx="618">
                  <c:v>16.14555740356445</c:v>
                </c:pt>
                <c:pt idx="619">
                  <c:v>16.154653549194339</c:v>
                </c:pt>
                <c:pt idx="620">
                  <c:v>16.181940078735352</c:v>
                </c:pt>
                <c:pt idx="621">
                  <c:v>16.27290153503418</c:v>
                </c:pt>
                <c:pt idx="622">
                  <c:v>16.136459350585941</c:v>
                </c:pt>
                <c:pt idx="623">
                  <c:v>16.172843933105469</c:v>
                </c:pt>
                <c:pt idx="624">
                  <c:v>16.01821136474609</c:v>
                </c:pt>
                <c:pt idx="625">
                  <c:v>15.708945274353029</c:v>
                </c:pt>
                <c:pt idx="626">
                  <c:v>15.863576889038089</c:v>
                </c:pt>
                <c:pt idx="627">
                  <c:v>15.42696571350098</c:v>
                </c:pt>
                <c:pt idx="628">
                  <c:v>15.563406944274901</c:v>
                </c:pt>
                <c:pt idx="629">
                  <c:v>15.627079010009769</c:v>
                </c:pt>
                <c:pt idx="630">
                  <c:v>15.46334934234619</c:v>
                </c:pt>
                <c:pt idx="631">
                  <c:v>15.863576889038089</c:v>
                </c:pt>
                <c:pt idx="632">
                  <c:v>16.01821136474609</c:v>
                </c:pt>
                <c:pt idx="633">
                  <c:v>16.181940078735352</c:v>
                </c:pt>
                <c:pt idx="634">
                  <c:v>16.14555740356445</c:v>
                </c:pt>
                <c:pt idx="635">
                  <c:v>16.236516952514648</c:v>
                </c:pt>
                <c:pt idx="636">
                  <c:v>16.01821136474609</c:v>
                </c:pt>
                <c:pt idx="637">
                  <c:v>14.972159385681151</c:v>
                </c:pt>
                <c:pt idx="638">
                  <c:v>15.37238693237305</c:v>
                </c:pt>
                <c:pt idx="639">
                  <c:v>15.654365539550779</c:v>
                </c:pt>
                <c:pt idx="640">
                  <c:v>15.78171348571777</c:v>
                </c:pt>
                <c:pt idx="641">
                  <c:v>15.590695381164551</c:v>
                </c:pt>
                <c:pt idx="642">
                  <c:v>15.54521656036377</c:v>
                </c:pt>
                <c:pt idx="643">
                  <c:v>15.436060905456539</c:v>
                </c:pt>
                <c:pt idx="644">
                  <c:v>15.263235092163089</c:v>
                </c:pt>
                <c:pt idx="645">
                  <c:v>15.462272644042971</c:v>
                </c:pt>
                <c:pt idx="646">
                  <c:v>15.09368324279785</c:v>
                </c:pt>
                <c:pt idx="647">
                  <c:v>15.03839683532715</c:v>
                </c:pt>
                <c:pt idx="648">
                  <c:v>15.14897441864014</c:v>
                </c:pt>
                <c:pt idx="649">
                  <c:v>15.20426082611084</c:v>
                </c:pt>
                <c:pt idx="650">
                  <c:v>15.13054370880127</c:v>
                </c:pt>
                <c:pt idx="651">
                  <c:v>15.112112998962401</c:v>
                </c:pt>
                <c:pt idx="652">
                  <c:v>15.379341125488279</c:v>
                </c:pt>
                <c:pt idx="653">
                  <c:v>15.370125770568849</c:v>
                </c:pt>
                <c:pt idx="654">
                  <c:v>15.53599166870117</c:v>
                </c:pt>
                <c:pt idx="655">
                  <c:v>15.471487998962401</c:v>
                </c:pt>
                <c:pt idx="656">
                  <c:v>15.36091136932373</c:v>
                </c:pt>
                <c:pt idx="657">
                  <c:v>15.07525539398193</c:v>
                </c:pt>
                <c:pt idx="658">
                  <c:v>15.324050903320311</c:v>
                </c:pt>
                <c:pt idx="659">
                  <c:v>15.250332832336429</c:v>
                </c:pt>
                <c:pt idx="660">
                  <c:v>15.59127902984619</c:v>
                </c:pt>
                <c:pt idx="661">
                  <c:v>15.996725082397459</c:v>
                </c:pt>
                <c:pt idx="662">
                  <c:v>15.91379547119141</c:v>
                </c:pt>
                <c:pt idx="663">
                  <c:v>16.134946823120121</c:v>
                </c:pt>
                <c:pt idx="664">
                  <c:v>16.162590026855469</c:v>
                </c:pt>
                <c:pt idx="665">
                  <c:v>16.070444107055661</c:v>
                </c:pt>
                <c:pt idx="666">
                  <c:v>16.19944953918457</c:v>
                </c:pt>
                <c:pt idx="667">
                  <c:v>16.098087310791019</c:v>
                </c:pt>
                <c:pt idx="668">
                  <c:v>16.005941390991211</c:v>
                </c:pt>
                <c:pt idx="669">
                  <c:v>16.24552154541016</c:v>
                </c:pt>
                <c:pt idx="670">
                  <c:v>16.236309051513668</c:v>
                </c:pt>
                <c:pt idx="671">
                  <c:v>16.17180252075195</c:v>
                </c:pt>
                <c:pt idx="672">
                  <c:v>16.33766937255859</c:v>
                </c:pt>
                <c:pt idx="673">
                  <c:v>16.300809860229489</c:v>
                </c:pt>
                <c:pt idx="674">
                  <c:v>16.088871002197269</c:v>
                </c:pt>
                <c:pt idx="675">
                  <c:v>16.300809860229489</c:v>
                </c:pt>
                <c:pt idx="676">
                  <c:v>16.25473594665527</c:v>
                </c:pt>
                <c:pt idx="677">
                  <c:v>16.485103607177731</c:v>
                </c:pt>
                <c:pt idx="678">
                  <c:v>16.04279708862305</c:v>
                </c:pt>
                <c:pt idx="679">
                  <c:v>16.17180252075195</c:v>
                </c:pt>
                <c:pt idx="680">
                  <c:v>16.098087310791019</c:v>
                </c:pt>
                <c:pt idx="681">
                  <c:v>16.927410125732418</c:v>
                </c:pt>
                <c:pt idx="682">
                  <c:v>17.203851699829102</c:v>
                </c:pt>
                <c:pt idx="683">
                  <c:v>17.323640823364261</c:v>
                </c:pt>
                <c:pt idx="684">
                  <c:v>17.31442832946777</c:v>
                </c:pt>
                <c:pt idx="685">
                  <c:v>16.97348594665527</c:v>
                </c:pt>
                <c:pt idx="686">
                  <c:v>16.964267730712891</c:v>
                </c:pt>
                <c:pt idx="687">
                  <c:v>17.286787033081051</c:v>
                </c:pt>
                <c:pt idx="688">
                  <c:v>17.001129150390621</c:v>
                </c:pt>
                <c:pt idx="689">
                  <c:v>17.139348983764648</c:v>
                </c:pt>
                <c:pt idx="690">
                  <c:v>17.102487564086911</c:v>
                </c:pt>
                <c:pt idx="691">
                  <c:v>16.936624526977539</c:v>
                </c:pt>
                <c:pt idx="692">
                  <c:v>16.660182952880859</c:v>
                </c:pt>
                <c:pt idx="693">
                  <c:v>16.623325347900391</c:v>
                </c:pt>
                <c:pt idx="694">
                  <c:v>16.650966644287109</c:v>
                </c:pt>
                <c:pt idx="695">
                  <c:v>16.67861366271973</c:v>
                </c:pt>
                <c:pt idx="696">
                  <c:v>16.95505332946777</c:v>
                </c:pt>
                <c:pt idx="697">
                  <c:v>16.816835403442379</c:v>
                </c:pt>
                <c:pt idx="698">
                  <c:v>16.67861366271973</c:v>
                </c:pt>
                <c:pt idx="699">
                  <c:v>17.342071533203121</c:v>
                </c:pt>
                <c:pt idx="700">
                  <c:v>18.060819625854489</c:v>
                </c:pt>
                <c:pt idx="701">
                  <c:v>17.94102668762207</c:v>
                </c:pt>
                <c:pt idx="702">
                  <c:v>18.005533218383789</c:v>
                </c:pt>
                <c:pt idx="703">
                  <c:v>18.272756576538089</c:v>
                </c:pt>
                <c:pt idx="704">
                  <c:v>18.420192718505859</c:v>
                </c:pt>
                <c:pt idx="705">
                  <c:v>18.309616088867191</c:v>
                </c:pt>
                <c:pt idx="706">
                  <c:v>18.23590087890625</c:v>
                </c:pt>
                <c:pt idx="707">
                  <c:v>18.420192718505859</c:v>
                </c:pt>
                <c:pt idx="708">
                  <c:v>18.5123405456543</c:v>
                </c:pt>
                <c:pt idx="709">
                  <c:v>18.63212966918945</c:v>
                </c:pt>
                <c:pt idx="710">
                  <c:v>18.586057662963871</c:v>
                </c:pt>
                <c:pt idx="711">
                  <c:v>18.383335113525391</c:v>
                </c:pt>
                <c:pt idx="712">
                  <c:v>18.30040168762207</c:v>
                </c:pt>
                <c:pt idx="713">
                  <c:v>18.604486465454102</c:v>
                </c:pt>
                <c:pt idx="714">
                  <c:v>18.751920700073239</c:v>
                </c:pt>
                <c:pt idx="715">
                  <c:v>18.70584869384766</c:v>
                </c:pt>
                <c:pt idx="716">
                  <c:v>18.99150466918945</c:v>
                </c:pt>
                <c:pt idx="717">
                  <c:v>18.825641632080082</c:v>
                </c:pt>
                <c:pt idx="718">
                  <c:v>18.604486465454102</c:v>
                </c:pt>
                <c:pt idx="719">
                  <c:v>18.521554946899411</c:v>
                </c:pt>
                <c:pt idx="720">
                  <c:v>18.55841064453125</c:v>
                </c:pt>
                <c:pt idx="721">
                  <c:v>18.30040168762207</c:v>
                </c:pt>
                <c:pt idx="722">
                  <c:v>18.595272064208981</c:v>
                </c:pt>
                <c:pt idx="723">
                  <c:v>18.715061187744141</c:v>
                </c:pt>
                <c:pt idx="724">
                  <c:v>18.86249923706055</c:v>
                </c:pt>
                <c:pt idx="725">
                  <c:v>18.44783782958984</c:v>
                </c:pt>
                <c:pt idx="726">
                  <c:v>18.2266845703125</c:v>
                </c:pt>
                <c:pt idx="727">
                  <c:v>18.715061187744141</c:v>
                </c:pt>
                <c:pt idx="728">
                  <c:v>18.530769348144531</c:v>
                </c:pt>
                <c:pt idx="729">
                  <c:v>18.420192718505859</c:v>
                </c:pt>
                <c:pt idx="730">
                  <c:v>18.429409027099609</c:v>
                </c:pt>
                <c:pt idx="731">
                  <c:v>18.383335113525391</c:v>
                </c:pt>
                <c:pt idx="732">
                  <c:v>18.392547607421879</c:v>
                </c:pt>
                <c:pt idx="733">
                  <c:v>18.272756576538089</c:v>
                </c:pt>
                <c:pt idx="734">
                  <c:v>18.245113372802731</c:v>
                </c:pt>
                <c:pt idx="735">
                  <c:v>17.775165557861332</c:v>
                </c:pt>
                <c:pt idx="736">
                  <c:v>17.8120231628418</c:v>
                </c:pt>
                <c:pt idx="737">
                  <c:v>17.867307662963871</c:v>
                </c:pt>
                <c:pt idx="738">
                  <c:v>17.74752044677734</c:v>
                </c:pt>
                <c:pt idx="739">
                  <c:v>17.710659027099609</c:v>
                </c:pt>
                <c:pt idx="740">
                  <c:v>17.894954681396481</c:v>
                </c:pt>
                <c:pt idx="741">
                  <c:v>17.867307662963871</c:v>
                </c:pt>
                <c:pt idx="742">
                  <c:v>18.116107940673832</c:v>
                </c:pt>
                <c:pt idx="743">
                  <c:v>17.71987342834473</c:v>
                </c:pt>
                <c:pt idx="744">
                  <c:v>17.66458702087402</c:v>
                </c:pt>
                <c:pt idx="745">
                  <c:v>17.36971473693848</c:v>
                </c:pt>
                <c:pt idx="746">
                  <c:v>17.443435668945309</c:v>
                </c:pt>
                <c:pt idx="747">
                  <c:v>16.779973983764648</c:v>
                </c:pt>
                <c:pt idx="748">
                  <c:v>16.32845306396484</c:v>
                </c:pt>
                <c:pt idx="749">
                  <c:v>16.24552154541016</c:v>
                </c:pt>
                <c:pt idx="750">
                  <c:v>16.35610198974609</c:v>
                </c:pt>
                <c:pt idx="751">
                  <c:v>16.392959594726559</c:v>
                </c:pt>
                <c:pt idx="752">
                  <c:v>16.521965026855469</c:v>
                </c:pt>
                <c:pt idx="753">
                  <c:v>16.19944953918457</c:v>
                </c:pt>
                <c:pt idx="754">
                  <c:v>16.19944953918457</c:v>
                </c:pt>
                <c:pt idx="755">
                  <c:v>16.32845306396484</c:v>
                </c:pt>
                <c:pt idx="756">
                  <c:v>16.35610198974609</c:v>
                </c:pt>
                <c:pt idx="757">
                  <c:v>16.429817199707031</c:v>
                </c:pt>
                <c:pt idx="758">
                  <c:v>16.457460403442379</c:v>
                </c:pt>
                <c:pt idx="759">
                  <c:v>16.76154708862305</c:v>
                </c:pt>
                <c:pt idx="760">
                  <c:v>16.586467742919918</c:v>
                </c:pt>
                <c:pt idx="761">
                  <c:v>16.531181335449219</c:v>
                </c:pt>
                <c:pt idx="762">
                  <c:v>16.32845306396484</c:v>
                </c:pt>
                <c:pt idx="763">
                  <c:v>15.91379547119141</c:v>
                </c:pt>
                <c:pt idx="764">
                  <c:v>15.711067199707029</c:v>
                </c:pt>
                <c:pt idx="765">
                  <c:v>15.618924140930179</c:v>
                </c:pt>
                <c:pt idx="766">
                  <c:v>15.213475227355961</c:v>
                </c:pt>
                <c:pt idx="767">
                  <c:v>15.48991584777832</c:v>
                </c:pt>
                <c:pt idx="768">
                  <c:v>15.94143676757812</c:v>
                </c:pt>
                <c:pt idx="769">
                  <c:v>15.81243228912354</c:v>
                </c:pt>
                <c:pt idx="770">
                  <c:v>15.70185470581055</c:v>
                </c:pt>
                <c:pt idx="771">
                  <c:v>15.674211502075201</c:v>
                </c:pt>
                <c:pt idx="772">
                  <c:v>15.60971069335938</c:v>
                </c:pt>
                <c:pt idx="773">
                  <c:v>15.637351036071779</c:v>
                </c:pt>
                <c:pt idx="774">
                  <c:v>15.397768974304199</c:v>
                </c:pt>
                <c:pt idx="775">
                  <c:v>15.453060150146481</c:v>
                </c:pt>
                <c:pt idx="776">
                  <c:v>15.545205116271971</c:v>
                </c:pt>
                <c:pt idx="777">
                  <c:v>15.60049438476562</c:v>
                </c:pt>
                <c:pt idx="778">
                  <c:v>15.637351036071779</c:v>
                </c:pt>
                <c:pt idx="779">
                  <c:v>15.784786224365231</c:v>
                </c:pt>
                <c:pt idx="780">
                  <c:v>15.74792957305908</c:v>
                </c:pt>
                <c:pt idx="781">
                  <c:v>15.637351036071779</c:v>
                </c:pt>
                <c:pt idx="782">
                  <c:v>15.545205116271971</c:v>
                </c:pt>
                <c:pt idx="783">
                  <c:v>15.59127902984619</c:v>
                </c:pt>
                <c:pt idx="784">
                  <c:v>15.618924140930179</c:v>
                </c:pt>
                <c:pt idx="785">
                  <c:v>15.711067199707029</c:v>
                </c:pt>
                <c:pt idx="786">
                  <c:v>15.886149406433111</c:v>
                </c:pt>
                <c:pt idx="787">
                  <c:v>15.784786224365231</c:v>
                </c:pt>
                <c:pt idx="788">
                  <c:v>15.784786224365231</c:v>
                </c:pt>
                <c:pt idx="789">
                  <c:v>15.674211502075201</c:v>
                </c:pt>
                <c:pt idx="790">
                  <c:v>15.91379547119141</c:v>
                </c:pt>
                <c:pt idx="791">
                  <c:v>16.03358268737793</c:v>
                </c:pt>
                <c:pt idx="792">
                  <c:v>15.996725082397459</c:v>
                </c:pt>
                <c:pt idx="793">
                  <c:v>15.959866523742679</c:v>
                </c:pt>
                <c:pt idx="794">
                  <c:v>15.69264030456543</c:v>
                </c:pt>
                <c:pt idx="795">
                  <c:v>15.545205116271971</c:v>
                </c:pt>
                <c:pt idx="796">
                  <c:v>15.74733734130859</c:v>
                </c:pt>
                <c:pt idx="797">
                  <c:v>15.841349601745611</c:v>
                </c:pt>
                <c:pt idx="798">
                  <c:v>15.79434108734131</c:v>
                </c:pt>
                <c:pt idx="799">
                  <c:v>16.12339019775391</c:v>
                </c:pt>
                <c:pt idx="800">
                  <c:v>16.490045547485352</c:v>
                </c:pt>
                <c:pt idx="801">
                  <c:v>16.931911468505859</c:v>
                </c:pt>
                <c:pt idx="802">
                  <c:v>16.772087097167969</c:v>
                </c:pt>
                <c:pt idx="803">
                  <c:v>16.725082397460941</c:v>
                </c:pt>
                <c:pt idx="804">
                  <c:v>16.790889739990231</c:v>
                </c:pt>
                <c:pt idx="805">
                  <c:v>16.74388313293457</c:v>
                </c:pt>
                <c:pt idx="806">
                  <c:v>16.725082397460941</c:v>
                </c:pt>
                <c:pt idx="807">
                  <c:v>16.866104125976559</c:v>
                </c:pt>
                <c:pt idx="808">
                  <c:v>16.837896347045898</c:v>
                </c:pt>
                <c:pt idx="809">
                  <c:v>17.176349639892582</c:v>
                </c:pt>
                <c:pt idx="810">
                  <c:v>16.978916168212891</c:v>
                </c:pt>
                <c:pt idx="811">
                  <c:v>17.054128646850589</c:v>
                </c:pt>
                <c:pt idx="812">
                  <c:v>17.242156982421879</c:v>
                </c:pt>
                <c:pt idx="813">
                  <c:v>17.129339218139648</c:v>
                </c:pt>
                <c:pt idx="814">
                  <c:v>17.514797210693359</c:v>
                </c:pt>
                <c:pt idx="815">
                  <c:v>17.50539588928223</c:v>
                </c:pt>
                <c:pt idx="816">
                  <c:v>17.637018203735352</c:v>
                </c:pt>
                <c:pt idx="817">
                  <c:v>18.07888031005859</c:v>
                </c:pt>
                <c:pt idx="818">
                  <c:v>18.210500717163089</c:v>
                </c:pt>
                <c:pt idx="819">
                  <c:v>18.266910552978519</c:v>
                </c:pt>
                <c:pt idx="820">
                  <c:v>18.332719802856449</c:v>
                </c:pt>
                <c:pt idx="821">
                  <c:v>18.14468955993652</c:v>
                </c:pt>
                <c:pt idx="822">
                  <c:v>18.210500717163089</c:v>
                </c:pt>
                <c:pt idx="823">
                  <c:v>18.699371337890621</c:v>
                </c:pt>
                <c:pt idx="824">
                  <c:v>19.178842544555661</c:v>
                </c:pt>
                <c:pt idx="825">
                  <c:v>19.094230651855469</c:v>
                </c:pt>
                <c:pt idx="826">
                  <c:v>19.423280715942379</c:v>
                </c:pt>
                <c:pt idx="827">
                  <c:v>19.30106353759766</c:v>
                </c:pt>
                <c:pt idx="828">
                  <c:v>20.918100357055661</c:v>
                </c:pt>
                <c:pt idx="829">
                  <c:v>20.382223129272461</c:v>
                </c:pt>
                <c:pt idx="830">
                  <c:v>20.485639572143551</c:v>
                </c:pt>
                <c:pt idx="831">
                  <c:v>20.75827598571777</c:v>
                </c:pt>
                <c:pt idx="832">
                  <c:v>20.551448822021481</c:v>
                </c:pt>
                <c:pt idx="833">
                  <c:v>20.692470550537109</c:v>
                </c:pt>
                <c:pt idx="834">
                  <c:v>21.425779342651371</c:v>
                </c:pt>
                <c:pt idx="835">
                  <c:v>21.247152328491211</c:v>
                </c:pt>
                <c:pt idx="836">
                  <c:v>21.256551742553711</c:v>
                </c:pt>
                <c:pt idx="837">
                  <c:v>20.80528450012207</c:v>
                </c:pt>
                <c:pt idx="838">
                  <c:v>20.965108871459961</c:v>
                </c:pt>
                <c:pt idx="839">
                  <c:v>20.466836929321289</c:v>
                </c:pt>
                <c:pt idx="840">
                  <c:v>19.554901123046879</c:v>
                </c:pt>
                <c:pt idx="841">
                  <c:v>19.733526229858398</c:v>
                </c:pt>
                <c:pt idx="842">
                  <c:v>19.714723587036129</c:v>
                </c:pt>
                <c:pt idx="843">
                  <c:v>19.87454795837402</c:v>
                </c:pt>
                <c:pt idx="844">
                  <c:v>20.024969100952148</c:v>
                </c:pt>
                <c:pt idx="845">
                  <c:v>20.034372329711911</c:v>
                </c:pt>
                <c:pt idx="846">
                  <c:v>20.297611236572269</c:v>
                </c:pt>
                <c:pt idx="847">
                  <c:v>20.44803428649902</c:v>
                </c:pt>
                <c:pt idx="848">
                  <c:v>20.52324295043945</c:v>
                </c:pt>
                <c:pt idx="849">
                  <c:v>20.692470550537109</c:v>
                </c:pt>
                <c:pt idx="850">
                  <c:v>20.927505493164059</c:v>
                </c:pt>
                <c:pt idx="851">
                  <c:v>20.97451019287109</c:v>
                </c:pt>
                <c:pt idx="852">
                  <c:v>21.21894645690918</c:v>
                </c:pt>
                <c:pt idx="853">
                  <c:v>21.002714157104489</c:v>
                </c:pt>
                <c:pt idx="854">
                  <c:v>21.002714157104489</c:v>
                </c:pt>
                <c:pt idx="855">
                  <c:v>21.09672927856445</c:v>
                </c:pt>
                <c:pt idx="856">
                  <c:v>21.435178756713871</c:v>
                </c:pt>
                <c:pt idx="857">
                  <c:v>21.62320709228516</c:v>
                </c:pt>
                <c:pt idx="858">
                  <c:v>21.811235427856449</c:v>
                </c:pt>
                <c:pt idx="859">
                  <c:v>21.886445999145511</c:v>
                </c:pt>
                <c:pt idx="860">
                  <c:v>21.604404449462891</c:v>
                </c:pt>
                <c:pt idx="861">
                  <c:v>21.67961502075195</c:v>
                </c:pt>
                <c:pt idx="862">
                  <c:v>21.529191970825199</c:v>
                </c:pt>
                <c:pt idx="863">
                  <c:v>21.190744400024411</c:v>
                </c:pt>
                <c:pt idx="864">
                  <c:v>21.26595497131348</c:v>
                </c:pt>
                <c:pt idx="865">
                  <c:v>21.55739784240723</c:v>
                </c:pt>
                <c:pt idx="866">
                  <c:v>21.54799652099609</c:v>
                </c:pt>
                <c:pt idx="867">
                  <c:v>21.858242034912109</c:v>
                </c:pt>
                <c:pt idx="868">
                  <c:v>21.811235427856449</c:v>
                </c:pt>
                <c:pt idx="869">
                  <c:v>21.801834106445309</c:v>
                </c:pt>
                <c:pt idx="870">
                  <c:v>21.595001220703121</c:v>
                </c:pt>
                <c:pt idx="871">
                  <c:v>21.134332656860352</c:v>
                </c:pt>
                <c:pt idx="872">
                  <c:v>21.33176231384277</c:v>
                </c:pt>
                <c:pt idx="873">
                  <c:v>21.482185363769531</c:v>
                </c:pt>
                <c:pt idx="874">
                  <c:v>21.33176231384277</c:v>
                </c:pt>
                <c:pt idx="875">
                  <c:v>21.228347778320309</c:v>
                </c:pt>
                <c:pt idx="876">
                  <c:v>21.20954513549805</c:v>
                </c:pt>
                <c:pt idx="877">
                  <c:v>21.585601806640621</c:v>
                </c:pt>
                <c:pt idx="878">
                  <c:v>21.04972076416016</c:v>
                </c:pt>
                <c:pt idx="879">
                  <c:v>20.936906814575199</c:v>
                </c:pt>
                <c:pt idx="880">
                  <c:v>21.04972076416016</c:v>
                </c:pt>
                <c:pt idx="881">
                  <c:v>20.983913421630859</c:v>
                </c:pt>
                <c:pt idx="882">
                  <c:v>21.068523406982418</c:v>
                </c:pt>
                <c:pt idx="883">
                  <c:v>21.425779342651371</c:v>
                </c:pt>
                <c:pt idx="884">
                  <c:v>21.538593292236332</c:v>
                </c:pt>
                <c:pt idx="885">
                  <c:v>21.924053192138668</c:v>
                </c:pt>
                <c:pt idx="886">
                  <c:v>21.877046585083011</c:v>
                </c:pt>
                <c:pt idx="887">
                  <c:v>21.294157028198239</c:v>
                </c:pt>
                <c:pt idx="888">
                  <c:v>21.55739784240723</c:v>
                </c:pt>
                <c:pt idx="889">
                  <c:v>21.96165657043457</c:v>
                </c:pt>
                <c:pt idx="890">
                  <c:v>21.642011642456051</c:v>
                </c:pt>
                <c:pt idx="891">
                  <c:v>21.529191970825199</c:v>
                </c:pt>
                <c:pt idx="892">
                  <c:v>21.303560256958011</c:v>
                </c:pt>
                <c:pt idx="893">
                  <c:v>21.162538528442379</c:v>
                </c:pt>
                <c:pt idx="894">
                  <c:v>20.871095657348629</c:v>
                </c:pt>
                <c:pt idx="895">
                  <c:v>20.833490371704102</c:v>
                </c:pt>
                <c:pt idx="896">
                  <c:v>20.880495071411129</c:v>
                </c:pt>
                <c:pt idx="897">
                  <c:v>20.730073928833011</c:v>
                </c:pt>
                <c:pt idx="898">
                  <c:v>20.579648971557621</c:v>
                </c:pt>
                <c:pt idx="899">
                  <c:v>20.74887657165527</c:v>
                </c:pt>
                <c:pt idx="900">
                  <c:v>20.701333999633789</c:v>
                </c:pt>
                <c:pt idx="901">
                  <c:v>20.0832405090332</c:v>
                </c:pt>
                <c:pt idx="902">
                  <c:v>19.883546829223629</c:v>
                </c:pt>
                <c:pt idx="903">
                  <c:v>19.740913391113281</c:v>
                </c:pt>
                <c:pt idx="904">
                  <c:v>19.702875137329102</c:v>
                </c:pt>
                <c:pt idx="905">
                  <c:v>19.693365097045898</c:v>
                </c:pt>
                <c:pt idx="906">
                  <c:v>20.349493026733398</c:v>
                </c:pt>
                <c:pt idx="907">
                  <c:v>20.587223052978519</c:v>
                </c:pt>
                <c:pt idx="908">
                  <c:v>20.682315826416019</c:v>
                </c:pt>
                <c:pt idx="909">
                  <c:v>20.95808029174805</c:v>
                </c:pt>
                <c:pt idx="910">
                  <c:v>20.939060211181641</c:v>
                </c:pt>
                <c:pt idx="911">
                  <c:v>20.95808029174805</c:v>
                </c:pt>
                <c:pt idx="912">
                  <c:v>20.74887657165527</c:v>
                </c:pt>
                <c:pt idx="913">
                  <c:v>20.473114013671879</c:v>
                </c:pt>
                <c:pt idx="914">
                  <c:v>20.539678573608398</c:v>
                </c:pt>
                <c:pt idx="915">
                  <c:v>20.663295745849609</c:v>
                </c:pt>
                <c:pt idx="916">
                  <c:v>20.9105339050293</c:v>
                </c:pt>
                <c:pt idx="917">
                  <c:v>20.88200569152832</c:v>
                </c:pt>
                <c:pt idx="918">
                  <c:v>21.671262741088871</c:v>
                </c:pt>
                <c:pt idx="919">
                  <c:v>21.718807220458981</c:v>
                </c:pt>
                <c:pt idx="920">
                  <c:v>22.042116165161129</c:v>
                </c:pt>
                <c:pt idx="921">
                  <c:v>21.623714447021481</c:v>
                </c:pt>
                <c:pt idx="922">
                  <c:v>20.986604690551761</c:v>
                </c:pt>
                <c:pt idx="923">
                  <c:v>21.110223770141602</c:v>
                </c:pt>
                <c:pt idx="924">
                  <c:v>21.034151077270511</c:v>
                </c:pt>
                <c:pt idx="925">
                  <c:v>21.414516448974609</c:v>
                </c:pt>
                <c:pt idx="926">
                  <c:v>21.737825393676761</c:v>
                </c:pt>
                <c:pt idx="927">
                  <c:v>21.737825393676761</c:v>
                </c:pt>
                <c:pt idx="928">
                  <c:v>22.023097991943359</c:v>
                </c:pt>
                <c:pt idx="929">
                  <c:v>22.09917068481445</c:v>
                </c:pt>
                <c:pt idx="930">
                  <c:v>22.21327972412109</c:v>
                </c:pt>
                <c:pt idx="931">
                  <c:v>22.10868072509766</c:v>
                </c:pt>
                <c:pt idx="932">
                  <c:v>22.251316070556641</c:v>
                </c:pt>
                <c:pt idx="933">
                  <c:v>22.20377159118652</c:v>
                </c:pt>
                <c:pt idx="934">
                  <c:v>21.994569778442379</c:v>
                </c:pt>
                <c:pt idx="935">
                  <c:v>21.53813362121582</c:v>
                </c:pt>
                <c:pt idx="936">
                  <c:v>22.27033615112305</c:v>
                </c:pt>
                <c:pt idx="937">
                  <c:v>21.614206314086911</c:v>
                </c:pt>
                <c:pt idx="938">
                  <c:v>21.6617546081543</c:v>
                </c:pt>
                <c:pt idx="939">
                  <c:v>21.65224456787109</c:v>
                </c:pt>
                <c:pt idx="940">
                  <c:v>21.528623580932621</c:v>
                </c:pt>
                <c:pt idx="941">
                  <c:v>21.37647819519043</c:v>
                </c:pt>
                <c:pt idx="942">
                  <c:v>21.015132904052731</c:v>
                </c:pt>
                <c:pt idx="943">
                  <c:v>20.84396934509277</c:v>
                </c:pt>
                <c:pt idx="944">
                  <c:v>21.50960731506348</c:v>
                </c:pt>
                <c:pt idx="945">
                  <c:v>21.51911544799805</c:v>
                </c:pt>
                <c:pt idx="946">
                  <c:v>21.63322639465332</c:v>
                </c:pt>
                <c:pt idx="947">
                  <c:v>21.50009727478027</c:v>
                </c:pt>
                <c:pt idx="948">
                  <c:v>21.6617546081543</c:v>
                </c:pt>
                <c:pt idx="949">
                  <c:v>21.58568000793457</c:v>
                </c:pt>
                <c:pt idx="950">
                  <c:v>21.576169967651371</c:v>
                </c:pt>
                <c:pt idx="951">
                  <c:v>21.40500640869141</c:v>
                </c:pt>
                <c:pt idx="952">
                  <c:v>21.766351699829102</c:v>
                </c:pt>
                <c:pt idx="953">
                  <c:v>20.511148452758789</c:v>
                </c:pt>
                <c:pt idx="954">
                  <c:v>20.14980506896973</c:v>
                </c:pt>
                <c:pt idx="955">
                  <c:v>20.11176681518555</c:v>
                </c:pt>
                <c:pt idx="956">
                  <c:v>20.549186706542969</c:v>
                </c:pt>
                <c:pt idx="957">
                  <c:v>20.710844039916989</c:v>
                </c:pt>
                <c:pt idx="958">
                  <c:v>20.615751266479489</c:v>
                </c:pt>
                <c:pt idx="959">
                  <c:v>20.482624053955082</c:v>
                </c:pt>
                <c:pt idx="960">
                  <c:v>20.473114013671879</c:v>
                </c:pt>
                <c:pt idx="961">
                  <c:v>20.634769439697269</c:v>
                </c:pt>
                <c:pt idx="962">
                  <c:v>20.74887657165527</c:v>
                </c:pt>
                <c:pt idx="963">
                  <c:v>20.87249755859375</c:v>
                </c:pt>
                <c:pt idx="964">
                  <c:v>20.9105339050293</c:v>
                </c:pt>
                <c:pt idx="965">
                  <c:v>21.28138542175293</c:v>
                </c:pt>
                <c:pt idx="966">
                  <c:v>21.214824676513668</c:v>
                </c:pt>
                <c:pt idx="967">
                  <c:v>21.148260116577148</c:v>
                </c:pt>
                <c:pt idx="968">
                  <c:v>20.75838661193848</c:v>
                </c:pt>
                <c:pt idx="969">
                  <c:v>20.79642295837402</c:v>
                </c:pt>
                <c:pt idx="970">
                  <c:v>20.891513824462891</c:v>
                </c:pt>
                <c:pt idx="971">
                  <c:v>20.682315826416019</c:v>
                </c:pt>
                <c:pt idx="972">
                  <c:v>20.67280387878418</c:v>
                </c:pt>
                <c:pt idx="973">
                  <c:v>20.511148452758789</c:v>
                </c:pt>
                <c:pt idx="974">
                  <c:v>20.359003067016602</c:v>
                </c:pt>
                <c:pt idx="975">
                  <c:v>20.168821334838871</c:v>
                </c:pt>
                <c:pt idx="976">
                  <c:v>20.301948547363281</c:v>
                </c:pt>
                <c:pt idx="977">
                  <c:v>20.13078498840332</c:v>
                </c:pt>
                <c:pt idx="978">
                  <c:v>19.807476043701168</c:v>
                </c:pt>
                <c:pt idx="979">
                  <c:v>19.750423431396481</c:v>
                </c:pt>
                <c:pt idx="980">
                  <c:v>19.750423431396481</c:v>
                </c:pt>
                <c:pt idx="981">
                  <c:v>19.49367523193359</c:v>
                </c:pt>
                <c:pt idx="982">
                  <c:v>19.113311767578121</c:v>
                </c:pt>
                <c:pt idx="983">
                  <c:v>18.856563568115231</c:v>
                </c:pt>
                <c:pt idx="984">
                  <c:v>18.74245452880859</c:v>
                </c:pt>
                <c:pt idx="985">
                  <c:v>19.075271606445309</c:v>
                </c:pt>
                <c:pt idx="986">
                  <c:v>18.78049278259277</c:v>
                </c:pt>
                <c:pt idx="987">
                  <c:v>18.885091781616211</c:v>
                </c:pt>
                <c:pt idx="988">
                  <c:v>18.485710144042969</c:v>
                </c:pt>
                <c:pt idx="989">
                  <c:v>18.03878211975098</c:v>
                </c:pt>
                <c:pt idx="990">
                  <c:v>17.591854095458981</c:v>
                </c:pt>
                <c:pt idx="991">
                  <c:v>17.39216232299805</c:v>
                </c:pt>
                <c:pt idx="992">
                  <c:v>17.496761322021481</c:v>
                </c:pt>
                <c:pt idx="993">
                  <c:v>17.658414840698239</c:v>
                </c:pt>
                <c:pt idx="994">
                  <c:v>17.544309616088871</c:v>
                </c:pt>
                <c:pt idx="995">
                  <c:v>17.658414840698239</c:v>
                </c:pt>
                <c:pt idx="996">
                  <c:v>17.1734504699707</c:v>
                </c:pt>
                <c:pt idx="997">
                  <c:v>17.420688629150391</c:v>
                </c:pt>
                <c:pt idx="998">
                  <c:v>17.677434921264648</c:v>
                </c:pt>
                <c:pt idx="999">
                  <c:v>17.90565299987793</c:v>
                </c:pt>
                <c:pt idx="1000">
                  <c:v>17.743999481201168</c:v>
                </c:pt>
                <c:pt idx="1001">
                  <c:v>17.753507614135739</c:v>
                </c:pt>
                <c:pt idx="1002">
                  <c:v>17.27805328369141</c:v>
                </c:pt>
                <c:pt idx="1003">
                  <c:v>17.3541259765625</c:v>
                </c:pt>
                <c:pt idx="1004">
                  <c:v>17.306581497192379</c:v>
                </c:pt>
                <c:pt idx="1005">
                  <c:v>17.487251281738281</c:v>
                </c:pt>
                <c:pt idx="1006">
                  <c:v>16.498306274414059</c:v>
                </c:pt>
                <c:pt idx="1007">
                  <c:v>15.766103744506839</c:v>
                </c:pt>
                <c:pt idx="1008">
                  <c:v>15.95628643035889</c:v>
                </c:pt>
                <c:pt idx="1009">
                  <c:v>15.61395931243896</c:v>
                </c:pt>
                <c:pt idx="1010">
                  <c:v>16.793088912963871</c:v>
                </c:pt>
                <c:pt idx="1011">
                  <c:v>16.146469116210941</c:v>
                </c:pt>
                <c:pt idx="1012">
                  <c:v>16.051376342773441</c:v>
                </c:pt>
                <c:pt idx="1013">
                  <c:v>16.174997329711911</c:v>
                </c:pt>
                <c:pt idx="1014">
                  <c:v>16.194013595581051</c:v>
                </c:pt>
                <c:pt idx="1015">
                  <c:v>15.766103744506839</c:v>
                </c:pt>
                <c:pt idx="1016">
                  <c:v>15.3477029800415</c:v>
                </c:pt>
                <c:pt idx="1017">
                  <c:v>15.766103744506839</c:v>
                </c:pt>
                <c:pt idx="1018">
                  <c:v>16.0323600769043</c:v>
                </c:pt>
                <c:pt idx="1019">
                  <c:v>16.384195327758789</c:v>
                </c:pt>
                <c:pt idx="1020">
                  <c:v>16.507814407348629</c:v>
                </c:pt>
                <c:pt idx="1021">
                  <c:v>16.54585075378418</c:v>
                </c:pt>
                <c:pt idx="1022">
                  <c:v>16.47928619384766</c:v>
                </c:pt>
                <c:pt idx="1023">
                  <c:v>16.707504272460941</c:v>
                </c:pt>
                <c:pt idx="1024">
                  <c:v>16.73603439331055</c:v>
                </c:pt>
                <c:pt idx="1025">
                  <c:v>16.73603439331055</c:v>
                </c:pt>
                <c:pt idx="1026">
                  <c:v>17.002286911010739</c:v>
                </c:pt>
                <c:pt idx="1027">
                  <c:v>16.973760604858398</c:v>
                </c:pt>
                <c:pt idx="1028">
                  <c:v>16.897689819335941</c:v>
                </c:pt>
                <c:pt idx="1029">
                  <c:v>16.840633392333981</c:v>
                </c:pt>
                <c:pt idx="1030">
                  <c:v>16.63143348693848</c:v>
                </c:pt>
                <c:pt idx="1031">
                  <c:v>16.63143348693848</c:v>
                </c:pt>
                <c:pt idx="1032">
                  <c:v>17.734489440917969</c:v>
                </c:pt>
                <c:pt idx="1033">
                  <c:v>17.477743148803711</c:v>
                </c:pt>
                <c:pt idx="1034">
                  <c:v>17.553817749023441</c:v>
                </c:pt>
                <c:pt idx="1035">
                  <c:v>17.801052093505859</c:v>
                </c:pt>
                <c:pt idx="1036">
                  <c:v>17.411178588867191</c:v>
                </c:pt>
                <c:pt idx="1037">
                  <c:v>17.43019866943359</c:v>
                </c:pt>
                <c:pt idx="1038">
                  <c:v>17.3446159362793</c:v>
                </c:pt>
                <c:pt idx="1039">
                  <c:v>17.2685432434082</c:v>
                </c:pt>
                <c:pt idx="1040">
                  <c:v>17.154434204101559</c:v>
                </c:pt>
                <c:pt idx="1041">
                  <c:v>17.220998764038089</c:v>
                </c:pt>
                <c:pt idx="1042">
                  <c:v>17.582344055175781</c:v>
                </c:pt>
                <c:pt idx="1043">
                  <c:v>17.458724975585941</c:v>
                </c:pt>
                <c:pt idx="1044">
                  <c:v>17.553817749023441</c:v>
                </c:pt>
                <c:pt idx="1045">
                  <c:v>17.541280746459961</c:v>
                </c:pt>
                <c:pt idx="1046">
                  <c:v>17.541280746459961</c:v>
                </c:pt>
                <c:pt idx="1047">
                  <c:v>17.39662933349609</c:v>
                </c:pt>
                <c:pt idx="1048">
                  <c:v>17.213405609130859</c:v>
                </c:pt>
                <c:pt idx="1049">
                  <c:v>17.290554046630859</c:v>
                </c:pt>
                <c:pt idx="1050">
                  <c:v>17.550924301147461</c:v>
                </c:pt>
                <c:pt idx="1051">
                  <c:v>17.637714385986332</c:v>
                </c:pt>
                <c:pt idx="1052">
                  <c:v>17.849868774414059</c:v>
                </c:pt>
                <c:pt idx="1053">
                  <c:v>17.94630241394043</c:v>
                </c:pt>
                <c:pt idx="1054">
                  <c:v>17.8980827331543</c:v>
                </c:pt>
                <c:pt idx="1055">
                  <c:v>17.763078689575199</c:v>
                </c:pt>
                <c:pt idx="1056">
                  <c:v>18.0813102722168</c:v>
                </c:pt>
                <c:pt idx="1057">
                  <c:v>18.0041618347168</c:v>
                </c:pt>
                <c:pt idx="1058">
                  <c:v>17.772722244262699</c:v>
                </c:pt>
                <c:pt idx="1059">
                  <c:v>17.049468994140621</c:v>
                </c:pt>
                <c:pt idx="1060">
                  <c:v>17.45449066162109</c:v>
                </c:pt>
                <c:pt idx="1061">
                  <c:v>17.647356033325199</c:v>
                </c:pt>
                <c:pt idx="1062">
                  <c:v>17.849868774414059</c:v>
                </c:pt>
                <c:pt idx="1063">
                  <c:v>17.93665885925293</c:v>
                </c:pt>
                <c:pt idx="1064">
                  <c:v>17.859512329101559</c:v>
                </c:pt>
                <c:pt idx="1065">
                  <c:v>17.869155883789059</c:v>
                </c:pt>
                <c:pt idx="1066">
                  <c:v>18.225957870483398</c:v>
                </c:pt>
                <c:pt idx="1067">
                  <c:v>18.206670761108398</c:v>
                </c:pt>
                <c:pt idx="1068">
                  <c:v>18.283819198608398</c:v>
                </c:pt>
                <c:pt idx="1069">
                  <c:v>18.148811340332031</c:v>
                </c:pt>
                <c:pt idx="1070">
                  <c:v>18.216314315795898</c:v>
                </c:pt>
                <c:pt idx="1071">
                  <c:v>18.148811340332031</c:v>
                </c:pt>
                <c:pt idx="1072">
                  <c:v>17.45449066162109</c:v>
                </c:pt>
                <c:pt idx="1073">
                  <c:v>17.541280746459961</c:v>
                </c:pt>
                <c:pt idx="1074">
                  <c:v>17.36770057678223</c:v>
                </c:pt>
                <c:pt idx="1075">
                  <c:v>17.570209503173832</c:v>
                </c:pt>
                <c:pt idx="1076">
                  <c:v>17.840225219726559</c:v>
                </c:pt>
                <c:pt idx="1077">
                  <c:v>17.811294555664059</c:v>
                </c:pt>
                <c:pt idx="1078">
                  <c:v>17.560565948486332</c:v>
                </c:pt>
                <c:pt idx="1079">
                  <c:v>17.541280746459961</c:v>
                </c:pt>
                <c:pt idx="1080">
                  <c:v>17.608785629272461</c:v>
                </c:pt>
                <c:pt idx="1081">
                  <c:v>17.792009353637699</c:v>
                </c:pt>
                <c:pt idx="1082">
                  <c:v>17.049468994140621</c:v>
                </c:pt>
                <c:pt idx="1083">
                  <c:v>16.75052452087402</c:v>
                </c:pt>
                <c:pt idx="1084">
                  <c:v>16.548013687133789</c:v>
                </c:pt>
                <c:pt idx="1085">
                  <c:v>16.59622955322266</c:v>
                </c:pt>
                <c:pt idx="1086">
                  <c:v>16.345504760742191</c:v>
                </c:pt>
                <c:pt idx="1087">
                  <c:v>16.12370491027832</c:v>
                </c:pt>
                <c:pt idx="1088">
                  <c:v>15.824760437011721</c:v>
                </c:pt>
                <c:pt idx="1089">
                  <c:v>15.892264366149901</c:v>
                </c:pt>
                <c:pt idx="1090">
                  <c:v>15.622251510620121</c:v>
                </c:pt>
                <c:pt idx="1091">
                  <c:v>15.49688720703125</c:v>
                </c:pt>
                <c:pt idx="1092">
                  <c:v>15.44867038726807</c:v>
                </c:pt>
                <c:pt idx="1093">
                  <c:v>15.41973972320557</c:v>
                </c:pt>
                <c:pt idx="1094">
                  <c:v>15.41009616851807</c:v>
                </c:pt>
                <c:pt idx="1095">
                  <c:v>15.49688720703125</c:v>
                </c:pt>
                <c:pt idx="1096">
                  <c:v>15.795829772949221</c:v>
                </c:pt>
                <c:pt idx="1097">
                  <c:v>15.77654457092285</c:v>
                </c:pt>
                <c:pt idx="1098">
                  <c:v>15.96941089630127</c:v>
                </c:pt>
                <c:pt idx="1099">
                  <c:v>15.824760437011721</c:v>
                </c:pt>
                <c:pt idx="1100">
                  <c:v>16.007986068725589</c:v>
                </c:pt>
                <c:pt idx="1101">
                  <c:v>16.403364181518551</c:v>
                </c:pt>
                <c:pt idx="1102">
                  <c:v>16.441934585571289</c:v>
                </c:pt>
                <c:pt idx="1103">
                  <c:v>16.72159385681152</c:v>
                </c:pt>
                <c:pt idx="1104">
                  <c:v>16.71195030212402</c:v>
                </c:pt>
                <c:pt idx="1105">
                  <c:v>16.60587310791016</c:v>
                </c:pt>
                <c:pt idx="1106">
                  <c:v>16.74088096618652</c:v>
                </c:pt>
                <c:pt idx="1107">
                  <c:v>16.393720626831051</c:v>
                </c:pt>
                <c:pt idx="1108">
                  <c:v>16.220138549804691</c:v>
                </c:pt>
                <c:pt idx="1109">
                  <c:v>16.287641525268551</c:v>
                </c:pt>
                <c:pt idx="1110">
                  <c:v>16.04655838012695</c:v>
                </c:pt>
                <c:pt idx="1111">
                  <c:v>15.998342514038089</c:v>
                </c:pt>
                <c:pt idx="1112">
                  <c:v>15.795829772949221</c:v>
                </c:pt>
                <c:pt idx="1113">
                  <c:v>16.19120979309082</c:v>
                </c:pt>
                <c:pt idx="1114">
                  <c:v>16.403364181518551</c:v>
                </c:pt>
                <c:pt idx="1115">
                  <c:v>16.374433517456051</c:v>
                </c:pt>
                <c:pt idx="1116">
                  <c:v>16.461221694946289</c:v>
                </c:pt>
                <c:pt idx="1117">
                  <c:v>16.355146408081051</c:v>
                </c:pt>
                <c:pt idx="1118">
                  <c:v>16.316574096679691</c:v>
                </c:pt>
                <c:pt idx="1119">
                  <c:v>16.451578140258789</c:v>
                </c:pt>
                <c:pt idx="1120">
                  <c:v>17.049468994140621</c:v>
                </c:pt>
                <c:pt idx="1121">
                  <c:v>16.943389892578121</c:v>
                </c:pt>
                <c:pt idx="1122">
                  <c:v>16.364789962768551</c:v>
                </c:pt>
                <c:pt idx="1123">
                  <c:v>16.538370132446289</c:v>
                </c:pt>
                <c:pt idx="1124">
                  <c:v>16.277997970581051</c:v>
                </c:pt>
                <c:pt idx="1125">
                  <c:v>16.422649383544918</c:v>
                </c:pt>
                <c:pt idx="1126">
                  <c:v>15.950125694274901</c:v>
                </c:pt>
                <c:pt idx="1127">
                  <c:v>15.930838584899901</c:v>
                </c:pt>
                <c:pt idx="1128">
                  <c:v>15.73797130584717</c:v>
                </c:pt>
                <c:pt idx="1129">
                  <c:v>15.689754486083981</c:v>
                </c:pt>
                <c:pt idx="1130">
                  <c:v>15.78618812561035</c:v>
                </c:pt>
                <c:pt idx="1131">
                  <c:v>15.574033737182621</c:v>
                </c:pt>
                <c:pt idx="1132">
                  <c:v>15.651180267333981</c:v>
                </c:pt>
                <c:pt idx="1133">
                  <c:v>16.09477615356445</c:v>
                </c:pt>
                <c:pt idx="1134">
                  <c:v>15.805473327636721</c:v>
                </c:pt>
                <c:pt idx="1135">
                  <c:v>16.14299201965332</c:v>
                </c:pt>
                <c:pt idx="1136">
                  <c:v>16.451578140258789</c:v>
                </c:pt>
                <c:pt idx="1137">
                  <c:v>15.98869800567627</c:v>
                </c:pt>
                <c:pt idx="1138">
                  <c:v>16.18156623840332</c:v>
                </c:pt>
                <c:pt idx="1139">
                  <c:v>15.892264366149901</c:v>
                </c:pt>
                <c:pt idx="1140">
                  <c:v>15.85369300842285</c:v>
                </c:pt>
                <c:pt idx="1141">
                  <c:v>15.49688720703125</c:v>
                </c:pt>
                <c:pt idx="1142">
                  <c:v>15.74761486053467</c:v>
                </c:pt>
                <c:pt idx="1143">
                  <c:v>16.306928634643551</c:v>
                </c:pt>
                <c:pt idx="1144">
                  <c:v>16.789096832275391</c:v>
                </c:pt>
                <c:pt idx="1145">
                  <c:v>16.846958160400391</c:v>
                </c:pt>
                <c:pt idx="1146">
                  <c:v>16.904817581176761</c:v>
                </c:pt>
                <c:pt idx="1147">
                  <c:v>16.856601715087891</c:v>
                </c:pt>
                <c:pt idx="1148">
                  <c:v>16.6794319152832</c:v>
                </c:pt>
                <c:pt idx="1149">
                  <c:v>16.5326042175293</c:v>
                </c:pt>
                <c:pt idx="1150">
                  <c:v>16.5228157043457</c:v>
                </c:pt>
                <c:pt idx="1151">
                  <c:v>16.287895202636719</c:v>
                </c:pt>
                <c:pt idx="1152">
                  <c:v>16.219375610351559</c:v>
                </c:pt>
                <c:pt idx="1153">
                  <c:v>16.062761306762699</c:v>
                </c:pt>
                <c:pt idx="1154">
                  <c:v>15.9550895690918</c:v>
                </c:pt>
                <c:pt idx="1155">
                  <c:v>16.072551727294918</c:v>
                </c:pt>
                <c:pt idx="1156">
                  <c:v>15.837629318237299</c:v>
                </c:pt>
                <c:pt idx="1157">
                  <c:v>16.150857925415039</c:v>
                </c:pt>
                <c:pt idx="1158">
                  <c:v>16.40535736083984</c:v>
                </c:pt>
                <c:pt idx="1159">
                  <c:v>16.650066375732418</c:v>
                </c:pt>
                <c:pt idx="1160">
                  <c:v>16.728374481201168</c:v>
                </c:pt>
                <c:pt idx="1161">
                  <c:v>16.60112380981445</c:v>
                </c:pt>
                <c:pt idx="1162">
                  <c:v>16.297683715820309</c:v>
                </c:pt>
                <c:pt idx="1163">
                  <c:v>16.415145874023441</c:v>
                </c:pt>
                <c:pt idx="1164">
                  <c:v>16.591337203979489</c:v>
                </c:pt>
                <c:pt idx="1165">
                  <c:v>16.943717956542969</c:v>
                </c:pt>
                <c:pt idx="1166">
                  <c:v>16.767526626586911</c:v>
                </c:pt>
                <c:pt idx="1167">
                  <c:v>17.325466156005859</c:v>
                </c:pt>
                <c:pt idx="1168">
                  <c:v>16.90456581115723</c:v>
                </c:pt>
                <c:pt idx="1169">
                  <c:v>16.91435432434082</c:v>
                </c:pt>
                <c:pt idx="1170">
                  <c:v>17.0513916015625</c:v>
                </c:pt>
                <c:pt idx="1171">
                  <c:v>17.11012077331543</c:v>
                </c:pt>
                <c:pt idx="1172">
                  <c:v>17.080757141113281</c:v>
                </c:pt>
                <c:pt idx="1173">
                  <c:v>17.04160118103027</c:v>
                </c:pt>
                <c:pt idx="1174">
                  <c:v>17.286312103271481</c:v>
                </c:pt>
                <c:pt idx="1175">
                  <c:v>17.902982711791989</c:v>
                </c:pt>
                <c:pt idx="1176">
                  <c:v>17.68763542175293</c:v>
                </c:pt>
                <c:pt idx="1177">
                  <c:v>17.345041275024411</c:v>
                </c:pt>
                <c:pt idx="1178">
                  <c:v>17.374408721923832</c:v>
                </c:pt>
                <c:pt idx="1179">
                  <c:v>17.68763542175293</c:v>
                </c:pt>
                <c:pt idx="1180">
                  <c:v>17.423349380493161</c:v>
                </c:pt>
                <c:pt idx="1181">
                  <c:v>17.403774261474609</c:v>
                </c:pt>
                <c:pt idx="1182">
                  <c:v>17.403774261474609</c:v>
                </c:pt>
                <c:pt idx="1183">
                  <c:v>17.393985748291019</c:v>
                </c:pt>
                <c:pt idx="1184">
                  <c:v>17.8344612121582</c:v>
                </c:pt>
                <c:pt idx="1185">
                  <c:v>18.774148941040039</c:v>
                </c:pt>
                <c:pt idx="1186">
                  <c:v>19.792140960693359</c:v>
                </c:pt>
                <c:pt idx="1187">
                  <c:v>18.754571914672852</c:v>
                </c:pt>
                <c:pt idx="1188">
                  <c:v>18.177055358886719</c:v>
                </c:pt>
                <c:pt idx="1189">
                  <c:v>18.27494049072266</c:v>
                </c:pt>
                <c:pt idx="1190">
                  <c:v>18.392402648925781</c:v>
                </c:pt>
                <c:pt idx="1191">
                  <c:v>18.040019989013668</c:v>
                </c:pt>
                <c:pt idx="1192">
                  <c:v>17.658271789550781</c:v>
                </c:pt>
                <c:pt idx="1193">
                  <c:v>17.442926406860352</c:v>
                </c:pt>
                <c:pt idx="1194">
                  <c:v>17.76594352722168</c:v>
                </c:pt>
                <c:pt idx="1195">
                  <c:v>17.305889129638668</c:v>
                </c:pt>
                <c:pt idx="1196">
                  <c:v>17.71700286865234</c:v>
                </c:pt>
                <c:pt idx="1197">
                  <c:v>17.8442497253418</c:v>
                </c:pt>
                <c:pt idx="1198">
                  <c:v>17.658271789550781</c:v>
                </c:pt>
                <c:pt idx="1199">
                  <c:v>17.452714920043949</c:v>
                </c:pt>
                <c:pt idx="1200">
                  <c:v>17.423349380493161</c:v>
                </c:pt>
                <c:pt idx="1201">
                  <c:v>17.149274826049801</c:v>
                </c:pt>
                <c:pt idx="1202">
                  <c:v>18.9405517578125</c:v>
                </c:pt>
                <c:pt idx="1203">
                  <c:v>18.42176628112793</c:v>
                </c:pt>
                <c:pt idx="1204">
                  <c:v>18.235786437988281</c:v>
                </c:pt>
                <c:pt idx="1205">
                  <c:v>17.824672698974609</c:v>
                </c:pt>
                <c:pt idx="1206">
                  <c:v>17.92255783081055</c:v>
                </c:pt>
                <c:pt idx="1207">
                  <c:v>17.902982711791989</c:v>
                </c:pt>
                <c:pt idx="1208">
                  <c:v>17.854038238525391</c:v>
                </c:pt>
                <c:pt idx="1209">
                  <c:v>18.157478332519531</c:v>
                </c:pt>
                <c:pt idx="1210">
                  <c:v>17.863826751708981</c:v>
                </c:pt>
                <c:pt idx="1211">
                  <c:v>17.550600051879879</c:v>
                </c:pt>
                <c:pt idx="1212">
                  <c:v>17.374408721923832</c:v>
                </c:pt>
                <c:pt idx="1213">
                  <c:v>17.208003997802731</c:v>
                </c:pt>
                <c:pt idx="1214">
                  <c:v>17.951923370361332</c:v>
                </c:pt>
                <c:pt idx="1215">
                  <c:v>16.953506469726559</c:v>
                </c:pt>
                <c:pt idx="1216">
                  <c:v>16.38577842712402</c:v>
                </c:pt>
                <c:pt idx="1217">
                  <c:v>16.444509506225589</c:v>
                </c:pt>
                <c:pt idx="1218">
                  <c:v>16.483663558959961</c:v>
                </c:pt>
                <c:pt idx="1219">
                  <c:v>15.964878082275391</c:v>
                </c:pt>
                <c:pt idx="1220">
                  <c:v>16.25853157043457</c:v>
                </c:pt>
                <c:pt idx="1221">
                  <c:v>15.426516532897949</c:v>
                </c:pt>
                <c:pt idx="1222">
                  <c:v>13.90931510925293</c:v>
                </c:pt>
                <c:pt idx="1223">
                  <c:v>14.408523559570311</c:v>
                </c:pt>
                <c:pt idx="1224">
                  <c:v>14.437888145446779</c:v>
                </c:pt>
                <c:pt idx="1225">
                  <c:v>14.731540679931641</c:v>
                </c:pt>
                <c:pt idx="1226">
                  <c:v>14.24212074279785</c:v>
                </c:pt>
                <c:pt idx="1227">
                  <c:v>14.34000396728516</c:v>
                </c:pt>
                <c:pt idx="1228">
                  <c:v>13.61566257476807</c:v>
                </c:pt>
                <c:pt idx="1229">
                  <c:v>13.54714393615723</c:v>
                </c:pt>
                <c:pt idx="1230">
                  <c:v>13.938679695129389</c:v>
                </c:pt>
                <c:pt idx="1231">
                  <c:v>14.38894557952881</c:v>
                </c:pt>
                <c:pt idx="1232">
                  <c:v>14.13444709777832</c:v>
                </c:pt>
                <c:pt idx="1233">
                  <c:v>13.889737129211429</c:v>
                </c:pt>
                <c:pt idx="1234">
                  <c:v>13.91910362243652</c:v>
                </c:pt>
                <c:pt idx="1235">
                  <c:v>14.02677536010742</c:v>
                </c:pt>
                <c:pt idx="1236">
                  <c:v>14.09529399871826</c:v>
                </c:pt>
                <c:pt idx="1237">
                  <c:v>14.13444709777832</c:v>
                </c:pt>
                <c:pt idx="1238">
                  <c:v>14.114871025085449</c:v>
                </c:pt>
                <c:pt idx="1239">
                  <c:v>13.742911338806151</c:v>
                </c:pt>
                <c:pt idx="1240">
                  <c:v>13.57650852203369</c:v>
                </c:pt>
                <c:pt idx="1241">
                  <c:v>13.15560722351074</c:v>
                </c:pt>
                <c:pt idx="1242">
                  <c:v>12.989205360412599</c:v>
                </c:pt>
                <c:pt idx="1243">
                  <c:v>12.979416847229</c:v>
                </c:pt>
                <c:pt idx="1244">
                  <c:v>12.92068576812744</c:v>
                </c:pt>
                <c:pt idx="1245">
                  <c:v>12.64661121368408</c:v>
                </c:pt>
                <c:pt idx="1246">
                  <c:v>12.773860931396481</c:v>
                </c:pt>
                <c:pt idx="1247">
                  <c:v>12.84237861633301</c:v>
                </c:pt>
                <c:pt idx="1248">
                  <c:v>13.018570899963381</c:v>
                </c:pt>
                <c:pt idx="1249">
                  <c:v>12.803225517272949</c:v>
                </c:pt>
                <c:pt idx="1250">
                  <c:v>12.89132118225098</c:v>
                </c:pt>
                <c:pt idx="1251">
                  <c:v>12.881532669067379</c:v>
                </c:pt>
                <c:pt idx="1252">
                  <c:v>12.558515548706049</c:v>
                </c:pt>
                <c:pt idx="1253">
                  <c:v>12.96962833404541</c:v>
                </c:pt>
              </c:numCache>
            </c:numRef>
          </c:val>
          <c:smooth val="0"/>
          <c:extLst>
            <c:ext xmlns:c16="http://schemas.microsoft.com/office/drawing/2014/chart" uri="{C3380CC4-5D6E-409C-BE32-E72D297353CC}">
              <c16:uniqueId val="{00000000-3464-4D50-BC04-8642362DADC1}"/>
            </c:ext>
          </c:extLst>
        </c:ser>
        <c:dLbls>
          <c:showLegendKey val="0"/>
          <c:showVal val="0"/>
          <c:showCatName val="0"/>
          <c:showSerName val="0"/>
          <c:showPercent val="0"/>
          <c:showBubbleSize val="0"/>
        </c:dLbls>
        <c:smooth val="0"/>
        <c:axId val="894290255"/>
        <c:axId val="894295663"/>
      </c:lineChart>
      <c:dateAx>
        <c:axId val="8942902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5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95663"/>
        <c:crosses val="autoZero"/>
        <c:auto val="1"/>
        <c:lblOffset val="100"/>
        <c:baseTimeUnit val="days"/>
      </c:dateAx>
      <c:valAx>
        <c:axId val="894295663"/>
        <c:scaling>
          <c:orientation val="minMax"/>
          <c:max val="3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9025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3428369688205"/>
          <c:y val="5.0313181613599378E-2"/>
          <c:w val="0.73957551204976824"/>
          <c:h val="0.65964061758971382"/>
        </c:manualLayout>
      </c:layout>
      <c:barChart>
        <c:barDir val="col"/>
        <c:grouping val="clustered"/>
        <c:varyColors val="0"/>
        <c:ser>
          <c:idx val="0"/>
          <c:order val="0"/>
          <c:tx>
            <c:strRef>
              <c:f>'Share Price'!$D$2</c:f>
              <c:strCache>
                <c:ptCount val="1"/>
                <c:pt idx="0">
                  <c:v>Volumn</c:v>
                </c:pt>
              </c:strCache>
            </c:strRef>
          </c:tx>
          <c:spPr>
            <a:solidFill>
              <a:srgbClr val="0070C0"/>
            </a:solidFill>
            <a:ln w="9525" cap="flat" cmpd="sng" algn="ctr">
              <a:solidFill>
                <a:schemeClr val="bg1">
                  <a:lumMod val="65000"/>
                </a:schemeClr>
              </a:solidFill>
              <a:round/>
            </a:ln>
            <a:effectLst/>
          </c:spPr>
          <c:invertIfNegative val="0"/>
          <c:cat>
            <c:numRef>
              <c:f>'Share Price'!$B$3:$B$1256</c:f>
              <c:numCache>
                <c:formatCode>m/d/yyyy</c:formatCode>
                <c:ptCount val="1254"/>
                <c:pt idx="0">
                  <c:v>44287</c:v>
                </c:pt>
                <c:pt idx="1">
                  <c:v>44291</c:v>
                </c:pt>
                <c:pt idx="2">
                  <c:v>44292</c:v>
                </c:pt>
                <c:pt idx="3">
                  <c:v>44293</c:v>
                </c:pt>
                <c:pt idx="4">
                  <c:v>44294</c:v>
                </c:pt>
                <c:pt idx="5">
                  <c:v>44295</c:v>
                </c:pt>
                <c:pt idx="6">
                  <c:v>44298</c:v>
                </c:pt>
                <c:pt idx="7">
                  <c:v>44299</c:v>
                </c:pt>
                <c:pt idx="8">
                  <c:v>44300</c:v>
                </c:pt>
                <c:pt idx="9">
                  <c:v>44301</c:v>
                </c:pt>
                <c:pt idx="10">
                  <c:v>44302</c:v>
                </c:pt>
                <c:pt idx="11">
                  <c:v>44305</c:v>
                </c:pt>
                <c:pt idx="12">
                  <c:v>44306</c:v>
                </c:pt>
                <c:pt idx="13">
                  <c:v>44307</c:v>
                </c:pt>
                <c:pt idx="14">
                  <c:v>44308</c:v>
                </c:pt>
                <c:pt idx="15">
                  <c:v>44309</c:v>
                </c:pt>
                <c:pt idx="16">
                  <c:v>44312</c:v>
                </c:pt>
                <c:pt idx="17">
                  <c:v>44313</c:v>
                </c:pt>
                <c:pt idx="18">
                  <c:v>44314</c:v>
                </c:pt>
                <c:pt idx="19">
                  <c:v>44315</c:v>
                </c:pt>
                <c:pt idx="20">
                  <c:v>44316</c:v>
                </c:pt>
                <c:pt idx="21">
                  <c:v>44319</c:v>
                </c:pt>
                <c:pt idx="22">
                  <c:v>44320</c:v>
                </c:pt>
                <c:pt idx="23">
                  <c:v>44321</c:v>
                </c:pt>
                <c:pt idx="24">
                  <c:v>44322</c:v>
                </c:pt>
                <c:pt idx="25">
                  <c:v>44323</c:v>
                </c:pt>
                <c:pt idx="26">
                  <c:v>44326</c:v>
                </c:pt>
                <c:pt idx="27">
                  <c:v>44327</c:v>
                </c:pt>
                <c:pt idx="28">
                  <c:v>44328</c:v>
                </c:pt>
                <c:pt idx="29">
                  <c:v>44329</c:v>
                </c:pt>
                <c:pt idx="30">
                  <c:v>44330</c:v>
                </c:pt>
                <c:pt idx="31">
                  <c:v>44333</c:v>
                </c:pt>
                <c:pt idx="32">
                  <c:v>44334</c:v>
                </c:pt>
                <c:pt idx="33">
                  <c:v>44335</c:v>
                </c:pt>
                <c:pt idx="34">
                  <c:v>44336</c:v>
                </c:pt>
                <c:pt idx="35">
                  <c:v>44337</c:v>
                </c:pt>
                <c:pt idx="36">
                  <c:v>44340</c:v>
                </c:pt>
                <c:pt idx="37">
                  <c:v>44341</c:v>
                </c:pt>
                <c:pt idx="38">
                  <c:v>44342</c:v>
                </c:pt>
                <c:pt idx="39">
                  <c:v>44343</c:v>
                </c:pt>
                <c:pt idx="40">
                  <c:v>44344</c:v>
                </c:pt>
                <c:pt idx="41">
                  <c:v>44348</c:v>
                </c:pt>
                <c:pt idx="42">
                  <c:v>44349</c:v>
                </c:pt>
                <c:pt idx="43">
                  <c:v>44350</c:v>
                </c:pt>
                <c:pt idx="44">
                  <c:v>44351</c:v>
                </c:pt>
                <c:pt idx="45">
                  <c:v>44354</c:v>
                </c:pt>
                <c:pt idx="46">
                  <c:v>44355</c:v>
                </c:pt>
                <c:pt idx="47">
                  <c:v>44356</c:v>
                </c:pt>
                <c:pt idx="48">
                  <c:v>44357</c:v>
                </c:pt>
                <c:pt idx="49">
                  <c:v>44358</c:v>
                </c:pt>
                <c:pt idx="50">
                  <c:v>44361</c:v>
                </c:pt>
                <c:pt idx="51">
                  <c:v>44362</c:v>
                </c:pt>
                <c:pt idx="52">
                  <c:v>44363</c:v>
                </c:pt>
                <c:pt idx="53">
                  <c:v>44364</c:v>
                </c:pt>
                <c:pt idx="54">
                  <c:v>44365</c:v>
                </c:pt>
                <c:pt idx="55">
                  <c:v>44368</c:v>
                </c:pt>
                <c:pt idx="56">
                  <c:v>44369</c:v>
                </c:pt>
                <c:pt idx="57">
                  <c:v>44370</c:v>
                </c:pt>
                <c:pt idx="58">
                  <c:v>44371</c:v>
                </c:pt>
                <c:pt idx="59">
                  <c:v>44372</c:v>
                </c:pt>
                <c:pt idx="60">
                  <c:v>44375</c:v>
                </c:pt>
                <c:pt idx="61">
                  <c:v>44376</c:v>
                </c:pt>
                <c:pt idx="62">
                  <c:v>44377</c:v>
                </c:pt>
                <c:pt idx="63">
                  <c:v>44378</c:v>
                </c:pt>
                <c:pt idx="64">
                  <c:v>44379</c:v>
                </c:pt>
                <c:pt idx="65">
                  <c:v>44383</c:v>
                </c:pt>
                <c:pt idx="66">
                  <c:v>44384</c:v>
                </c:pt>
                <c:pt idx="67">
                  <c:v>44385</c:v>
                </c:pt>
                <c:pt idx="68">
                  <c:v>44386</c:v>
                </c:pt>
                <c:pt idx="69">
                  <c:v>44389</c:v>
                </c:pt>
                <c:pt idx="70">
                  <c:v>44390</c:v>
                </c:pt>
                <c:pt idx="71">
                  <c:v>44391</c:v>
                </c:pt>
                <c:pt idx="72">
                  <c:v>44392</c:v>
                </c:pt>
                <c:pt idx="73">
                  <c:v>44393</c:v>
                </c:pt>
                <c:pt idx="74">
                  <c:v>44396</c:v>
                </c:pt>
                <c:pt idx="75">
                  <c:v>44397</c:v>
                </c:pt>
                <c:pt idx="76">
                  <c:v>44398</c:v>
                </c:pt>
                <c:pt idx="77">
                  <c:v>44399</c:v>
                </c:pt>
                <c:pt idx="78">
                  <c:v>44400</c:v>
                </c:pt>
                <c:pt idx="79">
                  <c:v>44403</c:v>
                </c:pt>
                <c:pt idx="80">
                  <c:v>44404</c:v>
                </c:pt>
                <c:pt idx="81">
                  <c:v>44405</c:v>
                </c:pt>
                <c:pt idx="82">
                  <c:v>44406</c:v>
                </c:pt>
                <c:pt idx="83">
                  <c:v>44407</c:v>
                </c:pt>
                <c:pt idx="84">
                  <c:v>44410</c:v>
                </c:pt>
                <c:pt idx="85">
                  <c:v>44411</c:v>
                </c:pt>
                <c:pt idx="86">
                  <c:v>44412</c:v>
                </c:pt>
                <c:pt idx="87">
                  <c:v>44413</c:v>
                </c:pt>
                <c:pt idx="88">
                  <c:v>44414</c:v>
                </c:pt>
                <c:pt idx="89">
                  <c:v>44417</c:v>
                </c:pt>
                <c:pt idx="90">
                  <c:v>44418</c:v>
                </c:pt>
                <c:pt idx="91">
                  <c:v>44419</c:v>
                </c:pt>
                <c:pt idx="92">
                  <c:v>44420</c:v>
                </c:pt>
                <c:pt idx="93">
                  <c:v>44421</c:v>
                </c:pt>
                <c:pt idx="94">
                  <c:v>44424</c:v>
                </c:pt>
                <c:pt idx="95">
                  <c:v>44425</c:v>
                </c:pt>
                <c:pt idx="96">
                  <c:v>44426</c:v>
                </c:pt>
                <c:pt idx="97">
                  <c:v>44427</c:v>
                </c:pt>
                <c:pt idx="98">
                  <c:v>44428</c:v>
                </c:pt>
                <c:pt idx="99">
                  <c:v>44431</c:v>
                </c:pt>
                <c:pt idx="100">
                  <c:v>44432</c:v>
                </c:pt>
                <c:pt idx="101">
                  <c:v>44433</c:v>
                </c:pt>
                <c:pt idx="102">
                  <c:v>44434</c:v>
                </c:pt>
                <c:pt idx="103">
                  <c:v>44435</c:v>
                </c:pt>
                <c:pt idx="104">
                  <c:v>44438</c:v>
                </c:pt>
                <c:pt idx="105">
                  <c:v>44439</c:v>
                </c:pt>
                <c:pt idx="106">
                  <c:v>44440</c:v>
                </c:pt>
                <c:pt idx="107">
                  <c:v>44441</c:v>
                </c:pt>
                <c:pt idx="108">
                  <c:v>44442</c:v>
                </c:pt>
                <c:pt idx="109">
                  <c:v>44446</c:v>
                </c:pt>
                <c:pt idx="110">
                  <c:v>44447</c:v>
                </c:pt>
                <c:pt idx="111">
                  <c:v>44448</c:v>
                </c:pt>
                <c:pt idx="112">
                  <c:v>44449</c:v>
                </c:pt>
                <c:pt idx="113">
                  <c:v>44452</c:v>
                </c:pt>
                <c:pt idx="114">
                  <c:v>44453</c:v>
                </c:pt>
                <c:pt idx="115">
                  <c:v>44454</c:v>
                </c:pt>
                <c:pt idx="116">
                  <c:v>44455</c:v>
                </c:pt>
                <c:pt idx="117">
                  <c:v>44456</c:v>
                </c:pt>
                <c:pt idx="118">
                  <c:v>44459</c:v>
                </c:pt>
                <c:pt idx="119">
                  <c:v>44460</c:v>
                </c:pt>
                <c:pt idx="120">
                  <c:v>44461</c:v>
                </c:pt>
                <c:pt idx="121">
                  <c:v>44462</c:v>
                </c:pt>
                <c:pt idx="122">
                  <c:v>44463</c:v>
                </c:pt>
                <c:pt idx="123">
                  <c:v>44466</c:v>
                </c:pt>
                <c:pt idx="124">
                  <c:v>44467</c:v>
                </c:pt>
                <c:pt idx="125">
                  <c:v>44468</c:v>
                </c:pt>
                <c:pt idx="126">
                  <c:v>44469</c:v>
                </c:pt>
                <c:pt idx="127">
                  <c:v>44470</c:v>
                </c:pt>
                <c:pt idx="128">
                  <c:v>44473</c:v>
                </c:pt>
                <c:pt idx="129">
                  <c:v>44474</c:v>
                </c:pt>
                <c:pt idx="130">
                  <c:v>44475</c:v>
                </c:pt>
                <c:pt idx="131">
                  <c:v>44476</c:v>
                </c:pt>
                <c:pt idx="132">
                  <c:v>44477</c:v>
                </c:pt>
                <c:pt idx="133">
                  <c:v>44480</c:v>
                </c:pt>
                <c:pt idx="134">
                  <c:v>44481</c:v>
                </c:pt>
                <c:pt idx="135">
                  <c:v>44482</c:v>
                </c:pt>
                <c:pt idx="136">
                  <c:v>44483</c:v>
                </c:pt>
                <c:pt idx="137">
                  <c:v>44484</c:v>
                </c:pt>
                <c:pt idx="138">
                  <c:v>44487</c:v>
                </c:pt>
                <c:pt idx="139">
                  <c:v>44488</c:v>
                </c:pt>
                <c:pt idx="140">
                  <c:v>44489</c:v>
                </c:pt>
                <c:pt idx="141">
                  <c:v>44490</c:v>
                </c:pt>
                <c:pt idx="142">
                  <c:v>44491</c:v>
                </c:pt>
                <c:pt idx="143">
                  <c:v>44494</c:v>
                </c:pt>
                <c:pt idx="144">
                  <c:v>44495</c:v>
                </c:pt>
                <c:pt idx="145">
                  <c:v>44496</c:v>
                </c:pt>
                <c:pt idx="146">
                  <c:v>44497</c:v>
                </c:pt>
                <c:pt idx="147">
                  <c:v>44498</c:v>
                </c:pt>
                <c:pt idx="148">
                  <c:v>44501</c:v>
                </c:pt>
                <c:pt idx="149">
                  <c:v>44502</c:v>
                </c:pt>
                <c:pt idx="150">
                  <c:v>44503</c:v>
                </c:pt>
                <c:pt idx="151">
                  <c:v>44504</c:v>
                </c:pt>
                <c:pt idx="152">
                  <c:v>44505</c:v>
                </c:pt>
                <c:pt idx="153">
                  <c:v>44508</c:v>
                </c:pt>
                <c:pt idx="154">
                  <c:v>44509</c:v>
                </c:pt>
                <c:pt idx="155">
                  <c:v>44510</c:v>
                </c:pt>
                <c:pt idx="156">
                  <c:v>44511</c:v>
                </c:pt>
                <c:pt idx="157">
                  <c:v>44512</c:v>
                </c:pt>
                <c:pt idx="158">
                  <c:v>44515</c:v>
                </c:pt>
                <c:pt idx="159">
                  <c:v>44516</c:v>
                </c:pt>
                <c:pt idx="160">
                  <c:v>44517</c:v>
                </c:pt>
                <c:pt idx="161">
                  <c:v>44518</c:v>
                </c:pt>
                <c:pt idx="162">
                  <c:v>44519</c:v>
                </c:pt>
                <c:pt idx="163">
                  <c:v>44522</c:v>
                </c:pt>
                <c:pt idx="164">
                  <c:v>44523</c:v>
                </c:pt>
                <c:pt idx="165">
                  <c:v>44524</c:v>
                </c:pt>
                <c:pt idx="166">
                  <c:v>44526</c:v>
                </c:pt>
                <c:pt idx="167">
                  <c:v>44529</c:v>
                </c:pt>
                <c:pt idx="168">
                  <c:v>44530</c:v>
                </c:pt>
                <c:pt idx="169">
                  <c:v>44531</c:v>
                </c:pt>
                <c:pt idx="170">
                  <c:v>44532</c:v>
                </c:pt>
                <c:pt idx="171">
                  <c:v>44533</c:v>
                </c:pt>
                <c:pt idx="172">
                  <c:v>44536</c:v>
                </c:pt>
                <c:pt idx="173">
                  <c:v>44537</c:v>
                </c:pt>
                <c:pt idx="174">
                  <c:v>44538</c:v>
                </c:pt>
                <c:pt idx="175">
                  <c:v>44539</c:v>
                </c:pt>
                <c:pt idx="176">
                  <c:v>44540</c:v>
                </c:pt>
                <c:pt idx="177">
                  <c:v>44543</c:v>
                </c:pt>
                <c:pt idx="178">
                  <c:v>44544</c:v>
                </c:pt>
                <c:pt idx="179">
                  <c:v>44545</c:v>
                </c:pt>
                <c:pt idx="180">
                  <c:v>44546</c:v>
                </c:pt>
                <c:pt idx="181">
                  <c:v>44547</c:v>
                </c:pt>
                <c:pt idx="182">
                  <c:v>44550</c:v>
                </c:pt>
                <c:pt idx="183">
                  <c:v>44551</c:v>
                </c:pt>
                <c:pt idx="184">
                  <c:v>44552</c:v>
                </c:pt>
                <c:pt idx="185">
                  <c:v>44553</c:v>
                </c:pt>
                <c:pt idx="186">
                  <c:v>44557</c:v>
                </c:pt>
                <c:pt idx="187">
                  <c:v>44558</c:v>
                </c:pt>
                <c:pt idx="188">
                  <c:v>44559</c:v>
                </c:pt>
                <c:pt idx="189">
                  <c:v>44560</c:v>
                </c:pt>
                <c:pt idx="190">
                  <c:v>44561</c:v>
                </c:pt>
                <c:pt idx="191">
                  <c:v>44564</c:v>
                </c:pt>
                <c:pt idx="192">
                  <c:v>44565</c:v>
                </c:pt>
                <c:pt idx="193">
                  <c:v>44566</c:v>
                </c:pt>
                <c:pt idx="194">
                  <c:v>44567</c:v>
                </c:pt>
                <c:pt idx="195">
                  <c:v>44568</c:v>
                </c:pt>
                <c:pt idx="196">
                  <c:v>44571</c:v>
                </c:pt>
                <c:pt idx="197">
                  <c:v>44572</c:v>
                </c:pt>
                <c:pt idx="198">
                  <c:v>44573</c:v>
                </c:pt>
                <c:pt idx="199">
                  <c:v>44574</c:v>
                </c:pt>
                <c:pt idx="200">
                  <c:v>44575</c:v>
                </c:pt>
                <c:pt idx="201">
                  <c:v>44579</c:v>
                </c:pt>
                <c:pt idx="202">
                  <c:v>44580</c:v>
                </c:pt>
                <c:pt idx="203">
                  <c:v>44581</c:v>
                </c:pt>
                <c:pt idx="204">
                  <c:v>44582</c:v>
                </c:pt>
                <c:pt idx="205">
                  <c:v>44585</c:v>
                </c:pt>
                <c:pt idx="206">
                  <c:v>44586</c:v>
                </c:pt>
                <c:pt idx="207">
                  <c:v>44587</c:v>
                </c:pt>
                <c:pt idx="208">
                  <c:v>44588</c:v>
                </c:pt>
                <c:pt idx="209">
                  <c:v>44589</c:v>
                </c:pt>
                <c:pt idx="210">
                  <c:v>44592</c:v>
                </c:pt>
                <c:pt idx="211">
                  <c:v>44593</c:v>
                </c:pt>
                <c:pt idx="212">
                  <c:v>44594</c:v>
                </c:pt>
                <c:pt idx="213">
                  <c:v>44595</c:v>
                </c:pt>
                <c:pt idx="214">
                  <c:v>44596</c:v>
                </c:pt>
                <c:pt idx="215">
                  <c:v>44599</c:v>
                </c:pt>
                <c:pt idx="216">
                  <c:v>44600</c:v>
                </c:pt>
                <c:pt idx="217">
                  <c:v>44601</c:v>
                </c:pt>
                <c:pt idx="218">
                  <c:v>44602</c:v>
                </c:pt>
                <c:pt idx="219">
                  <c:v>44603</c:v>
                </c:pt>
                <c:pt idx="220">
                  <c:v>44606</c:v>
                </c:pt>
                <c:pt idx="221">
                  <c:v>44607</c:v>
                </c:pt>
                <c:pt idx="222">
                  <c:v>44608</c:v>
                </c:pt>
                <c:pt idx="223">
                  <c:v>44609</c:v>
                </c:pt>
                <c:pt idx="224">
                  <c:v>44610</c:v>
                </c:pt>
                <c:pt idx="225">
                  <c:v>44614</c:v>
                </c:pt>
                <c:pt idx="226">
                  <c:v>44615</c:v>
                </c:pt>
                <c:pt idx="227">
                  <c:v>44616</c:v>
                </c:pt>
                <c:pt idx="228">
                  <c:v>44617</c:v>
                </c:pt>
                <c:pt idx="229">
                  <c:v>44620</c:v>
                </c:pt>
                <c:pt idx="230">
                  <c:v>44621</c:v>
                </c:pt>
                <c:pt idx="231">
                  <c:v>44622</c:v>
                </c:pt>
                <c:pt idx="232">
                  <c:v>44623</c:v>
                </c:pt>
                <c:pt idx="233">
                  <c:v>44624</c:v>
                </c:pt>
                <c:pt idx="234">
                  <c:v>44627</c:v>
                </c:pt>
                <c:pt idx="235">
                  <c:v>44628</c:v>
                </c:pt>
                <c:pt idx="236">
                  <c:v>44629</c:v>
                </c:pt>
                <c:pt idx="237">
                  <c:v>44630</c:v>
                </c:pt>
                <c:pt idx="238">
                  <c:v>44631</c:v>
                </c:pt>
                <c:pt idx="239">
                  <c:v>44634</c:v>
                </c:pt>
                <c:pt idx="240">
                  <c:v>44635</c:v>
                </c:pt>
                <c:pt idx="241">
                  <c:v>44636</c:v>
                </c:pt>
                <c:pt idx="242">
                  <c:v>44637</c:v>
                </c:pt>
                <c:pt idx="243">
                  <c:v>44638</c:v>
                </c:pt>
                <c:pt idx="244">
                  <c:v>44641</c:v>
                </c:pt>
                <c:pt idx="245">
                  <c:v>44642</c:v>
                </c:pt>
                <c:pt idx="246">
                  <c:v>44643</c:v>
                </c:pt>
                <c:pt idx="247">
                  <c:v>44644</c:v>
                </c:pt>
                <c:pt idx="248">
                  <c:v>44645</c:v>
                </c:pt>
                <c:pt idx="249">
                  <c:v>44648</c:v>
                </c:pt>
                <c:pt idx="250">
                  <c:v>44649</c:v>
                </c:pt>
                <c:pt idx="251">
                  <c:v>44650</c:v>
                </c:pt>
                <c:pt idx="252">
                  <c:v>44651</c:v>
                </c:pt>
                <c:pt idx="253">
                  <c:v>44652</c:v>
                </c:pt>
                <c:pt idx="254">
                  <c:v>44655</c:v>
                </c:pt>
                <c:pt idx="255">
                  <c:v>44656</c:v>
                </c:pt>
                <c:pt idx="256">
                  <c:v>44657</c:v>
                </c:pt>
                <c:pt idx="257">
                  <c:v>44658</c:v>
                </c:pt>
                <c:pt idx="258">
                  <c:v>44659</c:v>
                </c:pt>
                <c:pt idx="259">
                  <c:v>44662</c:v>
                </c:pt>
                <c:pt idx="260">
                  <c:v>44663</c:v>
                </c:pt>
                <c:pt idx="261">
                  <c:v>44664</c:v>
                </c:pt>
                <c:pt idx="262">
                  <c:v>44665</c:v>
                </c:pt>
                <c:pt idx="263">
                  <c:v>44669</c:v>
                </c:pt>
                <c:pt idx="264">
                  <c:v>44670</c:v>
                </c:pt>
                <c:pt idx="265">
                  <c:v>44671</c:v>
                </c:pt>
                <c:pt idx="266">
                  <c:v>44672</c:v>
                </c:pt>
                <c:pt idx="267">
                  <c:v>44673</c:v>
                </c:pt>
                <c:pt idx="268">
                  <c:v>44676</c:v>
                </c:pt>
                <c:pt idx="269">
                  <c:v>44677</c:v>
                </c:pt>
                <c:pt idx="270">
                  <c:v>44678</c:v>
                </c:pt>
                <c:pt idx="271">
                  <c:v>44679</c:v>
                </c:pt>
                <c:pt idx="272">
                  <c:v>44680</c:v>
                </c:pt>
                <c:pt idx="273">
                  <c:v>44683</c:v>
                </c:pt>
                <c:pt idx="274">
                  <c:v>44684</c:v>
                </c:pt>
                <c:pt idx="275">
                  <c:v>44685</c:v>
                </c:pt>
                <c:pt idx="276">
                  <c:v>44686</c:v>
                </c:pt>
                <c:pt idx="277">
                  <c:v>44687</c:v>
                </c:pt>
                <c:pt idx="278">
                  <c:v>44690</c:v>
                </c:pt>
                <c:pt idx="279">
                  <c:v>44691</c:v>
                </c:pt>
                <c:pt idx="280">
                  <c:v>44692</c:v>
                </c:pt>
                <c:pt idx="281">
                  <c:v>44693</c:v>
                </c:pt>
                <c:pt idx="282">
                  <c:v>44694</c:v>
                </c:pt>
                <c:pt idx="283">
                  <c:v>44697</c:v>
                </c:pt>
                <c:pt idx="284">
                  <c:v>44698</c:v>
                </c:pt>
                <c:pt idx="285">
                  <c:v>44699</c:v>
                </c:pt>
                <c:pt idx="286">
                  <c:v>44700</c:v>
                </c:pt>
                <c:pt idx="287">
                  <c:v>44701</c:v>
                </c:pt>
                <c:pt idx="288">
                  <c:v>44704</c:v>
                </c:pt>
                <c:pt idx="289">
                  <c:v>44705</c:v>
                </c:pt>
                <c:pt idx="290">
                  <c:v>44706</c:v>
                </c:pt>
                <c:pt idx="291">
                  <c:v>44707</c:v>
                </c:pt>
                <c:pt idx="292">
                  <c:v>44708</c:v>
                </c:pt>
                <c:pt idx="293">
                  <c:v>44712</c:v>
                </c:pt>
                <c:pt idx="294">
                  <c:v>44713</c:v>
                </c:pt>
                <c:pt idx="295">
                  <c:v>44714</c:v>
                </c:pt>
                <c:pt idx="296">
                  <c:v>44715</c:v>
                </c:pt>
                <c:pt idx="297">
                  <c:v>44718</c:v>
                </c:pt>
                <c:pt idx="298">
                  <c:v>44719</c:v>
                </c:pt>
                <c:pt idx="299">
                  <c:v>44720</c:v>
                </c:pt>
                <c:pt idx="300">
                  <c:v>44721</c:v>
                </c:pt>
                <c:pt idx="301">
                  <c:v>44722</c:v>
                </c:pt>
                <c:pt idx="302">
                  <c:v>44725</c:v>
                </c:pt>
                <c:pt idx="303">
                  <c:v>44726</c:v>
                </c:pt>
                <c:pt idx="304">
                  <c:v>44727</c:v>
                </c:pt>
                <c:pt idx="305">
                  <c:v>44728</c:v>
                </c:pt>
                <c:pt idx="306">
                  <c:v>44729</c:v>
                </c:pt>
                <c:pt idx="307">
                  <c:v>44733</c:v>
                </c:pt>
                <c:pt idx="308">
                  <c:v>44734</c:v>
                </c:pt>
                <c:pt idx="309">
                  <c:v>44735</c:v>
                </c:pt>
                <c:pt idx="310">
                  <c:v>44736</c:v>
                </c:pt>
                <c:pt idx="311">
                  <c:v>44739</c:v>
                </c:pt>
                <c:pt idx="312">
                  <c:v>44740</c:v>
                </c:pt>
                <c:pt idx="313">
                  <c:v>44741</c:v>
                </c:pt>
                <c:pt idx="314">
                  <c:v>44742</c:v>
                </c:pt>
                <c:pt idx="315">
                  <c:v>44743</c:v>
                </c:pt>
                <c:pt idx="316">
                  <c:v>44747</c:v>
                </c:pt>
                <c:pt idx="317">
                  <c:v>44748</c:v>
                </c:pt>
                <c:pt idx="318">
                  <c:v>44749</c:v>
                </c:pt>
                <c:pt idx="319">
                  <c:v>44750</c:v>
                </c:pt>
                <c:pt idx="320">
                  <c:v>44753</c:v>
                </c:pt>
                <c:pt idx="321">
                  <c:v>44754</c:v>
                </c:pt>
                <c:pt idx="322">
                  <c:v>44755</c:v>
                </c:pt>
                <c:pt idx="323">
                  <c:v>44756</c:v>
                </c:pt>
                <c:pt idx="324">
                  <c:v>44757</c:v>
                </c:pt>
                <c:pt idx="325">
                  <c:v>44760</c:v>
                </c:pt>
                <c:pt idx="326">
                  <c:v>44761</c:v>
                </c:pt>
                <c:pt idx="327">
                  <c:v>44762</c:v>
                </c:pt>
                <c:pt idx="328">
                  <c:v>44763</c:v>
                </c:pt>
                <c:pt idx="329">
                  <c:v>44764</c:v>
                </c:pt>
                <c:pt idx="330">
                  <c:v>44767</c:v>
                </c:pt>
                <c:pt idx="331">
                  <c:v>44768</c:v>
                </c:pt>
                <c:pt idx="332">
                  <c:v>44769</c:v>
                </c:pt>
                <c:pt idx="333">
                  <c:v>44770</c:v>
                </c:pt>
                <c:pt idx="334">
                  <c:v>44771</c:v>
                </c:pt>
                <c:pt idx="335">
                  <c:v>44774</c:v>
                </c:pt>
                <c:pt idx="336">
                  <c:v>44775</c:v>
                </c:pt>
                <c:pt idx="337">
                  <c:v>44776</c:v>
                </c:pt>
                <c:pt idx="338">
                  <c:v>44777</c:v>
                </c:pt>
                <c:pt idx="339">
                  <c:v>44778</c:v>
                </c:pt>
                <c:pt idx="340">
                  <c:v>44781</c:v>
                </c:pt>
                <c:pt idx="341">
                  <c:v>44782</c:v>
                </c:pt>
                <c:pt idx="342">
                  <c:v>44783</c:v>
                </c:pt>
                <c:pt idx="343">
                  <c:v>44784</c:v>
                </c:pt>
                <c:pt idx="344">
                  <c:v>44785</c:v>
                </c:pt>
                <c:pt idx="345">
                  <c:v>44788</c:v>
                </c:pt>
                <c:pt idx="346">
                  <c:v>44789</c:v>
                </c:pt>
                <c:pt idx="347">
                  <c:v>44790</c:v>
                </c:pt>
                <c:pt idx="348">
                  <c:v>44791</c:v>
                </c:pt>
                <c:pt idx="349">
                  <c:v>44792</c:v>
                </c:pt>
                <c:pt idx="350">
                  <c:v>44795</c:v>
                </c:pt>
                <c:pt idx="351">
                  <c:v>44796</c:v>
                </c:pt>
                <c:pt idx="352">
                  <c:v>44797</c:v>
                </c:pt>
                <c:pt idx="353">
                  <c:v>44798</c:v>
                </c:pt>
                <c:pt idx="354">
                  <c:v>44799</c:v>
                </c:pt>
                <c:pt idx="355">
                  <c:v>44802</c:v>
                </c:pt>
                <c:pt idx="356">
                  <c:v>44803</c:v>
                </c:pt>
                <c:pt idx="357">
                  <c:v>44804</c:v>
                </c:pt>
                <c:pt idx="358">
                  <c:v>44805</c:v>
                </c:pt>
                <c:pt idx="359">
                  <c:v>44806</c:v>
                </c:pt>
                <c:pt idx="360">
                  <c:v>44810</c:v>
                </c:pt>
                <c:pt idx="361">
                  <c:v>44811</c:v>
                </c:pt>
                <c:pt idx="362">
                  <c:v>44812</c:v>
                </c:pt>
                <c:pt idx="363">
                  <c:v>44813</c:v>
                </c:pt>
                <c:pt idx="364">
                  <c:v>44816</c:v>
                </c:pt>
                <c:pt idx="365">
                  <c:v>44817</c:v>
                </c:pt>
                <c:pt idx="366">
                  <c:v>44818</c:v>
                </c:pt>
                <c:pt idx="367">
                  <c:v>44819</c:v>
                </c:pt>
                <c:pt idx="368">
                  <c:v>44820</c:v>
                </c:pt>
                <c:pt idx="369">
                  <c:v>44823</c:v>
                </c:pt>
                <c:pt idx="370">
                  <c:v>44824</c:v>
                </c:pt>
                <c:pt idx="371">
                  <c:v>44825</c:v>
                </c:pt>
                <c:pt idx="372">
                  <c:v>44826</c:v>
                </c:pt>
                <c:pt idx="373">
                  <c:v>44827</c:v>
                </c:pt>
                <c:pt idx="374">
                  <c:v>44830</c:v>
                </c:pt>
                <c:pt idx="375">
                  <c:v>44831</c:v>
                </c:pt>
                <c:pt idx="376">
                  <c:v>44832</c:v>
                </c:pt>
                <c:pt idx="377">
                  <c:v>44833</c:v>
                </c:pt>
                <c:pt idx="378">
                  <c:v>44834</c:v>
                </c:pt>
                <c:pt idx="379">
                  <c:v>44837</c:v>
                </c:pt>
                <c:pt idx="380">
                  <c:v>44838</c:v>
                </c:pt>
                <c:pt idx="381">
                  <c:v>44839</c:v>
                </c:pt>
                <c:pt idx="382">
                  <c:v>44840</c:v>
                </c:pt>
                <c:pt idx="383">
                  <c:v>44841</c:v>
                </c:pt>
                <c:pt idx="384">
                  <c:v>44844</c:v>
                </c:pt>
                <c:pt idx="385">
                  <c:v>44845</c:v>
                </c:pt>
                <c:pt idx="386">
                  <c:v>44846</c:v>
                </c:pt>
                <c:pt idx="387">
                  <c:v>44847</c:v>
                </c:pt>
                <c:pt idx="388">
                  <c:v>44848</c:v>
                </c:pt>
                <c:pt idx="389">
                  <c:v>44851</c:v>
                </c:pt>
                <c:pt idx="390">
                  <c:v>44852</c:v>
                </c:pt>
                <c:pt idx="391">
                  <c:v>44853</c:v>
                </c:pt>
                <c:pt idx="392">
                  <c:v>44854</c:v>
                </c:pt>
                <c:pt idx="393">
                  <c:v>44855</c:v>
                </c:pt>
                <c:pt idx="394">
                  <c:v>44858</c:v>
                </c:pt>
                <c:pt idx="395">
                  <c:v>44859</c:v>
                </c:pt>
                <c:pt idx="396">
                  <c:v>44860</c:v>
                </c:pt>
                <c:pt idx="397">
                  <c:v>44861</c:v>
                </c:pt>
                <c:pt idx="398">
                  <c:v>44862</c:v>
                </c:pt>
                <c:pt idx="399">
                  <c:v>44865</c:v>
                </c:pt>
                <c:pt idx="400">
                  <c:v>44866</c:v>
                </c:pt>
                <c:pt idx="401">
                  <c:v>44867</c:v>
                </c:pt>
                <c:pt idx="402">
                  <c:v>44868</c:v>
                </c:pt>
                <c:pt idx="403">
                  <c:v>44869</c:v>
                </c:pt>
                <c:pt idx="404">
                  <c:v>44872</c:v>
                </c:pt>
                <c:pt idx="405">
                  <c:v>44873</c:v>
                </c:pt>
                <c:pt idx="406">
                  <c:v>44874</c:v>
                </c:pt>
                <c:pt idx="407">
                  <c:v>44875</c:v>
                </c:pt>
                <c:pt idx="408">
                  <c:v>44876</c:v>
                </c:pt>
                <c:pt idx="409">
                  <c:v>44879</c:v>
                </c:pt>
                <c:pt idx="410">
                  <c:v>44880</c:v>
                </c:pt>
                <c:pt idx="411">
                  <c:v>44881</c:v>
                </c:pt>
                <c:pt idx="412">
                  <c:v>44882</c:v>
                </c:pt>
                <c:pt idx="413">
                  <c:v>44883</c:v>
                </c:pt>
                <c:pt idx="414">
                  <c:v>44886</c:v>
                </c:pt>
                <c:pt idx="415">
                  <c:v>44887</c:v>
                </c:pt>
                <c:pt idx="416">
                  <c:v>44888</c:v>
                </c:pt>
                <c:pt idx="417">
                  <c:v>44890</c:v>
                </c:pt>
                <c:pt idx="418">
                  <c:v>44893</c:v>
                </c:pt>
                <c:pt idx="419">
                  <c:v>44894</c:v>
                </c:pt>
                <c:pt idx="420">
                  <c:v>44895</c:v>
                </c:pt>
                <c:pt idx="421">
                  <c:v>44896</c:v>
                </c:pt>
                <c:pt idx="422">
                  <c:v>44897</c:v>
                </c:pt>
                <c:pt idx="423">
                  <c:v>44900</c:v>
                </c:pt>
                <c:pt idx="424">
                  <c:v>44901</c:v>
                </c:pt>
                <c:pt idx="425">
                  <c:v>44902</c:v>
                </c:pt>
                <c:pt idx="426">
                  <c:v>44903</c:v>
                </c:pt>
                <c:pt idx="427">
                  <c:v>44904</c:v>
                </c:pt>
                <c:pt idx="428">
                  <c:v>44907</c:v>
                </c:pt>
                <c:pt idx="429">
                  <c:v>44908</c:v>
                </c:pt>
                <c:pt idx="430">
                  <c:v>44909</c:v>
                </c:pt>
                <c:pt idx="431">
                  <c:v>44910</c:v>
                </c:pt>
                <c:pt idx="432">
                  <c:v>44911</c:v>
                </c:pt>
                <c:pt idx="433">
                  <c:v>44914</c:v>
                </c:pt>
                <c:pt idx="434">
                  <c:v>44915</c:v>
                </c:pt>
                <c:pt idx="435">
                  <c:v>44916</c:v>
                </c:pt>
                <c:pt idx="436">
                  <c:v>44917</c:v>
                </c:pt>
                <c:pt idx="437">
                  <c:v>44918</c:v>
                </c:pt>
                <c:pt idx="438">
                  <c:v>44922</c:v>
                </c:pt>
                <c:pt idx="439">
                  <c:v>44923</c:v>
                </c:pt>
                <c:pt idx="440">
                  <c:v>44924</c:v>
                </c:pt>
                <c:pt idx="441">
                  <c:v>44925</c:v>
                </c:pt>
                <c:pt idx="442">
                  <c:v>44929</c:v>
                </c:pt>
                <c:pt idx="443">
                  <c:v>44930</c:v>
                </c:pt>
                <c:pt idx="444">
                  <c:v>44931</c:v>
                </c:pt>
                <c:pt idx="445">
                  <c:v>44932</c:v>
                </c:pt>
                <c:pt idx="446">
                  <c:v>44935</c:v>
                </c:pt>
                <c:pt idx="447">
                  <c:v>44936</c:v>
                </c:pt>
                <c:pt idx="448">
                  <c:v>44937</c:v>
                </c:pt>
                <c:pt idx="449">
                  <c:v>44938</c:v>
                </c:pt>
                <c:pt idx="450">
                  <c:v>44939</c:v>
                </c:pt>
                <c:pt idx="451">
                  <c:v>44943</c:v>
                </c:pt>
                <c:pt idx="452">
                  <c:v>44944</c:v>
                </c:pt>
                <c:pt idx="453">
                  <c:v>44945</c:v>
                </c:pt>
                <c:pt idx="454">
                  <c:v>44946</c:v>
                </c:pt>
                <c:pt idx="455">
                  <c:v>44949</c:v>
                </c:pt>
                <c:pt idx="456">
                  <c:v>44950</c:v>
                </c:pt>
                <c:pt idx="457">
                  <c:v>44951</c:v>
                </c:pt>
                <c:pt idx="458">
                  <c:v>44952</c:v>
                </c:pt>
                <c:pt idx="459">
                  <c:v>44953</c:v>
                </c:pt>
                <c:pt idx="460">
                  <c:v>44956</c:v>
                </c:pt>
                <c:pt idx="461">
                  <c:v>44957</c:v>
                </c:pt>
                <c:pt idx="462">
                  <c:v>44958</c:v>
                </c:pt>
                <c:pt idx="463">
                  <c:v>44959</c:v>
                </c:pt>
                <c:pt idx="464">
                  <c:v>44960</c:v>
                </c:pt>
                <c:pt idx="465">
                  <c:v>44963</c:v>
                </c:pt>
                <c:pt idx="466">
                  <c:v>44964</c:v>
                </c:pt>
                <c:pt idx="467">
                  <c:v>44965</c:v>
                </c:pt>
                <c:pt idx="468">
                  <c:v>44966</c:v>
                </c:pt>
                <c:pt idx="469">
                  <c:v>44967</c:v>
                </c:pt>
                <c:pt idx="470">
                  <c:v>44970</c:v>
                </c:pt>
                <c:pt idx="471">
                  <c:v>44971</c:v>
                </c:pt>
                <c:pt idx="472">
                  <c:v>44972</c:v>
                </c:pt>
                <c:pt idx="473">
                  <c:v>44973</c:v>
                </c:pt>
                <c:pt idx="474">
                  <c:v>44974</c:v>
                </c:pt>
                <c:pt idx="475">
                  <c:v>44978</c:v>
                </c:pt>
                <c:pt idx="476">
                  <c:v>44979</c:v>
                </c:pt>
                <c:pt idx="477">
                  <c:v>44980</c:v>
                </c:pt>
                <c:pt idx="478">
                  <c:v>44981</c:v>
                </c:pt>
                <c:pt idx="479">
                  <c:v>44984</c:v>
                </c:pt>
                <c:pt idx="480">
                  <c:v>44985</c:v>
                </c:pt>
                <c:pt idx="481">
                  <c:v>44986</c:v>
                </c:pt>
                <c:pt idx="482">
                  <c:v>44987</c:v>
                </c:pt>
                <c:pt idx="483">
                  <c:v>44988</c:v>
                </c:pt>
                <c:pt idx="484">
                  <c:v>44991</c:v>
                </c:pt>
                <c:pt idx="485">
                  <c:v>44992</c:v>
                </c:pt>
                <c:pt idx="486">
                  <c:v>44993</c:v>
                </c:pt>
                <c:pt idx="487">
                  <c:v>44994</c:v>
                </c:pt>
                <c:pt idx="488">
                  <c:v>44995</c:v>
                </c:pt>
                <c:pt idx="489">
                  <c:v>44998</c:v>
                </c:pt>
                <c:pt idx="490">
                  <c:v>44999</c:v>
                </c:pt>
                <c:pt idx="491">
                  <c:v>45000</c:v>
                </c:pt>
                <c:pt idx="492">
                  <c:v>45001</c:v>
                </c:pt>
                <c:pt idx="493">
                  <c:v>45002</c:v>
                </c:pt>
                <c:pt idx="494">
                  <c:v>45005</c:v>
                </c:pt>
                <c:pt idx="495">
                  <c:v>45006</c:v>
                </c:pt>
                <c:pt idx="496">
                  <c:v>45007</c:v>
                </c:pt>
                <c:pt idx="497">
                  <c:v>45008</c:v>
                </c:pt>
                <c:pt idx="498">
                  <c:v>45009</c:v>
                </c:pt>
                <c:pt idx="499">
                  <c:v>45012</c:v>
                </c:pt>
                <c:pt idx="500">
                  <c:v>45013</c:v>
                </c:pt>
                <c:pt idx="501">
                  <c:v>45014</c:v>
                </c:pt>
                <c:pt idx="502">
                  <c:v>45015</c:v>
                </c:pt>
                <c:pt idx="503">
                  <c:v>45016</c:v>
                </c:pt>
                <c:pt idx="504">
                  <c:v>45019</c:v>
                </c:pt>
                <c:pt idx="505">
                  <c:v>45020</c:v>
                </c:pt>
                <c:pt idx="506">
                  <c:v>45021</c:v>
                </c:pt>
                <c:pt idx="507">
                  <c:v>45022</c:v>
                </c:pt>
                <c:pt idx="508">
                  <c:v>45026</c:v>
                </c:pt>
                <c:pt idx="509">
                  <c:v>45027</c:v>
                </c:pt>
                <c:pt idx="510">
                  <c:v>45028</c:v>
                </c:pt>
                <c:pt idx="511">
                  <c:v>45029</c:v>
                </c:pt>
                <c:pt idx="512">
                  <c:v>45030</c:v>
                </c:pt>
                <c:pt idx="513">
                  <c:v>45033</c:v>
                </c:pt>
                <c:pt idx="514">
                  <c:v>45034</c:v>
                </c:pt>
                <c:pt idx="515">
                  <c:v>45035</c:v>
                </c:pt>
                <c:pt idx="516">
                  <c:v>45036</c:v>
                </c:pt>
                <c:pt idx="517">
                  <c:v>45037</c:v>
                </c:pt>
                <c:pt idx="518">
                  <c:v>45040</c:v>
                </c:pt>
                <c:pt idx="519">
                  <c:v>45041</c:v>
                </c:pt>
                <c:pt idx="520">
                  <c:v>45042</c:v>
                </c:pt>
                <c:pt idx="521">
                  <c:v>45043</c:v>
                </c:pt>
                <c:pt idx="522">
                  <c:v>45044</c:v>
                </c:pt>
                <c:pt idx="523">
                  <c:v>45047</c:v>
                </c:pt>
                <c:pt idx="524">
                  <c:v>45048</c:v>
                </c:pt>
                <c:pt idx="525">
                  <c:v>45049</c:v>
                </c:pt>
                <c:pt idx="526">
                  <c:v>45050</c:v>
                </c:pt>
                <c:pt idx="527">
                  <c:v>45051</c:v>
                </c:pt>
                <c:pt idx="528">
                  <c:v>45054</c:v>
                </c:pt>
                <c:pt idx="529">
                  <c:v>45055</c:v>
                </c:pt>
                <c:pt idx="530">
                  <c:v>45056</c:v>
                </c:pt>
                <c:pt idx="531">
                  <c:v>45057</c:v>
                </c:pt>
                <c:pt idx="532">
                  <c:v>45058</c:v>
                </c:pt>
                <c:pt idx="533">
                  <c:v>45061</c:v>
                </c:pt>
                <c:pt idx="534">
                  <c:v>45062</c:v>
                </c:pt>
                <c:pt idx="535">
                  <c:v>45063</c:v>
                </c:pt>
                <c:pt idx="536">
                  <c:v>45064</c:v>
                </c:pt>
                <c:pt idx="537">
                  <c:v>45065</c:v>
                </c:pt>
                <c:pt idx="538">
                  <c:v>45068</c:v>
                </c:pt>
                <c:pt idx="539">
                  <c:v>45069</c:v>
                </c:pt>
                <c:pt idx="540">
                  <c:v>45070</c:v>
                </c:pt>
                <c:pt idx="541">
                  <c:v>45071</c:v>
                </c:pt>
                <c:pt idx="542">
                  <c:v>45072</c:v>
                </c:pt>
                <c:pt idx="543">
                  <c:v>45076</c:v>
                </c:pt>
                <c:pt idx="544">
                  <c:v>45077</c:v>
                </c:pt>
                <c:pt idx="545">
                  <c:v>45078</c:v>
                </c:pt>
                <c:pt idx="546">
                  <c:v>45079</c:v>
                </c:pt>
                <c:pt idx="547">
                  <c:v>45082</c:v>
                </c:pt>
                <c:pt idx="548">
                  <c:v>45083</c:v>
                </c:pt>
                <c:pt idx="549">
                  <c:v>45084</c:v>
                </c:pt>
                <c:pt idx="550">
                  <c:v>45085</c:v>
                </c:pt>
                <c:pt idx="551">
                  <c:v>45086</c:v>
                </c:pt>
                <c:pt idx="552">
                  <c:v>45089</c:v>
                </c:pt>
                <c:pt idx="553">
                  <c:v>45090</c:v>
                </c:pt>
                <c:pt idx="554">
                  <c:v>45091</c:v>
                </c:pt>
                <c:pt idx="555">
                  <c:v>45092</c:v>
                </c:pt>
                <c:pt idx="556">
                  <c:v>45093</c:v>
                </c:pt>
                <c:pt idx="557">
                  <c:v>45097</c:v>
                </c:pt>
                <c:pt idx="558">
                  <c:v>45098</c:v>
                </c:pt>
                <c:pt idx="559">
                  <c:v>45099</c:v>
                </c:pt>
                <c:pt idx="560">
                  <c:v>45100</c:v>
                </c:pt>
                <c:pt idx="561">
                  <c:v>45103</c:v>
                </c:pt>
                <c:pt idx="562">
                  <c:v>45104</c:v>
                </c:pt>
                <c:pt idx="563">
                  <c:v>45105</c:v>
                </c:pt>
                <c:pt idx="564">
                  <c:v>45106</c:v>
                </c:pt>
                <c:pt idx="565">
                  <c:v>45107</c:v>
                </c:pt>
                <c:pt idx="566">
                  <c:v>45110</c:v>
                </c:pt>
                <c:pt idx="567">
                  <c:v>45112</c:v>
                </c:pt>
                <c:pt idx="568">
                  <c:v>45113</c:v>
                </c:pt>
                <c:pt idx="569">
                  <c:v>45114</c:v>
                </c:pt>
                <c:pt idx="570">
                  <c:v>45117</c:v>
                </c:pt>
                <c:pt idx="571">
                  <c:v>45118</c:v>
                </c:pt>
                <c:pt idx="572">
                  <c:v>45119</c:v>
                </c:pt>
                <c:pt idx="573">
                  <c:v>45120</c:v>
                </c:pt>
                <c:pt idx="574">
                  <c:v>45121</c:v>
                </c:pt>
                <c:pt idx="575">
                  <c:v>45124</c:v>
                </c:pt>
                <c:pt idx="576">
                  <c:v>45125</c:v>
                </c:pt>
                <c:pt idx="577">
                  <c:v>45126</c:v>
                </c:pt>
                <c:pt idx="578">
                  <c:v>45127</c:v>
                </c:pt>
                <c:pt idx="579">
                  <c:v>45128</c:v>
                </c:pt>
                <c:pt idx="580">
                  <c:v>45131</c:v>
                </c:pt>
                <c:pt idx="581">
                  <c:v>45132</c:v>
                </c:pt>
                <c:pt idx="582">
                  <c:v>45133</c:v>
                </c:pt>
                <c:pt idx="583">
                  <c:v>45134</c:v>
                </c:pt>
                <c:pt idx="584">
                  <c:v>45135</c:v>
                </c:pt>
                <c:pt idx="585">
                  <c:v>45138</c:v>
                </c:pt>
                <c:pt idx="586">
                  <c:v>45139</c:v>
                </c:pt>
                <c:pt idx="587">
                  <c:v>45140</c:v>
                </c:pt>
                <c:pt idx="588">
                  <c:v>45141</c:v>
                </c:pt>
                <c:pt idx="589">
                  <c:v>45142</c:v>
                </c:pt>
                <c:pt idx="590">
                  <c:v>45145</c:v>
                </c:pt>
                <c:pt idx="591">
                  <c:v>45146</c:v>
                </c:pt>
                <c:pt idx="592">
                  <c:v>45147</c:v>
                </c:pt>
                <c:pt idx="593">
                  <c:v>45148</c:v>
                </c:pt>
                <c:pt idx="594">
                  <c:v>45149</c:v>
                </c:pt>
                <c:pt idx="595">
                  <c:v>45152</c:v>
                </c:pt>
                <c:pt idx="596">
                  <c:v>45153</c:v>
                </c:pt>
                <c:pt idx="597">
                  <c:v>45154</c:v>
                </c:pt>
                <c:pt idx="598">
                  <c:v>45155</c:v>
                </c:pt>
                <c:pt idx="599">
                  <c:v>45156</c:v>
                </c:pt>
                <c:pt idx="600">
                  <c:v>45159</c:v>
                </c:pt>
                <c:pt idx="601">
                  <c:v>45160</c:v>
                </c:pt>
                <c:pt idx="602">
                  <c:v>45161</c:v>
                </c:pt>
                <c:pt idx="603">
                  <c:v>45162</c:v>
                </c:pt>
                <c:pt idx="604">
                  <c:v>45163</c:v>
                </c:pt>
                <c:pt idx="605">
                  <c:v>45166</c:v>
                </c:pt>
                <c:pt idx="606">
                  <c:v>45167</c:v>
                </c:pt>
                <c:pt idx="607">
                  <c:v>45168</c:v>
                </c:pt>
                <c:pt idx="608">
                  <c:v>45169</c:v>
                </c:pt>
                <c:pt idx="609">
                  <c:v>45170</c:v>
                </c:pt>
                <c:pt idx="610">
                  <c:v>45174</c:v>
                </c:pt>
                <c:pt idx="611">
                  <c:v>45175</c:v>
                </c:pt>
                <c:pt idx="612">
                  <c:v>45176</c:v>
                </c:pt>
                <c:pt idx="613">
                  <c:v>45177</c:v>
                </c:pt>
                <c:pt idx="614">
                  <c:v>45180</c:v>
                </c:pt>
                <c:pt idx="615">
                  <c:v>45181</c:v>
                </c:pt>
                <c:pt idx="616">
                  <c:v>45182</c:v>
                </c:pt>
                <c:pt idx="617">
                  <c:v>45183</c:v>
                </c:pt>
                <c:pt idx="618">
                  <c:v>45184</c:v>
                </c:pt>
                <c:pt idx="619">
                  <c:v>45187</c:v>
                </c:pt>
                <c:pt idx="620">
                  <c:v>45188</c:v>
                </c:pt>
                <c:pt idx="621">
                  <c:v>45189</c:v>
                </c:pt>
                <c:pt idx="622">
                  <c:v>45190</c:v>
                </c:pt>
                <c:pt idx="623">
                  <c:v>45191</c:v>
                </c:pt>
                <c:pt idx="624">
                  <c:v>45194</c:v>
                </c:pt>
                <c:pt idx="625">
                  <c:v>45195</c:v>
                </c:pt>
                <c:pt idx="626">
                  <c:v>45196</c:v>
                </c:pt>
                <c:pt idx="627">
                  <c:v>45197</c:v>
                </c:pt>
                <c:pt idx="628">
                  <c:v>45198</c:v>
                </c:pt>
                <c:pt idx="629">
                  <c:v>45201</c:v>
                </c:pt>
                <c:pt idx="630">
                  <c:v>45202</c:v>
                </c:pt>
                <c:pt idx="631">
                  <c:v>45203</c:v>
                </c:pt>
                <c:pt idx="632">
                  <c:v>45204</c:v>
                </c:pt>
                <c:pt idx="633">
                  <c:v>45205</c:v>
                </c:pt>
                <c:pt idx="634">
                  <c:v>45208</c:v>
                </c:pt>
                <c:pt idx="635">
                  <c:v>45209</c:v>
                </c:pt>
                <c:pt idx="636">
                  <c:v>45210</c:v>
                </c:pt>
                <c:pt idx="637">
                  <c:v>45211</c:v>
                </c:pt>
                <c:pt idx="638">
                  <c:v>45212</c:v>
                </c:pt>
                <c:pt idx="639">
                  <c:v>45215</c:v>
                </c:pt>
                <c:pt idx="640">
                  <c:v>45216</c:v>
                </c:pt>
                <c:pt idx="641">
                  <c:v>45217</c:v>
                </c:pt>
                <c:pt idx="642">
                  <c:v>45218</c:v>
                </c:pt>
                <c:pt idx="643">
                  <c:v>45219</c:v>
                </c:pt>
                <c:pt idx="644">
                  <c:v>45222</c:v>
                </c:pt>
                <c:pt idx="645">
                  <c:v>45223</c:v>
                </c:pt>
                <c:pt idx="646">
                  <c:v>45224</c:v>
                </c:pt>
                <c:pt idx="647">
                  <c:v>45225</c:v>
                </c:pt>
                <c:pt idx="648">
                  <c:v>45226</c:v>
                </c:pt>
                <c:pt idx="649">
                  <c:v>45229</c:v>
                </c:pt>
                <c:pt idx="650">
                  <c:v>45230</c:v>
                </c:pt>
                <c:pt idx="651">
                  <c:v>45231</c:v>
                </c:pt>
                <c:pt idx="652">
                  <c:v>45232</c:v>
                </c:pt>
                <c:pt idx="653">
                  <c:v>45233</c:v>
                </c:pt>
                <c:pt idx="654">
                  <c:v>45236</c:v>
                </c:pt>
                <c:pt idx="655">
                  <c:v>45237</c:v>
                </c:pt>
                <c:pt idx="656">
                  <c:v>45238</c:v>
                </c:pt>
                <c:pt idx="657">
                  <c:v>45239</c:v>
                </c:pt>
                <c:pt idx="658">
                  <c:v>45240</c:v>
                </c:pt>
                <c:pt idx="659">
                  <c:v>45243</c:v>
                </c:pt>
                <c:pt idx="660">
                  <c:v>45244</c:v>
                </c:pt>
                <c:pt idx="661">
                  <c:v>45245</c:v>
                </c:pt>
                <c:pt idx="662">
                  <c:v>45246</c:v>
                </c:pt>
                <c:pt idx="663">
                  <c:v>45247</c:v>
                </c:pt>
                <c:pt idx="664">
                  <c:v>45250</c:v>
                </c:pt>
                <c:pt idx="665">
                  <c:v>45251</c:v>
                </c:pt>
                <c:pt idx="666">
                  <c:v>45252</c:v>
                </c:pt>
                <c:pt idx="667">
                  <c:v>45254</c:v>
                </c:pt>
                <c:pt idx="668">
                  <c:v>45257</c:v>
                </c:pt>
                <c:pt idx="669">
                  <c:v>45258</c:v>
                </c:pt>
                <c:pt idx="670">
                  <c:v>45259</c:v>
                </c:pt>
                <c:pt idx="671">
                  <c:v>45260</c:v>
                </c:pt>
                <c:pt idx="672">
                  <c:v>45261</c:v>
                </c:pt>
                <c:pt idx="673">
                  <c:v>45264</c:v>
                </c:pt>
                <c:pt idx="674">
                  <c:v>45265</c:v>
                </c:pt>
                <c:pt idx="675">
                  <c:v>45266</c:v>
                </c:pt>
                <c:pt idx="676">
                  <c:v>45267</c:v>
                </c:pt>
                <c:pt idx="677">
                  <c:v>45268</c:v>
                </c:pt>
                <c:pt idx="678">
                  <c:v>45271</c:v>
                </c:pt>
                <c:pt idx="679">
                  <c:v>45272</c:v>
                </c:pt>
                <c:pt idx="680">
                  <c:v>45273</c:v>
                </c:pt>
                <c:pt idx="681">
                  <c:v>45274</c:v>
                </c:pt>
                <c:pt idx="682">
                  <c:v>45275</c:v>
                </c:pt>
                <c:pt idx="683">
                  <c:v>45278</c:v>
                </c:pt>
                <c:pt idx="684">
                  <c:v>45279</c:v>
                </c:pt>
                <c:pt idx="685">
                  <c:v>45280</c:v>
                </c:pt>
                <c:pt idx="686">
                  <c:v>45281</c:v>
                </c:pt>
                <c:pt idx="687">
                  <c:v>45282</c:v>
                </c:pt>
                <c:pt idx="688">
                  <c:v>45286</c:v>
                </c:pt>
                <c:pt idx="689">
                  <c:v>45287</c:v>
                </c:pt>
                <c:pt idx="690">
                  <c:v>45288</c:v>
                </c:pt>
                <c:pt idx="691">
                  <c:v>45289</c:v>
                </c:pt>
                <c:pt idx="692">
                  <c:v>45293</c:v>
                </c:pt>
                <c:pt idx="693">
                  <c:v>45294</c:v>
                </c:pt>
                <c:pt idx="694">
                  <c:v>45295</c:v>
                </c:pt>
                <c:pt idx="695">
                  <c:v>45296</c:v>
                </c:pt>
                <c:pt idx="696">
                  <c:v>45299</c:v>
                </c:pt>
                <c:pt idx="697">
                  <c:v>45300</c:v>
                </c:pt>
                <c:pt idx="698">
                  <c:v>45301</c:v>
                </c:pt>
                <c:pt idx="699">
                  <c:v>45302</c:v>
                </c:pt>
                <c:pt idx="700">
                  <c:v>45303</c:v>
                </c:pt>
                <c:pt idx="701">
                  <c:v>45307</c:v>
                </c:pt>
                <c:pt idx="702">
                  <c:v>45308</c:v>
                </c:pt>
                <c:pt idx="703">
                  <c:v>45309</c:v>
                </c:pt>
                <c:pt idx="704">
                  <c:v>45310</c:v>
                </c:pt>
                <c:pt idx="705">
                  <c:v>45313</c:v>
                </c:pt>
                <c:pt idx="706">
                  <c:v>45314</c:v>
                </c:pt>
                <c:pt idx="707">
                  <c:v>45315</c:v>
                </c:pt>
                <c:pt idx="708">
                  <c:v>45316</c:v>
                </c:pt>
                <c:pt idx="709">
                  <c:v>45317</c:v>
                </c:pt>
                <c:pt idx="710">
                  <c:v>45320</c:v>
                </c:pt>
                <c:pt idx="711">
                  <c:v>45321</c:v>
                </c:pt>
                <c:pt idx="712">
                  <c:v>45322</c:v>
                </c:pt>
                <c:pt idx="713">
                  <c:v>45323</c:v>
                </c:pt>
                <c:pt idx="714">
                  <c:v>45324</c:v>
                </c:pt>
                <c:pt idx="715">
                  <c:v>45327</c:v>
                </c:pt>
                <c:pt idx="716">
                  <c:v>45328</c:v>
                </c:pt>
                <c:pt idx="717">
                  <c:v>45329</c:v>
                </c:pt>
                <c:pt idx="718">
                  <c:v>45330</c:v>
                </c:pt>
                <c:pt idx="719">
                  <c:v>45331</c:v>
                </c:pt>
                <c:pt idx="720">
                  <c:v>45334</c:v>
                </c:pt>
                <c:pt idx="721">
                  <c:v>45335</c:v>
                </c:pt>
                <c:pt idx="722">
                  <c:v>45336</c:v>
                </c:pt>
                <c:pt idx="723">
                  <c:v>45337</c:v>
                </c:pt>
                <c:pt idx="724">
                  <c:v>45338</c:v>
                </c:pt>
                <c:pt idx="725">
                  <c:v>45342</c:v>
                </c:pt>
                <c:pt idx="726">
                  <c:v>45343</c:v>
                </c:pt>
                <c:pt idx="727">
                  <c:v>45344</c:v>
                </c:pt>
                <c:pt idx="728">
                  <c:v>45345</c:v>
                </c:pt>
                <c:pt idx="729">
                  <c:v>45348</c:v>
                </c:pt>
                <c:pt idx="730">
                  <c:v>45349</c:v>
                </c:pt>
                <c:pt idx="731">
                  <c:v>45350</c:v>
                </c:pt>
                <c:pt idx="732">
                  <c:v>45351</c:v>
                </c:pt>
                <c:pt idx="733">
                  <c:v>45352</c:v>
                </c:pt>
                <c:pt idx="734">
                  <c:v>45355</c:v>
                </c:pt>
                <c:pt idx="735">
                  <c:v>45356</c:v>
                </c:pt>
                <c:pt idx="736">
                  <c:v>45357</c:v>
                </c:pt>
                <c:pt idx="737">
                  <c:v>45358</c:v>
                </c:pt>
                <c:pt idx="738">
                  <c:v>45359</c:v>
                </c:pt>
                <c:pt idx="739">
                  <c:v>45362</c:v>
                </c:pt>
                <c:pt idx="740">
                  <c:v>45363</c:v>
                </c:pt>
                <c:pt idx="741">
                  <c:v>45364</c:v>
                </c:pt>
                <c:pt idx="742">
                  <c:v>45365</c:v>
                </c:pt>
                <c:pt idx="743">
                  <c:v>45366</c:v>
                </c:pt>
                <c:pt idx="744">
                  <c:v>45369</c:v>
                </c:pt>
                <c:pt idx="745">
                  <c:v>45370</c:v>
                </c:pt>
                <c:pt idx="746">
                  <c:v>45371</c:v>
                </c:pt>
                <c:pt idx="747">
                  <c:v>45372</c:v>
                </c:pt>
                <c:pt idx="748">
                  <c:v>45373</c:v>
                </c:pt>
                <c:pt idx="749">
                  <c:v>45376</c:v>
                </c:pt>
                <c:pt idx="750">
                  <c:v>45377</c:v>
                </c:pt>
                <c:pt idx="751">
                  <c:v>45378</c:v>
                </c:pt>
                <c:pt idx="752">
                  <c:v>45379</c:v>
                </c:pt>
                <c:pt idx="753">
                  <c:v>45383</c:v>
                </c:pt>
                <c:pt idx="754">
                  <c:v>45384</c:v>
                </c:pt>
                <c:pt idx="755">
                  <c:v>45385</c:v>
                </c:pt>
                <c:pt idx="756">
                  <c:v>45386</c:v>
                </c:pt>
                <c:pt idx="757">
                  <c:v>45387</c:v>
                </c:pt>
                <c:pt idx="758">
                  <c:v>45390</c:v>
                </c:pt>
                <c:pt idx="759">
                  <c:v>45391</c:v>
                </c:pt>
                <c:pt idx="760">
                  <c:v>45392</c:v>
                </c:pt>
                <c:pt idx="761">
                  <c:v>45393</c:v>
                </c:pt>
                <c:pt idx="762">
                  <c:v>45394</c:v>
                </c:pt>
                <c:pt idx="763">
                  <c:v>45397</c:v>
                </c:pt>
                <c:pt idx="764">
                  <c:v>45398</c:v>
                </c:pt>
                <c:pt idx="765">
                  <c:v>45399</c:v>
                </c:pt>
                <c:pt idx="766">
                  <c:v>45400</c:v>
                </c:pt>
                <c:pt idx="767">
                  <c:v>45401</c:v>
                </c:pt>
                <c:pt idx="768">
                  <c:v>45404</c:v>
                </c:pt>
                <c:pt idx="769">
                  <c:v>45405</c:v>
                </c:pt>
                <c:pt idx="770">
                  <c:v>45406</c:v>
                </c:pt>
                <c:pt idx="771">
                  <c:v>45407</c:v>
                </c:pt>
                <c:pt idx="772">
                  <c:v>45408</c:v>
                </c:pt>
                <c:pt idx="773">
                  <c:v>45411</c:v>
                </c:pt>
                <c:pt idx="774">
                  <c:v>45412</c:v>
                </c:pt>
                <c:pt idx="775">
                  <c:v>45413</c:v>
                </c:pt>
                <c:pt idx="776">
                  <c:v>45414</c:v>
                </c:pt>
                <c:pt idx="777">
                  <c:v>45415</c:v>
                </c:pt>
                <c:pt idx="778">
                  <c:v>45418</c:v>
                </c:pt>
                <c:pt idx="779">
                  <c:v>45419</c:v>
                </c:pt>
                <c:pt idx="780">
                  <c:v>45420</c:v>
                </c:pt>
                <c:pt idx="781">
                  <c:v>45421</c:v>
                </c:pt>
                <c:pt idx="782">
                  <c:v>45422</c:v>
                </c:pt>
                <c:pt idx="783">
                  <c:v>45425</c:v>
                </c:pt>
                <c:pt idx="784">
                  <c:v>45426</c:v>
                </c:pt>
                <c:pt idx="785">
                  <c:v>45427</c:v>
                </c:pt>
                <c:pt idx="786">
                  <c:v>45428</c:v>
                </c:pt>
                <c:pt idx="787">
                  <c:v>45429</c:v>
                </c:pt>
                <c:pt idx="788">
                  <c:v>45432</c:v>
                </c:pt>
                <c:pt idx="789">
                  <c:v>45433</c:v>
                </c:pt>
                <c:pt idx="790">
                  <c:v>45434</c:v>
                </c:pt>
                <c:pt idx="791">
                  <c:v>45435</c:v>
                </c:pt>
                <c:pt idx="792">
                  <c:v>45436</c:v>
                </c:pt>
                <c:pt idx="793">
                  <c:v>45440</c:v>
                </c:pt>
                <c:pt idx="794">
                  <c:v>45441</c:v>
                </c:pt>
                <c:pt idx="795">
                  <c:v>45442</c:v>
                </c:pt>
                <c:pt idx="796">
                  <c:v>45443</c:v>
                </c:pt>
                <c:pt idx="797">
                  <c:v>45446</c:v>
                </c:pt>
                <c:pt idx="798">
                  <c:v>45447</c:v>
                </c:pt>
                <c:pt idx="799">
                  <c:v>45448</c:v>
                </c:pt>
                <c:pt idx="800">
                  <c:v>45449</c:v>
                </c:pt>
                <c:pt idx="801">
                  <c:v>45450</c:v>
                </c:pt>
                <c:pt idx="802">
                  <c:v>45453</c:v>
                </c:pt>
                <c:pt idx="803">
                  <c:v>45454</c:v>
                </c:pt>
                <c:pt idx="804">
                  <c:v>45455</c:v>
                </c:pt>
                <c:pt idx="805">
                  <c:v>45456</c:v>
                </c:pt>
                <c:pt idx="806">
                  <c:v>45457</c:v>
                </c:pt>
                <c:pt idx="807">
                  <c:v>45460</c:v>
                </c:pt>
                <c:pt idx="808">
                  <c:v>45461</c:v>
                </c:pt>
                <c:pt idx="809">
                  <c:v>45463</c:v>
                </c:pt>
                <c:pt idx="810">
                  <c:v>45464</c:v>
                </c:pt>
                <c:pt idx="811">
                  <c:v>45467</c:v>
                </c:pt>
                <c:pt idx="812">
                  <c:v>45468</c:v>
                </c:pt>
                <c:pt idx="813">
                  <c:v>45469</c:v>
                </c:pt>
                <c:pt idx="814">
                  <c:v>45470</c:v>
                </c:pt>
                <c:pt idx="815">
                  <c:v>45471</c:v>
                </c:pt>
                <c:pt idx="816">
                  <c:v>45474</c:v>
                </c:pt>
                <c:pt idx="817">
                  <c:v>45475</c:v>
                </c:pt>
                <c:pt idx="818">
                  <c:v>45476</c:v>
                </c:pt>
                <c:pt idx="819">
                  <c:v>45478</c:v>
                </c:pt>
                <c:pt idx="820">
                  <c:v>45481</c:v>
                </c:pt>
                <c:pt idx="821">
                  <c:v>45482</c:v>
                </c:pt>
                <c:pt idx="822">
                  <c:v>45483</c:v>
                </c:pt>
                <c:pt idx="823">
                  <c:v>45484</c:v>
                </c:pt>
                <c:pt idx="824">
                  <c:v>45485</c:v>
                </c:pt>
                <c:pt idx="825">
                  <c:v>45488</c:v>
                </c:pt>
                <c:pt idx="826">
                  <c:v>45489</c:v>
                </c:pt>
                <c:pt idx="827">
                  <c:v>45490</c:v>
                </c:pt>
                <c:pt idx="828">
                  <c:v>45491</c:v>
                </c:pt>
                <c:pt idx="829">
                  <c:v>45492</c:v>
                </c:pt>
                <c:pt idx="830">
                  <c:v>45495</c:v>
                </c:pt>
                <c:pt idx="831">
                  <c:v>45496</c:v>
                </c:pt>
                <c:pt idx="832">
                  <c:v>45497</c:v>
                </c:pt>
                <c:pt idx="833">
                  <c:v>45498</c:v>
                </c:pt>
                <c:pt idx="834">
                  <c:v>45499</c:v>
                </c:pt>
                <c:pt idx="835">
                  <c:v>45502</c:v>
                </c:pt>
                <c:pt idx="836">
                  <c:v>45503</c:v>
                </c:pt>
                <c:pt idx="837">
                  <c:v>45504</c:v>
                </c:pt>
                <c:pt idx="838">
                  <c:v>45505</c:v>
                </c:pt>
                <c:pt idx="839">
                  <c:v>45506</c:v>
                </c:pt>
                <c:pt idx="840">
                  <c:v>45509</c:v>
                </c:pt>
                <c:pt idx="841">
                  <c:v>45510</c:v>
                </c:pt>
                <c:pt idx="842">
                  <c:v>45511</c:v>
                </c:pt>
                <c:pt idx="843">
                  <c:v>45512</c:v>
                </c:pt>
                <c:pt idx="844">
                  <c:v>45513</c:v>
                </c:pt>
                <c:pt idx="845">
                  <c:v>45516</c:v>
                </c:pt>
                <c:pt idx="846">
                  <c:v>45517</c:v>
                </c:pt>
                <c:pt idx="847">
                  <c:v>45518</c:v>
                </c:pt>
                <c:pt idx="848">
                  <c:v>45519</c:v>
                </c:pt>
                <c:pt idx="849">
                  <c:v>45520</c:v>
                </c:pt>
                <c:pt idx="850">
                  <c:v>45523</c:v>
                </c:pt>
                <c:pt idx="851">
                  <c:v>45524</c:v>
                </c:pt>
                <c:pt idx="852">
                  <c:v>45525</c:v>
                </c:pt>
                <c:pt idx="853">
                  <c:v>45526</c:v>
                </c:pt>
                <c:pt idx="854">
                  <c:v>45527</c:v>
                </c:pt>
                <c:pt idx="855">
                  <c:v>45530</c:v>
                </c:pt>
                <c:pt idx="856">
                  <c:v>45531</c:v>
                </c:pt>
                <c:pt idx="857">
                  <c:v>45532</c:v>
                </c:pt>
                <c:pt idx="858">
                  <c:v>45533</c:v>
                </c:pt>
                <c:pt idx="859">
                  <c:v>45534</c:v>
                </c:pt>
                <c:pt idx="860">
                  <c:v>45538</c:v>
                </c:pt>
                <c:pt idx="861">
                  <c:v>45539</c:v>
                </c:pt>
                <c:pt idx="862">
                  <c:v>45540</c:v>
                </c:pt>
                <c:pt idx="863">
                  <c:v>45541</c:v>
                </c:pt>
                <c:pt idx="864">
                  <c:v>45544</c:v>
                </c:pt>
                <c:pt idx="865">
                  <c:v>45545</c:v>
                </c:pt>
                <c:pt idx="866">
                  <c:v>45546</c:v>
                </c:pt>
                <c:pt idx="867">
                  <c:v>45547</c:v>
                </c:pt>
                <c:pt idx="868">
                  <c:v>45548</c:v>
                </c:pt>
                <c:pt idx="869">
                  <c:v>45551</c:v>
                </c:pt>
                <c:pt idx="870">
                  <c:v>45552</c:v>
                </c:pt>
                <c:pt idx="871">
                  <c:v>45553</c:v>
                </c:pt>
                <c:pt idx="872">
                  <c:v>45554</c:v>
                </c:pt>
                <c:pt idx="873">
                  <c:v>45555</c:v>
                </c:pt>
                <c:pt idx="874">
                  <c:v>45558</c:v>
                </c:pt>
                <c:pt idx="875">
                  <c:v>45559</c:v>
                </c:pt>
                <c:pt idx="876">
                  <c:v>45560</c:v>
                </c:pt>
                <c:pt idx="877">
                  <c:v>45561</c:v>
                </c:pt>
                <c:pt idx="878">
                  <c:v>45562</c:v>
                </c:pt>
                <c:pt idx="879">
                  <c:v>45565</c:v>
                </c:pt>
                <c:pt idx="880">
                  <c:v>45566</c:v>
                </c:pt>
                <c:pt idx="881">
                  <c:v>45567</c:v>
                </c:pt>
                <c:pt idx="882">
                  <c:v>45568</c:v>
                </c:pt>
                <c:pt idx="883">
                  <c:v>45569</c:v>
                </c:pt>
                <c:pt idx="884">
                  <c:v>45572</c:v>
                </c:pt>
                <c:pt idx="885">
                  <c:v>45573</c:v>
                </c:pt>
                <c:pt idx="886">
                  <c:v>45574</c:v>
                </c:pt>
                <c:pt idx="887">
                  <c:v>45575</c:v>
                </c:pt>
                <c:pt idx="888">
                  <c:v>45576</c:v>
                </c:pt>
                <c:pt idx="889">
                  <c:v>45579</c:v>
                </c:pt>
                <c:pt idx="890">
                  <c:v>45580</c:v>
                </c:pt>
                <c:pt idx="891">
                  <c:v>45581</c:v>
                </c:pt>
                <c:pt idx="892">
                  <c:v>45582</c:v>
                </c:pt>
                <c:pt idx="893">
                  <c:v>45583</c:v>
                </c:pt>
                <c:pt idx="894">
                  <c:v>45586</c:v>
                </c:pt>
                <c:pt idx="895">
                  <c:v>45587</c:v>
                </c:pt>
                <c:pt idx="896">
                  <c:v>45588</c:v>
                </c:pt>
                <c:pt idx="897">
                  <c:v>45589</c:v>
                </c:pt>
                <c:pt idx="898">
                  <c:v>45590</c:v>
                </c:pt>
                <c:pt idx="899">
                  <c:v>45593</c:v>
                </c:pt>
                <c:pt idx="900">
                  <c:v>45594</c:v>
                </c:pt>
                <c:pt idx="901">
                  <c:v>45595</c:v>
                </c:pt>
                <c:pt idx="902">
                  <c:v>45596</c:v>
                </c:pt>
                <c:pt idx="903">
                  <c:v>45597</c:v>
                </c:pt>
                <c:pt idx="904">
                  <c:v>45600</c:v>
                </c:pt>
                <c:pt idx="905">
                  <c:v>45601</c:v>
                </c:pt>
                <c:pt idx="906">
                  <c:v>45602</c:v>
                </c:pt>
                <c:pt idx="907">
                  <c:v>45603</c:v>
                </c:pt>
                <c:pt idx="908">
                  <c:v>45604</c:v>
                </c:pt>
                <c:pt idx="909">
                  <c:v>45607</c:v>
                </c:pt>
                <c:pt idx="910">
                  <c:v>45608</c:v>
                </c:pt>
                <c:pt idx="911">
                  <c:v>45609</c:v>
                </c:pt>
                <c:pt idx="912">
                  <c:v>45610</c:v>
                </c:pt>
                <c:pt idx="913">
                  <c:v>45611</c:v>
                </c:pt>
                <c:pt idx="914">
                  <c:v>45614</c:v>
                </c:pt>
                <c:pt idx="915">
                  <c:v>45615</c:v>
                </c:pt>
                <c:pt idx="916">
                  <c:v>45616</c:v>
                </c:pt>
                <c:pt idx="917">
                  <c:v>45617</c:v>
                </c:pt>
                <c:pt idx="918">
                  <c:v>45618</c:v>
                </c:pt>
                <c:pt idx="919">
                  <c:v>45621</c:v>
                </c:pt>
                <c:pt idx="920">
                  <c:v>45622</c:v>
                </c:pt>
                <c:pt idx="921">
                  <c:v>45623</c:v>
                </c:pt>
                <c:pt idx="922">
                  <c:v>45625</c:v>
                </c:pt>
                <c:pt idx="923">
                  <c:v>45628</c:v>
                </c:pt>
                <c:pt idx="924">
                  <c:v>45629</c:v>
                </c:pt>
                <c:pt idx="925">
                  <c:v>45630</c:v>
                </c:pt>
                <c:pt idx="926">
                  <c:v>45631</c:v>
                </c:pt>
                <c:pt idx="927">
                  <c:v>45632</c:v>
                </c:pt>
                <c:pt idx="928">
                  <c:v>45635</c:v>
                </c:pt>
                <c:pt idx="929">
                  <c:v>45636</c:v>
                </c:pt>
                <c:pt idx="930">
                  <c:v>45637</c:v>
                </c:pt>
                <c:pt idx="931">
                  <c:v>45638</c:v>
                </c:pt>
                <c:pt idx="932">
                  <c:v>45639</c:v>
                </c:pt>
                <c:pt idx="933">
                  <c:v>45642</c:v>
                </c:pt>
                <c:pt idx="934">
                  <c:v>45643</c:v>
                </c:pt>
                <c:pt idx="935">
                  <c:v>45644</c:v>
                </c:pt>
                <c:pt idx="936">
                  <c:v>45645</c:v>
                </c:pt>
                <c:pt idx="937">
                  <c:v>45646</c:v>
                </c:pt>
                <c:pt idx="938">
                  <c:v>45649</c:v>
                </c:pt>
                <c:pt idx="939">
                  <c:v>45650</c:v>
                </c:pt>
                <c:pt idx="940">
                  <c:v>45652</c:v>
                </c:pt>
                <c:pt idx="941">
                  <c:v>45653</c:v>
                </c:pt>
                <c:pt idx="942">
                  <c:v>45656</c:v>
                </c:pt>
                <c:pt idx="943">
                  <c:v>45657</c:v>
                </c:pt>
                <c:pt idx="944">
                  <c:v>45659</c:v>
                </c:pt>
                <c:pt idx="945">
                  <c:v>45660</c:v>
                </c:pt>
                <c:pt idx="946">
                  <c:v>45663</c:v>
                </c:pt>
                <c:pt idx="947">
                  <c:v>45664</c:v>
                </c:pt>
                <c:pt idx="948">
                  <c:v>45665</c:v>
                </c:pt>
                <c:pt idx="949">
                  <c:v>45667</c:v>
                </c:pt>
                <c:pt idx="950">
                  <c:v>45670</c:v>
                </c:pt>
                <c:pt idx="951">
                  <c:v>45671</c:v>
                </c:pt>
                <c:pt idx="952">
                  <c:v>45672</c:v>
                </c:pt>
                <c:pt idx="953">
                  <c:v>45673</c:v>
                </c:pt>
                <c:pt idx="954">
                  <c:v>45674</c:v>
                </c:pt>
                <c:pt idx="955">
                  <c:v>45678</c:v>
                </c:pt>
                <c:pt idx="956">
                  <c:v>45679</c:v>
                </c:pt>
                <c:pt idx="957">
                  <c:v>45680</c:v>
                </c:pt>
                <c:pt idx="958">
                  <c:v>45681</c:v>
                </c:pt>
                <c:pt idx="959">
                  <c:v>45684</c:v>
                </c:pt>
                <c:pt idx="960">
                  <c:v>45685</c:v>
                </c:pt>
                <c:pt idx="961">
                  <c:v>45686</c:v>
                </c:pt>
                <c:pt idx="962">
                  <c:v>45687</c:v>
                </c:pt>
                <c:pt idx="963">
                  <c:v>45688</c:v>
                </c:pt>
                <c:pt idx="964">
                  <c:v>45691</c:v>
                </c:pt>
                <c:pt idx="965">
                  <c:v>45692</c:v>
                </c:pt>
                <c:pt idx="966">
                  <c:v>45693</c:v>
                </c:pt>
                <c:pt idx="967">
                  <c:v>45694</c:v>
                </c:pt>
                <c:pt idx="968">
                  <c:v>45695</c:v>
                </c:pt>
                <c:pt idx="969">
                  <c:v>45698</c:v>
                </c:pt>
                <c:pt idx="970">
                  <c:v>45699</c:v>
                </c:pt>
                <c:pt idx="971">
                  <c:v>45700</c:v>
                </c:pt>
                <c:pt idx="972">
                  <c:v>45701</c:v>
                </c:pt>
                <c:pt idx="973">
                  <c:v>45702</c:v>
                </c:pt>
                <c:pt idx="974">
                  <c:v>45706</c:v>
                </c:pt>
                <c:pt idx="975">
                  <c:v>45707</c:v>
                </c:pt>
                <c:pt idx="976">
                  <c:v>45708</c:v>
                </c:pt>
                <c:pt idx="977">
                  <c:v>45709</c:v>
                </c:pt>
                <c:pt idx="978">
                  <c:v>45712</c:v>
                </c:pt>
                <c:pt idx="979">
                  <c:v>45713</c:v>
                </c:pt>
                <c:pt idx="980">
                  <c:v>45714</c:v>
                </c:pt>
                <c:pt idx="981">
                  <c:v>45715</c:v>
                </c:pt>
                <c:pt idx="982">
                  <c:v>45716</c:v>
                </c:pt>
                <c:pt idx="983">
                  <c:v>45719</c:v>
                </c:pt>
                <c:pt idx="984">
                  <c:v>45720</c:v>
                </c:pt>
                <c:pt idx="985">
                  <c:v>45721</c:v>
                </c:pt>
                <c:pt idx="986">
                  <c:v>45722</c:v>
                </c:pt>
                <c:pt idx="987">
                  <c:v>45723</c:v>
                </c:pt>
                <c:pt idx="988">
                  <c:v>45726</c:v>
                </c:pt>
                <c:pt idx="989">
                  <c:v>45727</c:v>
                </c:pt>
                <c:pt idx="990">
                  <c:v>45728</c:v>
                </c:pt>
                <c:pt idx="991">
                  <c:v>45729</c:v>
                </c:pt>
                <c:pt idx="992">
                  <c:v>45730</c:v>
                </c:pt>
                <c:pt idx="993">
                  <c:v>45733</c:v>
                </c:pt>
                <c:pt idx="994">
                  <c:v>45734</c:v>
                </c:pt>
                <c:pt idx="995">
                  <c:v>45735</c:v>
                </c:pt>
                <c:pt idx="996">
                  <c:v>45736</c:v>
                </c:pt>
                <c:pt idx="997">
                  <c:v>45737</c:v>
                </c:pt>
                <c:pt idx="998">
                  <c:v>45740</c:v>
                </c:pt>
                <c:pt idx="999">
                  <c:v>45741</c:v>
                </c:pt>
                <c:pt idx="1000">
                  <c:v>45742</c:v>
                </c:pt>
                <c:pt idx="1001">
                  <c:v>45743</c:v>
                </c:pt>
                <c:pt idx="1002">
                  <c:v>45744</c:v>
                </c:pt>
                <c:pt idx="1003">
                  <c:v>45747</c:v>
                </c:pt>
                <c:pt idx="1004">
                  <c:v>45748</c:v>
                </c:pt>
                <c:pt idx="1005">
                  <c:v>45749</c:v>
                </c:pt>
                <c:pt idx="1006">
                  <c:v>45750</c:v>
                </c:pt>
                <c:pt idx="1007">
                  <c:v>45751</c:v>
                </c:pt>
                <c:pt idx="1008">
                  <c:v>45754</c:v>
                </c:pt>
                <c:pt idx="1009">
                  <c:v>45755</c:v>
                </c:pt>
                <c:pt idx="1010">
                  <c:v>45756</c:v>
                </c:pt>
                <c:pt idx="1011">
                  <c:v>45757</c:v>
                </c:pt>
                <c:pt idx="1012">
                  <c:v>45758</c:v>
                </c:pt>
                <c:pt idx="1013">
                  <c:v>45761</c:v>
                </c:pt>
                <c:pt idx="1014">
                  <c:v>45762</c:v>
                </c:pt>
                <c:pt idx="1015">
                  <c:v>45763</c:v>
                </c:pt>
                <c:pt idx="1016">
                  <c:v>45764</c:v>
                </c:pt>
                <c:pt idx="1017">
                  <c:v>45768</c:v>
                </c:pt>
                <c:pt idx="1018">
                  <c:v>45769</c:v>
                </c:pt>
                <c:pt idx="1019">
                  <c:v>45770</c:v>
                </c:pt>
                <c:pt idx="1020">
                  <c:v>45771</c:v>
                </c:pt>
                <c:pt idx="1021">
                  <c:v>45772</c:v>
                </c:pt>
                <c:pt idx="1022">
                  <c:v>45775</c:v>
                </c:pt>
                <c:pt idx="1023">
                  <c:v>45776</c:v>
                </c:pt>
                <c:pt idx="1024">
                  <c:v>45777</c:v>
                </c:pt>
                <c:pt idx="1025">
                  <c:v>45778</c:v>
                </c:pt>
                <c:pt idx="1026">
                  <c:v>45779</c:v>
                </c:pt>
                <c:pt idx="1027">
                  <c:v>45782</c:v>
                </c:pt>
                <c:pt idx="1028">
                  <c:v>45783</c:v>
                </c:pt>
                <c:pt idx="1029">
                  <c:v>45784</c:v>
                </c:pt>
                <c:pt idx="1030">
                  <c:v>45785</c:v>
                </c:pt>
                <c:pt idx="1031">
                  <c:v>45786</c:v>
                </c:pt>
                <c:pt idx="1032">
                  <c:v>45789</c:v>
                </c:pt>
                <c:pt idx="1033">
                  <c:v>45790</c:v>
                </c:pt>
                <c:pt idx="1034">
                  <c:v>45791</c:v>
                </c:pt>
                <c:pt idx="1035">
                  <c:v>45792</c:v>
                </c:pt>
                <c:pt idx="1036">
                  <c:v>45793</c:v>
                </c:pt>
                <c:pt idx="1037">
                  <c:v>45796</c:v>
                </c:pt>
                <c:pt idx="1038">
                  <c:v>45797</c:v>
                </c:pt>
                <c:pt idx="1039">
                  <c:v>45798</c:v>
                </c:pt>
                <c:pt idx="1040">
                  <c:v>45799</c:v>
                </c:pt>
                <c:pt idx="1041">
                  <c:v>45800</c:v>
                </c:pt>
                <c:pt idx="1042">
                  <c:v>45804</c:v>
                </c:pt>
                <c:pt idx="1043">
                  <c:v>45805</c:v>
                </c:pt>
                <c:pt idx="1044">
                  <c:v>45806</c:v>
                </c:pt>
                <c:pt idx="1045">
                  <c:v>45807</c:v>
                </c:pt>
                <c:pt idx="1046">
                  <c:v>45810</c:v>
                </c:pt>
                <c:pt idx="1047">
                  <c:v>45811</c:v>
                </c:pt>
                <c:pt idx="1048">
                  <c:v>45812</c:v>
                </c:pt>
                <c:pt idx="1049">
                  <c:v>45813</c:v>
                </c:pt>
                <c:pt idx="1050">
                  <c:v>45814</c:v>
                </c:pt>
                <c:pt idx="1051">
                  <c:v>45817</c:v>
                </c:pt>
                <c:pt idx="1052">
                  <c:v>45818</c:v>
                </c:pt>
                <c:pt idx="1053">
                  <c:v>45819</c:v>
                </c:pt>
                <c:pt idx="1054">
                  <c:v>45820</c:v>
                </c:pt>
                <c:pt idx="1055">
                  <c:v>45821</c:v>
                </c:pt>
                <c:pt idx="1056">
                  <c:v>45824</c:v>
                </c:pt>
                <c:pt idx="1057">
                  <c:v>45825</c:v>
                </c:pt>
                <c:pt idx="1058">
                  <c:v>45826</c:v>
                </c:pt>
                <c:pt idx="1059">
                  <c:v>45828</c:v>
                </c:pt>
                <c:pt idx="1060">
                  <c:v>45831</c:v>
                </c:pt>
                <c:pt idx="1061">
                  <c:v>45832</c:v>
                </c:pt>
                <c:pt idx="1062">
                  <c:v>45833</c:v>
                </c:pt>
                <c:pt idx="1063">
                  <c:v>45834</c:v>
                </c:pt>
                <c:pt idx="1064">
                  <c:v>45835</c:v>
                </c:pt>
                <c:pt idx="1065">
                  <c:v>45838</c:v>
                </c:pt>
                <c:pt idx="1066">
                  <c:v>45839</c:v>
                </c:pt>
                <c:pt idx="1067">
                  <c:v>45840</c:v>
                </c:pt>
                <c:pt idx="1068">
                  <c:v>45841</c:v>
                </c:pt>
                <c:pt idx="1069">
                  <c:v>45845</c:v>
                </c:pt>
                <c:pt idx="1070">
                  <c:v>45846</c:v>
                </c:pt>
                <c:pt idx="1071">
                  <c:v>45847</c:v>
                </c:pt>
                <c:pt idx="1072">
                  <c:v>45848</c:v>
                </c:pt>
                <c:pt idx="1073">
                  <c:v>45849</c:v>
                </c:pt>
                <c:pt idx="1074">
                  <c:v>45852</c:v>
                </c:pt>
                <c:pt idx="1075">
                  <c:v>45853</c:v>
                </c:pt>
                <c:pt idx="1076">
                  <c:v>45854</c:v>
                </c:pt>
                <c:pt idx="1077">
                  <c:v>45855</c:v>
                </c:pt>
                <c:pt idx="1078">
                  <c:v>45856</c:v>
                </c:pt>
                <c:pt idx="1079">
                  <c:v>45859</c:v>
                </c:pt>
                <c:pt idx="1080">
                  <c:v>45860</c:v>
                </c:pt>
                <c:pt idx="1081">
                  <c:v>45861</c:v>
                </c:pt>
                <c:pt idx="1082">
                  <c:v>45862</c:v>
                </c:pt>
                <c:pt idx="1083">
                  <c:v>45863</c:v>
                </c:pt>
                <c:pt idx="1084">
                  <c:v>45866</c:v>
                </c:pt>
                <c:pt idx="1085">
                  <c:v>45867</c:v>
                </c:pt>
                <c:pt idx="1086">
                  <c:v>45868</c:v>
                </c:pt>
                <c:pt idx="1087">
                  <c:v>45869</c:v>
                </c:pt>
                <c:pt idx="1088">
                  <c:v>45870</c:v>
                </c:pt>
                <c:pt idx="1089">
                  <c:v>45873</c:v>
                </c:pt>
                <c:pt idx="1090">
                  <c:v>45874</c:v>
                </c:pt>
                <c:pt idx="1091">
                  <c:v>45875</c:v>
                </c:pt>
                <c:pt idx="1092">
                  <c:v>45876</c:v>
                </c:pt>
                <c:pt idx="1093">
                  <c:v>45877</c:v>
                </c:pt>
                <c:pt idx="1094">
                  <c:v>45880</c:v>
                </c:pt>
                <c:pt idx="1095">
                  <c:v>45881</c:v>
                </c:pt>
                <c:pt idx="1096">
                  <c:v>45882</c:v>
                </c:pt>
                <c:pt idx="1097">
                  <c:v>45883</c:v>
                </c:pt>
                <c:pt idx="1098">
                  <c:v>45884</c:v>
                </c:pt>
                <c:pt idx="1099">
                  <c:v>45887</c:v>
                </c:pt>
                <c:pt idx="1100">
                  <c:v>45888</c:v>
                </c:pt>
                <c:pt idx="1101">
                  <c:v>45889</c:v>
                </c:pt>
                <c:pt idx="1102">
                  <c:v>45890</c:v>
                </c:pt>
                <c:pt idx="1103">
                  <c:v>45891</c:v>
                </c:pt>
                <c:pt idx="1104">
                  <c:v>45894</c:v>
                </c:pt>
                <c:pt idx="1105">
                  <c:v>45895</c:v>
                </c:pt>
                <c:pt idx="1106">
                  <c:v>45896</c:v>
                </c:pt>
                <c:pt idx="1107">
                  <c:v>45897</c:v>
                </c:pt>
                <c:pt idx="1108">
                  <c:v>45898</c:v>
                </c:pt>
                <c:pt idx="1109">
                  <c:v>45902</c:v>
                </c:pt>
                <c:pt idx="1110">
                  <c:v>45903</c:v>
                </c:pt>
                <c:pt idx="1111">
                  <c:v>45904</c:v>
                </c:pt>
                <c:pt idx="1112">
                  <c:v>45905</c:v>
                </c:pt>
                <c:pt idx="1113">
                  <c:v>45908</c:v>
                </c:pt>
                <c:pt idx="1114">
                  <c:v>45909</c:v>
                </c:pt>
                <c:pt idx="1115">
                  <c:v>45910</c:v>
                </c:pt>
                <c:pt idx="1116">
                  <c:v>45911</c:v>
                </c:pt>
                <c:pt idx="1117">
                  <c:v>45912</c:v>
                </c:pt>
                <c:pt idx="1118">
                  <c:v>45915</c:v>
                </c:pt>
                <c:pt idx="1119">
                  <c:v>45916</c:v>
                </c:pt>
                <c:pt idx="1120">
                  <c:v>45917</c:v>
                </c:pt>
                <c:pt idx="1121">
                  <c:v>45918</c:v>
                </c:pt>
                <c:pt idx="1122">
                  <c:v>45919</c:v>
                </c:pt>
                <c:pt idx="1123">
                  <c:v>45922</c:v>
                </c:pt>
                <c:pt idx="1124">
                  <c:v>45923</c:v>
                </c:pt>
                <c:pt idx="1125">
                  <c:v>45924</c:v>
                </c:pt>
                <c:pt idx="1126">
                  <c:v>45925</c:v>
                </c:pt>
                <c:pt idx="1127">
                  <c:v>45926</c:v>
                </c:pt>
                <c:pt idx="1128">
                  <c:v>45929</c:v>
                </c:pt>
                <c:pt idx="1129">
                  <c:v>45930</c:v>
                </c:pt>
                <c:pt idx="1130">
                  <c:v>45931</c:v>
                </c:pt>
                <c:pt idx="1131">
                  <c:v>45932</c:v>
                </c:pt>
                <c:pt idx="1132">
                  <c:v>45933</c:v>
                </c:pt>
                <c:pt idx="1133">
                  <c:v>45936</c:v>
                </c:pt>
                <c:pt idx="1134">
                  <c:v>45937</c:v>
                </c:pt>
                <c:pt idx="1135">
                  <c:v>45938</c:v>
                </c:pt>
                <c:pt idx="1136">
                  <c:v>45939</c:v>
                </c:pt>
                <c:pt idx="1137">
                  <c:v>45940</c:v>
                </c:pt>
                <c:pt idx="1138">
                  <c:v>45943</c:v>
                </c:pt>
                <c:pt idx="1139">
                  <c:v>45944</c:v>
                </c:pt>
                <c:pt idx="1140">
                  <c:v>45945</c:v>
                </c:pt>
                <c:pt idx="1141">
                  <c:v>45946</c:v>
                </c:pt>
                <c:pt idx="1142">
                  <c:v>45947</c:v>
                </c:pt>
                <c:pt idx="1143">
                  <c:v>45950</c:v>
                </c:pt>
                <c:pt idx="1144">
                  <c:v>45951</c:v>
                </c:pt>
                <c:pt idx="1145">
                  <c:v>45952</c:v>
                </c:pt>
                <c:pt idx="1146">
                  <c:v>45953</c:v>
                </c:pt>
                <c:pt idx="1147">
                  <c:v>45954</c:v>
                </c:pt>
                <c:pt idx="1148">
                  <c:v>45957</c:v>
                </c:pt>
                <c:pt idx="1149">
                  <c:v>45958</c:v>
                </c:pt>
                <c:pt idx="1150">
                  <c:v>45959</c:v>
                </c:pt>
                <c:pt idx="1151">
                  <c:v>45960</c:v>
                </c:pt>
                <c:pt idx="1152">
                  <c:v>45961</c:v>
                </c:pt>
                <c:pt idx="1153">
                  <c:v>45964</c:v>
                </c:pt>
                <c:pt idx="1154">
                  <c:v>45965</c:v>
                </c:pt>
                <c:pt idx="1155">
                  <c:v>45966</c:v>
                </c:pt>
                <c:pt idx="1156">
                  <c:v>45967</c:v>
                </c:pt>
                <c:pt idx="1157">
                  <c:v>45968</c:v>
                </c:pt>
                <c:pt idx="1158">
                  <c:v>45971</c:v>
                </c:pt>
                <c:pt idx="1159">
                  <c:v>45972</c:v>
                </c:pt>
                <c:pt idx="1160">
                  <c:v>45973</c:v>
                </c:pt>
                <c:pt idx="1161">
                  <c:v>45974</c:v>
                </c:pt>
                <c:pt idx="1162">
                  <c:v>45975</c:v>
                </c:pt>
                <c:pt idx="1163">
                  <c:v>45978</c:v>
                </c:pt>
                <c:pt idx="1164">
                  <c:v>45979</c:v>
                </c:pt>
                <c:pt idx="1165">
                  <c:v>45980</c:v>
                </c:pt>
                <c:pt idx="1166">
                  <c:v>45981</c:v>
                </c:pt>
                <c:pt idx="1167">
                  <c:v>45982</c:v>
                </c:pt>
                <c:pt idx="1168">
                  <c:v>45985</c:v>
                </c:pt>
                <c:pt idx="1169">
                  <c:v>45986</c:v>
                </c:pt>
                <c:pt idx="1170">
                  <c:v>45987</c:v>
                </c:pt>
                <c:pt idx="1171">
                  <c:v>45989</c:v>
                </c:pt>
                <c:pt idx="1172">
                  <c:v>45992</c:v>
                </c:pt>
                <c:pt idx="1173">
                  <c:v>45993</c:v>
                </c:pt>
                <c:pt idx="1174">
                  <c:v>45994</c:v>
                </c:pt>
                <c:pt idx="1175">
                  <c:v>45995</c:v>
                </c:pt>
                <c:pt idx="1176">
                  <c:v>45996</c:v>
                </c:pt>
                <c:pt idx="1177">
                  <c:v>45999</c:v>
                </c:pt>
                <c:pt idx="1178">
                  <c:v>46000</c:v>
                </c:pt>
                <c:pt idx="1179">
                  <c:v>46001</c:v>
                </c:pt>
                <c:pt idx="1180">
                  <c:v>46002</c:v>
                </c:pt>
                <c:pt idx="1181">
                  <c:v>46003</c:v>
                </c:pt>
                <c:pt idx="1182">
                  <c:v>46006</c:v>
                </c:pt>
                <c:pt idx="1183">
                  <c:v>46007</c:v>
                </c:pt>
                <c:pt idx="1184">
                  <c:v>46008</c:v>
                </c:pt>
                <c:pt idx="1185">
                  <c:v>46009</c:v>
                </c:pt>
                <c:pt idx="1186">
                  <c:v>46010</c:v>
                </c:pt>
                <c:pt idx="1187">
                  <c:v>46013</c:v>
                </c:pt>
                <c:pt idx="1188">
                  <c:v>46014</c:v>
                </c:pt>
                <c:pt idx="1189">
                  <c:v>46015</c:v>
                </c:pt>
                <c:pt idx="1190">
                  <c:v>46017</c:v>
                </c:pt>
                <c:pt idx="1191">
                  <c:v>46020</c:v>
                </c:pt>
                <c:pt idx="1192">
                  <c:v>46021</c:v>
                </c:pt>
                <c:pt idx="1193">
                  <c:v>46022</c:v>
                </c:pt>
                <c:pt idx="1194">
                  <c:v>46024</c:v>
                </c:pt>
                <c:pt idx="1195">
                  <c:v>46027</c:v>
                </c:pt>
                <c:pt idx="1196">
                  <c:v>46028</c:v>
                </c:pt>
                <c:pt idx="1197">
                  <c:v>46029</c:v>
                </c:pt>
                <c:pt idx="1198">
                  <c:v>46030</c:v>
                </c:pt>
                <c:pt idx="1199">
                  <c:v>46031</c:v>
                </c:pt>
                <c:pt idx="1200">
                  <c:v>46034</c:v>
                </c:pt>
                <c:pt idx="1201">
                  <c:v>46035</c:v>
                </c:pt>
                <c:pt idx="1202">
                  <c:v>46036</c:v>
                </c:pt>
                <c:pt idx="1203">
                  <c:v>46037</c:v>
                </c:pt>
                <c:pt idx="1204">
                  <c:v>46038</c:v>
                </c:pt>
                <c:pt idx="1205">
                  <c:v>46042</c:v>
                </c:pt>
                <c:pt idx="1206">
                  <c:v>46043</c:v>
                </c:pt>
                <c:pt idx="1207">
                  <c:v>46044</c:v>
                </c:pt>
                <c:pt idx="1208">
                  <c:v>46045</c:v>
                </c:pt>
                <c:pt idx="1209">
                  <c:v>46048</c:v>
                </c:pt>
                <c:pt idx="1210">
                  <c:v>46049</c:v>
                </c:pt>
                <c:pt idx="1211">
                  <c:v>46050</c:v>
                </c:pt>
                <c:pt idx="1212">
                  <c:v>46051</c:v>
                </c:pt>
                <c:pt idx="1213">
                  <c:v>46052</c:v>
                </c:pt>
                <c:pt idx="1214">
                  <c:v>46055</c:v>
                </c:pt>
                <c:pt idx="1215">
                  <c:v>46056</c:v>
                </c:pt>
                <c:pt idx="1216">
                  <c:v>46057</c:v>
                </c:pt>
                <c:pt idx="1217">
                  <c:v>46058</c:v>
                </c:pt>
                <c:pt idx="1218">
                  <c:v>46059</c:v>
                </c:pt>
                <c:pt idx="1219">
                  <c:v>46062</c:v>
                </c:pt>
                <c:pt idx="1220">
                  <c:v>46063</c:v>
                </c:pt>
                <c:pt idx="1221">
                  <c:v>46064</c:v>
                </c:pt>
                <c:pt idx="1222">
                  <c:v>46065</c:v>
                </c:pt>
                <c:pt idx="1223">
                  <c:v>46066</c:v>
                </c:pt>
                <c:pt idx="1224">
                  <c:v>46070</c:v>
                </c:pt>
                <c:pt idx="1225">
                  <c:v>46071</c:v>
                </c:pt>
                <c:pt idx="1226">
                  <c:v>46072</c:v>
                </c:pt>
                <c:pt idx="1227">
                  <c:v>46073</c:v>
                </c:pt>
                <c:pt idx="1228">
                  <c:v>46076</c:v>
                </c:pt>
                <c:pt idx="1229">
                  <c:v>46077</c:v>
                </c:pt>
                <c:pt idx="1230">
                  <c:v>46078</c:v>
                </c:pt>
                <c:pt idx="1231">
                  <c:v>46079</c:v>
                </c:pt>
                <c:pt idx="1232">
                  <c:v>46080</c:v>
                </c:pt>
                <c:pt idx="1233">
                  <c:v>46083</c:v>
                </c:pt>
                <c:pt idx="1234">
                  <c:v>46084</c:v>
                </c:pt>
                <c:pt idx="1235">
                  <c:v>46085</c:v>
                </c:pt>
                <c:pt idx="1236">
                  <c:v>46086</c:v>
                </c:pt>
                <c:pt idx="1237">
                  <c:v>46087</c:v>
                </c:pt>
                <c:pt idx="1238">
                  <c:v>46090</c:v>
                </c:pt>
                <c:pt idx="1239">
                  <c:v>46091</c:v>
                </c:pt>
                <c:pt idx="1240">
                  <c:v>46092</c:v>
                </c:pt>
                <c:pt idx="1241">
                  <c:v>46093</c:v>
                </c:pt>
                <c:pt idx="1242">
                  <c:v>46094</c:v>
                </c:pt>
                <c:pt idx="1243">
                  <c:v>46097</c:v>
                </c:pt>
                <c:pt idx="1244">
                  <c:v>46098</c:v>
                </c:pt>
                <c:pt idx="1245">
                  <c:v>46099</c:v>
                </c:pt>
                <c:pt idx="1246">
                  <c:v>46100</c:v>
                </c:pt>
                <c:pt idx="1247">
                  <c:v>46101</c:v>
                </c:pt>
                <c:pt idx="1248">
                  <c:v>46104</c:v>
                </c:pt>
                <c:pt idx="1249">
                  <c:v>46105</c:v>
                </c:pt>
                <c:pt idx="1250">
                  <c:v>46106</c:v>
                </c:pt>
                <c:pt idx="1251">
                  <c:v>46107</c:v>
                </c:pt>
                <c:pt idx="1252">
                  <c:v>46108</c:v>
                </c:pt>
                <c:pt idx="1253">
                  <c:v>46111</c:v>
                </c:pt>
              </c:numCache>
            </c:numRef>
          </c:cat>
          <c:val>
            <c:numRef>
              <c:f>'Share Price'!$D$3:$D$1256</c:f>
              <c:numCache>
                <c:formatCode>General</c:formatCode>
                <c:ptCount val="1254"/>
                <c:pt idx="0">
                  <c:v>4.2130999999999998</c:v>
                </c:pt>
                <c:pt idx="1">
                  <c:v>3.9190999999999998</c:v>
                </c:pt>
                <c:pt idx="2">
                  <c:v>4.4286000000000003</c:v>
                </c:pt>
                <c:pt idx="3">
                  <c:v>4.6436000000000002</c:v>
                </c:pt>
                <c:pt idx="4">
                  <c:v>3.8622999999999998</c:v>
                </c:pt>
                <c:pt idx="5">
                  <c:v>5.2141999999999999</c:v>
                </c:pt>
                <c:pt idx="6">
                  <c:v>8.0592000000000006</c:v>
                </c:pt>
                <c:pt idx="7">
                  <c:v>11.356299999999999</c:v>
                </c:pt>
                <c:pt idx="8">
                  <c:v>16.177499999999998</c:v>
                </c:pt>
                <c:pt idx="9">
                  <c:v>13.117599999999999</c:v>
                </c:pt>
                <c:pt idx="10">
                  <c:v>15.0055</c:v>
                </c:pt>
                <c:pt idx="11">
                  <c:v>5.4695</c:v>
                </c:pt>
                <c:pt idx="12">
                  <c:v>6.9851999999999999</c:v>
                </c:pt>
                <c:pt idx="13">
                  <c:v>7.2251000000000003</c:v>
                </c:pt>
                <c:pt idx="14">
                  <c:v>9.3737999999999992</c:v>
                </c:pt>
                <c:pt idx="15">
                  <c:v>4.6177999999999999</c:v>
                </c:pt>
                <c:pt idx="16">
                  <c:v>5.3131000000000004</c:v>
                </c:pt>
                <c:pt idx="17">
                  <c:v>5.0422000000000002</c:v>
                </c:pt>
                <c:pt idx="18">
                  <c:v>5.157</c:v>
                </c:pt>
                <c:pt idx="19">
                  <c:v>6.5453999999999999</c:v>
                </c:pt>
                <c:pt idx="20">
                  <c:v>7.0735000000000001</c:v>
                </c:pt>
                <c:pt idx="21">
                  <c:v>3.8005</c:v>
                </c:pt>
                <c:pt idx="22">
                  <c:v>4.0876999999999999</c:v>
                </c:pt>
                <c:pt idx="23">
                  <c:v>3.7624</c:v>
                </c:pt>
                <c:pt idx="24">
                  <c:v>10.426600000000001</c:v>
                </c:pt>
                <c:pt idx="25">
                  <c:v>5.2207999999999997</c:v>
                </c:pt>
                <c:pt idx="26">
                  <c:v>9.1795000000000009</c:v>
                </c:pt>
                <c:pt idx="27">
                  <c:v>3.7294</c:v>
                </c:pt>
                <c:pt idx="28">
                  <c:v>5.6706000000000003</c:v>
                </c:pt>
                <c:pt idx="29">
                  <c:v>6.2648999999999999</c:v>
                </c:pt>
                <c:pt idx="30">
                  <c:v>3.2932000000000001</c:v>
                </c:pt>
                <c:pt idx="31">
                  <c:v>2.7345000000000002</c:v>
                </c:pt>
                <c:pt idx="32">
                  <c:v>5.3029999999999999</c:v>
                </c:pt>
                <c:pt idx="33">
                  <c:v>4.3227000000000002</c:v>
                </c:pt>
                <c:pt idx="34">
                  <c:v>7.0195999999999996</c:v>
                </c:pt>
                <c:pt idx="35">
                  <c:v>6.4482999999999997</c:v>
                </c:pt>
                <c:pt idx="36">
                  <c:v>3.8403999999999998</c:v>
                </c:pt>
                <c:pt idx="37">
                  <c:v>7.1719999999999997</c:v>
                </c:pt>
                <c:pt idx="38">
                  <c:v>3.7534999999999998</c:v>
                </c:pt>
                <c:pt idx="39">
                  <c:v>2.9319000000000002</c:v>
                </c:pt>
                <c:pt idx="40">
                  <c:v>2.1514000000000002</c:v>
                </c:pt>
                <c:pt idx="41">
                  <c:v>9.1073000000000004</c:v>
                </c:pt>
                <c:pt idx="42">
                  <c:v>6.8864000000000001</c:v>
                </c:pt>
                <c:pt idx="43">
                  <c:v>5.8273999999999999</c:v>
                </c:pt>
                <c:pt idx="44">
                  <c:v>6.484</c:v>
                </c:pt>
                <c:pt idx="45">
                  <c:v>10.7651</c:v>
                </c:pt>
                <c:pt idx="46">
                  <c:v>7.9169</c:v>
                </c:pt>
                <c:pt idx="47">
                  <c:v>4.9728000000000003</c:v>
                </c:pt>
                <c:pt idx="48">
                  <c:v>6.7164000000000001</c:v>
                </c:pt>
                <c:pt idx="49">
                  <c:v>14.076000000000001</c:v>
                </c:pt>
                <c:pt idx="50">
                  <c:v>10.214</c:v>
                </c:pt>
                <c:pt idx="51">
                  <c:v>7.4774000000000003</c:v>
                </c:pt>
                <c:pt idx="52">
                  <c:v>5.7975000000000003</c:v>
                </c:pt>
                <c:pt idx="53">
                  <c:v>8.5685000000000002</c:v>
                </c:pt>
                <c:pt idx="54">
                  <c:v>11.423400000000001</c:v>
                </c:pt>
                <c:pt idx="55">
                  <c:v>4.0076000000000001</c:v>
                </c:pt>
                <c:pt idx="56">
                  <c:v>5.5960999999999999</c:v>
                </c:pt>
                <c:pt idx="57">
                  <c:v>5.7100999999999997</c:v>
                </c:pt>
                <c:pt idx="58">
                  <c:v>5.9370000000000003</c:v>
                </c:pt>
                <c:pt idx="59">
                  <c:v>5.2492000000000001</c:v>
                </c:pt>
                <c:pt idx="60">
                  <c:v>4.6689999999999996</c:v>
                </c:pt>
                <c:pt idx="61">
                  <c:v>4.7485999999999997</c:v>
                </c:pt>
                <c:pt idx="62">
                  <c:v>6.4935</c:v>
                </c:pt>
                <c:pt idx="63">
                  <c:v>4.6706000000000003</c:v>
                </c:pt>
                <c:pt idx="64">
                  <c:v>4.9085999999999999</c:v>
                </c:pt>
                <c:pt idx="65">
                  <c:v>5.7286000000000001</c:v>
                </c:pt>
                <c:pt idx="66">
                  <c:v>4.2561999999999998</c:v>
                </c:pt>
                <c:pt idx="67">
                  <c:v>5.4394</c:v>
                </c:pt>
                <c:pt idx="68">
                  <c:v>4.8083999999999998</c:v>
                </c:pt>
                <c:pt idx="69">
                  <c:v>5.2470999999999997</c:v>
                </c:pt>
                <c:pt idx="70">
                  <c:v>8.8725000000000005</c:v>
                </c:pt>
                <c:pt idx="71">
                  <c:v>6.8372000000000002</c:v>
                </c:pt>
                <c:pt idx="72">
                  <c:v>5.0269000000000004</c:v>
                </c:pt>
                <c:pt idx="73">
                  <c:v>10.6532</c:v>
                </c:pt>
                <c:pt idx="74">
                  <c:v>6.2127999999999997</c:v>
                </c:pt>
                <c:pt idx="75">
                  <c:v>3.7277</c:v>
                </c:pt>
                <c:pt idx="76">
                  <c:v>4.0235000000000003</c:v>
                </c:pt>
                <c:pt idx="77">
                  <c:v>4.1067999999999998</c:v>
                </c:pt>
                <c:pt idx="78">
                  <c:v>4.8148</c:v>
                </c:pt>
                <c:pt idx="79">
                  <c:v>4.8784000000000001</c:v>
                </c:pt>
                <c:pt idx="80">
                  <c:v>9.2266999999999992</c:v>
                </c:pt>
                <c:pt idx="81">
                  <c:v>3.5933999999999999</c:v>
                </c:pt>
                <c:pt idx="82">
                  <c:v>5.9478</c:v>
                </c:pt>
                <c:pt idx="83">
                  <c:v>4.4640000000000004</c:v>
                </c:pt>
                <c:pt idx="84">
                  <c:v>5.5381999999999998</c:v>
                </c:pt>
                <c:pt idx="85">
                  <c:v>6.6078000000000001</c:v>
                </c:pt>
                <c:pt idx="86">
                  <c:v>5.6650999999999998</c:v>
                </c:pt>
                <c:pt idx="87">
                  <c:v>5.2531999999999996</c:v>
                </c:pt>
                <c:pt idx="88">
                  <c:v>4.0670000000000002</c:v>
                </c:pt>
                <c:pt idx="89">
                  <c:v>4.9177999999999997</c:v>
                </c:pt>
                <c:pt idx="90">
                  <c:v>4.7941000000000003</c:v>
                </c:pt>
                <c:pt idx="91">
                  <c:v>2.8298000000000001</c:v>
                </c:pt>
                <c:pt idx="92">
                  <c:v>4.1478999999999999</c:v>
                </c:pt>
                <c:pt idx="93">
                  <c:v>3.6865000000000001</c:v>
                </c:pt>
                <c:pt idx="94">
                  <c:v>3.6354000000000002</c:v>
                </c:pt>
                <c:pt idx="95">
                  <c:v>4.8247</c:v>
                </c:pt>
                <c:pt idx="96">
                  <c:v>5.9356999999999998</c:v>
                </c:pt>
                <c:pt idx="97">
                  <c:v>4.9114000000000004</c:v>
                </c:pt>
                <c:pt idx="98">
                  <c:v>3.3727999999999998</c:v>
                </c:pt>
                <c:pt idx="99">
                  <c:v>4.5279999999999996</c:v>
                </c:pt>
                <c:pt idx="100">
                  <c:v>6.4272</c:v>
                </c:pt>
                <c:pt idx="101">
                  <c:v>4.1227999999999998</c:v>
                </c:pt>
                <c:pt idx="102">
                  <c:v>4.1426999999999996</c:v>
                </c:pt>
                <c:pt idx="103">
                  <c:v>4.6161000000000003</c:v>
                </c:pt>
                <c:pt idx="104">
                  <c:v>3.4119999999999999</c:v>
                </c:pt>
                <c:pt idx="105">
                  <c:v>5.4394</c:v>
                </c:pt>
                <c:pt idx="106">
                  <c:v>9.3688000000000002</c:v>
                </c:pt>
                <c:pt idx="107">
                  <c:v>6.1952999999999996</c:v>
                </c:pt>
                <c:pt idx="108">
                  <c:v>3.7812000000000001</c:v>
                </c:pt>
                <c:pt idx="109">
                  <c:v>8.4247999999999994</c:v>
                </c:pt>
                <c:pt idx="110">
                  <c:v>4.3517000000000001</c:v>
                </c:pt>
                <c:pt idx="111">
                  <c:v>8.2978000000000005</c:v>
                </c:pt>
                <c:pt idx="112">
                  <c:v>4.2012999999999998</c:v>
                </c:pt>
                <c:pt idx="113">
                  <c:v>5.8727999999999998</c:v>
                </c:pt>
                <c:pt idx="114">
                  <c:v>3.9702999999999999</c:v>
                </c:pt>
                <c:pt idx="115">
                  <c:v>4.8354999999999997</c:v>
                </c:pt>
                <c:pt idx="116">
                  <c:v>6.5540000000000003</c:v>
                </c:pt>
                <c:pt idx="117">
                  <c:v>8.0703999999999994</c:v>
                </c:pt>
                <c:pt idx="118">
                  <c:v>7.1487999999999996</c:v>
                </c:pt>
                <c:pt idx="119">
                  <c:v>4.7850000000000001</c:v>
                </c:pt>
                <c:pt idx="120">
                  <c:v>6.6138000000000003</c:v>
                </c:pt>
                <c:pt idx="121">
                  <c:v>5.3238000000000003</c:v>
                </c:pt>
                <c:pt idx="122">
                  <c:v>5.4551999999999996</c:v>
                </c:pt>
                <c:pt idx="123">
                  <c:v>7.4588000000000001</c:v>
                </c:pt>
                <c:pt idx="124">
                  <c:v>8.5226000000000006</c:v>
                </c:pt>
                <c:pt idx="125">
                  <c:v>9.6523000000000003</c:v>
                </c:pt>
                <c:pt idx="126">
                  <c:v>7.3379000000000003</c:v>
                </c:pt>
                <c:pt idx="127">
                  <c:v>7.1951999999999998</c:v>
                </c:pt>
                <c:pt idx="128">
                  <c:v>8.6544000000000008</c:v>
                </c:pt>
                <c:pt idx="129">
                  <c:v>9.4989000000000008</c:v>
                </c:pt>
                <c:pt idx="130">
                  <c:v>7.1345999999999998</c:v>
                </c:pt>
                <c:pt idx="131">
                  <c:v>9.5898000000000003</c:v>
                </c:pt>
                <c:pt idx="132">
                  <c:v>15.7399</c:v>
                </c:pt>
                <c:pt idx="133">
                  <c:v>11.872400000000001</c:v>
                </c:pt>
                <c:pt idx="134">
                  <c:v>14.046799999999999</c:v>
                </c:pt>
                <c:pt idx="135">
                  <c:v>13.0991</c:v>
                </c:pt>
                <c:pt idx="136">
                  <c:v>11.3439</c:v>
                </c:pt>
                <c:pt idx="137">
                  <c:v>22.2956</c:v>
                </c:pt>
                <c:pt idx="138">
                  <c:v>12.6183</c:v>
                </c:pt>
                <c:pt idx="139">
                  <c:v>7.7599</c:v>
                </c:pt>
                <c:pt idx="140">
                  <c:v>8.4345999999999997</c:v>
                </c:pt>
                <c:pt idx="141">
                  <c:v>6.2446000000000002</c:v>
                </c:pt>
                <c:pt idx="142">
                  <c:v>7.6967999999999996</c:v>
                </c:pt>
                <c:pt idx="143">
                  <c:v>10.86</c:v>
                </c:pt>
                <c:pt idx="144">
                  <c:v>5.8445999999999998</c:v>
                </c:pt>
                <c:pt idx="145">
                  <c:v>17.484500000000001</c:v>
                </c:pt>
                <c:pt idx="146">
                  <c:v>6.915</c:v>
                </c:pt>
                <c:pt idx="147">
                  <c:v>5.6881000000000004</c:v>
                </c:pt>
                <c:pt idx="148">
                  <c:v>4.7664999999999997</c:v>
                </c:pt>
                <c:pt idx="149">
                  <c:v>3.7863000000000002</c:v>
                </c:pt>
                <c:pt idx="150">
                  <c:v>7.0891999999999999</c:v>
                </c:pt>
                <c:pt idx="151">
                  <c:v>4.0776000000000003</c:v>
                </c:pt>
                <c:pt idx="152">
                  <c:v>4.7230999999999996</c:v>
                </c:pt>
                <c:pt idx="153">
                  <c:v>6.8487999999999998</c:v>
                </c:pt>
                <c:pt idx="154">
                  <c:v>5.5320999999999998</c:v>
                </c:pt>
                <c:pt idx="155">
                  <c:v>6.0602</c:v>
                </c:pt>
                <c:pt idx="156">
                  <c:v>3.6394000000000002</c:v>
                </c:pt>
                <c:pt idx="157">
                  <c:v>5.3047000000000004</c:v>
                </c:pt>
                <c:pt idx="158">
                  <c:v>3.6671</c:v>
                </c:pt>
                <c:pt idx="159">
                  <c:v>8.3890999999999991</c:v>
                </c:pt>
                <c:pt idx="160">
                  <c:v>5.1779000000000002</c:v>
                </c:pt>
                <c:pt idx="161">
                  <c:v>6.4535</c:v>
                </c:pt>
                <c:pt idx="162">
                  <c:v>3.0840000000000001</c:v>
                </c:pt>
                <c:pt idx="163">
                  <c:v>12.581200000000001</c:v>
                </c:pt>
                <c:pt idx="164">
                  <c:v>8.4962</c:v>
                </c:pt>
                <c:pt idx="165">
                  <c:v>3.9921000000000002</c:v>
                </c:pt>
                <c:pt idx="166">
                  <c:v>3.5276000000000001</c:v>
                </c:pt>
                <c:pt idx="167">
                  <c:v>9.9429999999999996</c:v>
                </c:pt>
                <c:pt idx="168">
                  <c:v>8.7446999999999999</c:v>
                </c:pt>
                <c:pt idx="169">
                  <c:v>6.6961000000000004</c:v>
                </c:pt>
                <c:pt idx="170">
                  <c:v>9.3375000000000004</c:v>
                </c:pt>
                <c:pt idx="171">
                  <c:v>6.7549000000000001</c:v>
                </c:pt>
                <c:pt idx="172">
                  <c:v>6.8571999999999997</c:v>
                </c:pt>
                <c:pt idx="173">
                  <c:v>8.3972999999999995</c:v>
                </c:pt>
                <c:pt idx="174">
                  <c:v>5.1936999999999998</c:v>
                </c:pt>
                <c:pt idx="175">
                  <c:v>4.4808000000000003</c:v>
                </c:pt>
                <c:pt idx="176">
                  <c:v>4.0012999999999996</c:v>
                </c:pt>
                <c:pt idx="177">
                  <c:v>4.5515999999999996</c:v>
                </c:pt>
                <c:pt idx="178">
                  <c:v>5.2531999999999996</c:v>
                </c:pt>
                <c:pt idx="179">
                  <c:v>6.8361999999999998</c:v>
                </c:pt>
                <c:pt idx="180">
                  <c:v>11.307499999999999</c:v>
                </c:pt>
                <c:pt idx="181">
                  <c:v>6.5170000000000003</c:v>
                </c:pt>
                <c:pt idx="182">
                  <c:v>4.0309999999999997</c:v>
                </c:pt>
                <c:pt idx="183">
                  <c:v>3.7503000000000002</c:v>
                </c:pt>
                <c:pt idx="184">
                  <c:v>6.9687999999999999</c:v>
                </c:pt>
                <c:pt idx="185">
                  <c:v>2.4885999999999999</c:v>
                </c:pt>
                <c:pt idx="186">
                  <c:v>3.5272000000000001</c:v>
                </c:pt>
                <c:pt idx="187">
                  <c:v>3.4058000000000002</c:v>
                </c:pt>
                <c:pt idx="188">
                  <c:v>2.3304</c:v>
                </c:pt>
                <c:pt idx="189">
                  <c:v>2.2938999999999998</c:v>
                </c:pt>
                <c:pt idx="190">
                  <c:v>3.0097</c:v>
                </c:pt>
                <c:pt idx="191">
                  <c:v>4.5266999999999999</c:v>
                </c:pt>
                <c:pt idx="192">
                  <c:v>8.1808999999999994</c:v>
                </c:pt>
                <c:pt idx="193">
                  <c:v>8.8813999999999993</c:v>
                </c:pt>
                <c:pt idx="194">
                  <c:v>11.523300000000001</c:v>
                </c:pt>
                <c:pt idx="195">
                  <c:v>6.5964999999999998</c:v>
                </c:pt>
                <c:pt idx="196">
                  <c:v>10.032</c:v>
                </c:pt>
                <c:pt idx="197">
                  <c:v>9.8839000000000006</c:v>
                </c:pt>
                <c:pt idx="198">
                  <c:v>15.578799999999999</c:v>
                </c:pt>
                <c:pt idx="199">
                  <c:v>20.147500000000001</c:v>
                </c:pt>
                <c:pt idx="200">
                  <c:v>11.294700000000001</c:v>
                </c:pt>
                <c:pt idx="201">
                  <c:v>6.915</c:v>
                </c:pt>
                <c:pt idx="202">
                  <c:v>13.7561</c:v>
                </c:pt>
                <c:pt idx="203">
                  <c:v>19.4175</c:v>
                </c:pt>
                <c:pt idx="204">
                  <c:v>13.813599999999999</c:v>
                </c:pt>
                <c:pt idx="205">
                  <c:v>18.128</c:v>
                </c:pt>
                <c:pt idx="206">
                  <c:v>9.5881000000000007</c:v>
                </c:pt>
                <c:pt idx="207">
                  <c:v>11.662800000000001</c:v>
                </c:pt>
                <c:pt idx="208">
                  <c:v>17.0869</c:v>
                </c:pt>
                <c:pt idx="209">
                  <c:v>15.420199999999999</c:v>
                </c:pt>
                <c:pt idx="210">
                  <c:v>5.6867999999999999</c:v>
                </c:pt>
                <c:pt idx="211">
                  <c:v>10.309699999999999</c:v>
                </c:pt>
                <c:pt idx="212">
                  <c:v>9.0334000000000003</c:v>
                </c:pt>
                <c:pt idx="213">
                  <c:v>12.135</c:v>
                </c:pt>
                <c:pt idx="214">
                  <c:v>18.2531</c:v>
                </c:pt>
                <c:pt idx="215">
                  <c:v>15.889900000000001</c:v>
                </c:pt>
                <c:pt idx="216">
                  <c:v>21.190899999999999</c:v>
                </c:pt>
                <c:pt idx="217">
                  <c:v>7.4728000000000003</c:v>
                </c:pt>
                <c:pt idx="218">
                  <c:v>10.6008</c:v>
                </c:pt>
                <c:pt idx="219">
                  <c:v>7.7614999999999998</c:v>
                </c:pt>
                <c:pt idx="220">
                  <c:v>6.5029000000000003</c:v>
                </c:pt>
                <c:pt idx="221">
                  <c:v>9.9762000000000004</c:v>
                </c:pt>
                <c:pt idx="222">
                  <c:v>6.6050000000000004</c:v>
                </c:pt>
                <c:pt idx="223">
                  <c:v>8.4702000000000002</c:v>
                </c:pt>
                <c:pt idx="224">
                  <c:v>8.9327000000000005</c:v>
                </c:pt>
                <c:pt idx="225">
                  <c:v>17.2683</c:v>
                </c:pt>
                <c:pt idx="226">
                  <c:v>8.42</c:v>
                </c:pt>
                <c:pt idx="227">
                  <c:v>21.155100000000001</c:v>
                </c:pt>
                <c:pt idx="228">
                  <c:v>8.2692999999999994</c:v>
                </c:pt>
                <c:pt idx="229">
                  <c:v>6.9657</c:v>
                </c:pt>
                <c:pt idx="230">
                  <c:v>6.9302999999999999</c:v>
                </c:pt>
                <c:pt idx="231">
                  <c:v>8.7494999999999994</c:v>
                </c:pt>
                <c:pt idx="232">
                  <c:v>7.0236000000000001</c:v>
                </c:pt>
                <c:pt idx="233">
                  <c:v>13.4245</c:v>
                </c:pt>
                <c:pt idx="234">
                  <c:v>14.1951</c:v>
                </c:pt>
                <c:pt idx="235">
                  <c:v>20.4268</c:v>
                </c:pt>
                <c:pt idx="236">
                  <c:v>10.5992</c:v>
                </c:pt>
                <c:pt idx="237">
                  <c:v>7.7889999999999997</c:v>
                </c:pt>
                <c:pt idx="238">
                  <c:v>7.8928000000000003</c:v>
                </c:pt>
                <c:pt idx="239">
                  <c:v>13.9453</c:v>
                </c:pt>
                <c:pt idx="240">
                  <c:v>9.1861999999999995</c:v>
                </c:pt>
                <c:pt idx="241">
                  <c:v>12.327299999999999</c:v>
                </c:pt>
                <c:pt idx="242">
                  <c:v>14.8149</c:v>
                </c:pt>
                <c:pt idx="243">
                  <c:v>29.035599999999999</c:v>
                </c:pt>
                <c:pt idx="244">
                  <c:v>8.2007999999999992</c:v>
                </c:pt>
                <c:pt idx="245">
                  <c:v>5.3673000000000002</c:v>
                </c:pt>
                <c:pt idx="246">
                  <c:v>9.0222999999999995</c:v>
                </c:pt>
                <c:pt idx="247">
                  <c:v>3.5943999999999998</c:v>
                </c:pt>
                <c:pt idx="248">
                  <c:v>3.3654000000000002</c:v>
                </c:pt>
                <c:pt idx="249">
                  <c:v>2.8344</c:v>
                </c:pt>
                <c:pt idx="250">
                  <c:v>3.8172000000000001</c:v>
                </c:pt>
                <c:pt idx="251">
                  <c:v>6.9455</c:v>
                </c:pt>
                <c:pt idx="252">
                  <c:v>7.8494999999999999</c:v>
                </c:pt>
                <c:pt idx="253">
                  <c:v>14.712</c:v>
                </c:pt>
                <c:pt idx="254">
                  <c:v>12.357900000000001</c:v>
                </c:pt>
                <c:pt idx="255">
                  <c:v>6.2930000000000001</c:v>
                </c:pt>
                <c:pt idx="256">
                  <c:v>12.373699999999999</c:v>
                </c:pt>
                <c:pt idx="257">
                  <c:v>8.3374000000000006</c:v>
                </c:pt>
                <c:pt idx="258">
                  <c:v>5.5834000000000001</c:v>
                </c:pt>
                <c:pt idx="259">
                  <c:v>6.6414999999999997</c:v>
                </c:pt>
                <c:pt idx="260">
                  <c:v>11.6426</c:v>
                </c:pt>
                <c:pt idx="261">
                  <c:v>20.145499999999998</c:v>
                </c:pt>
                <c:pt idx="262">
                  <c:v>17.1998</c:v>
                </c:pt>
                <c:pt idx="263">
                  <c:v>11.9983</c:v>
                </c:pt>
                <c:pt idx="264">
                  <c:v>16.645299999999999</c:v>
                </c:pt>
                <c:pt idx="265">
                  <c:v>10.019600000000001</c:v>
                </c:pt>
                <c:pt idx="266">
                  <c:v>21.840599999999998</c:v>
                </c:pt>
                <c:pt idx="267">
                  <c:v>11.9834</c:v>
                </c:pt>
                <c:pt idx="268">
                  <c:v>8.7783999999999995</c:v>
                </c:pt>
                <c:pt idx="269">
                  <c:v>13.027100000000001</c:v>
                </c:pt>
                <c:pt idx="270">
                  <c:v>9.7540999999999993</c:v>
                </c:pt>
                <c:pt idx="271">
                  <c:v>24.229099999999999</c:v>
                </c:pt>
                <c:pt idx="272">
                  <c:v>12.325100000000001</c:v>
                </c:pt>
                <c:pt idx="273">
                  <c:v>15.0739</c:v>
                </c:pt>
                <c:pt idx="274">
                  <c:v>7.7168000000000001</c:v>
                </c:pt>
                <c:pt idx="275">
                  <c:v>7.5194000000000001</c:v>
                </c:pt>
                <c:pt idx="276">
                  <c:v>9.5770999999999997</c:v>
                </c:pt>
                <c:pt idx="277">
                  <c:v>6.6153000000000004</c:v>
                </c:pt>
                <c:pt idx="278">
                  <c:v>14.5382</c:v>
                </c:pt>
                <c:pt idx="279">
                  <c:v>18.342600000000001</c:v>
                </c:pt>
                <c:pt idx="280">
                  <c:v>8.5031999999999996</c:v>
                </c:pt>
                <c:pt idx="281">
                  <c:v>13.434100000000001</c:v>
                </c:pt>
                <c:pt idx="282">
                  <c:v>14.0335</c:v>
                </c:pt>
                <c:pt idx="283">
                  <c:v>11.057600000000001</c:v>
                </c:pt>
                <c:pt idx="284">
                  <c:v>7.1845999999999997</c:v>
                </c:pt>
                <c:pt idx="285">
                  <c:v>10.672000000000001</c:v>
                </c:pt>
                <c:pt idx="286">
                  <c:v>9.3927999999999994</c:v>
                </c:pt>
                <c:pt idx="287">
                  <c:v>6.0190999999999999</c:v>
                </c:pt>
                <c:pt idx="288">
                  <c:v>7.4516</c:v>
                </c:pt>
                <c:pt idx="289">
                  <c:v>9.9047999999999998</c:v>
                </c:pt>
                <c:pt idx="290">
                  <c:v>19.046500000000002</c:v>
                </c:pt>
                <c:pt idx="291">
                  <c:v>9.1168999999999993</c:v>
                </c:pt>
                <c:pt idx="292">
                  <c:v>14.402900000000001</c:v>
                </c:pt>
                <c:pt idx="293">
                  <c:v>14.97</c:v>
                </c:pt>
                <c:pt idx="294">
                  <c:v>11.6313</c:v>
                </c:pt>
                <c:pt idx="295">
                  <c:v>9.3977000000000004</c:v>
                </c:pt>
                <c:pt idx="296">
                  <c:v>9.0359999999999996</c:v>
                </c:pt>
                <c:pt idx="297">
                  <c:v>3.9173</c:v>
                </c:pt>
                <c:pt idx="298">
                  <c:v>11.026400000000001</c:v>
                </c:pt>
                <c:pt idx="299">
                  <c:v>3.1915</c:v>
                </c:pt>
                <c:pt idx="300">
                  <c:v>5.9581999999999997</c:v>
                </c:pt>
                <c:pt idx="301">
                  <c:v>8.7870000000000008</c:v>
                </c:pt>
                <c:pt idx="302">
                  <c:v>9.5357000000000003</c:v>
                </c:pt>
                <c:pt idx="303">
                  <c:v>11.5678</c:v>
                </c:pt>
                <c:pt idx="304">
                  <c:v>16.537199999999999</c:v>
                </c:pt>
                <c:pt idx="305">
                  <c:v>5.8103999999999996</c:v>
                </c:pt>
                <c:pt idx="306">
                  <c:v>13.242000000000001</c:v>
                </c:pt>
                <c:pt idx="307">
                  <c:v>14.786</c:v>
                </c:pt>
                <c:pt idx="308">
                  <c:v>12.7159</c:v>
                </c:pt>
                <c:pt idx="309">
                  <c:v>12.097799999999999</c:v>
                </c:pt>
                <c:pt idx="310">
                  <c:v>6.5614999999999997</c:v>
                </c:pt>
                <c:pt idx="311">
                  <c:v>8.1638000000000002</c:v>
                </c:pt>
                <c:pt idx="312">
                  <c:v>5.1688000000000001</c:v>
                </c:pt>
                <c:pt idx="313">
                  <c:v>5.1265999999999998</c:v>
                </c:pt>
                <c:pt idx="314">
                  <c:v>10.3767</c:v>
                </c:pt>
                <c:pt idx="315">
                  <c:v>9.0669000000000004</c:v>
                </c:pt>
                <c:pt idx="316">
                  <c:v>10.2652</c:v>
                </c:pt>
                <c:pt idx="317">
                  <c:v>8.8602000000000007</c:v>
                </c:pt>
                <c:pt idx="318">
                  <c:v>9.6754999999999995</c:v>
                </c:pt>
                <c:pt idx="319">
                  <c:v>15.835100000000001</c:v>
                </c:pt>
                <c:pt idx="320">
                  <c:v>7.9088000000000003</c:v>
                </c:pt>
                <c:pt idx="321">
                  <c:v>12.463200000000001</c:v>
                </c:pt>
                <c:pt idx="322">
                  <c:v>8.6018000000000008</c:v>
                </c:pt>
                <c:pt idx="323">
                  <c:v>6.7788000000000004</c:v>
                </c:pt>
                <c:pt idx="324">
                  <c:v>4.8468999999999998</c:v>
                </c:pt>
                <c:pt idx="325">
                  <c:v>7.4965000000000002</c:v>
                </c:pt>
                <c:pt idx="326">
                  <c:v>5.0464000000000002</c:v>
                </c:pt>
                <c:pt idx="327">
                  <c:v>13.4315</c:v>
                </c:pt>
                <c:pt idx="328">
                  <c:v>15.563599999999999</c:v>
                </c:pt>
                <c:pt idx="329">
                  <c:v>9.9352</c:v>
                </c:pt>
                <c:pt idx="330">
                  <c:v>15.146699999999999</c:v>
                </c:pt>
                <c:pt idx="331">
                  <c:v>13.0402</c:v>
                </c:pt>
                <c:pt idx="332">
                  <c:v>9.7727000000000004</c:v>
                </c:pt>
                <c:pt idx="333">
                  <c:v>9.6602999999999994</c:v>
                </c:pt>
                <c:pt idx="334">
                  <c:v>7.2220000000000004</c:v>
                </c:pt>
                <c:pt idx="335">
                  <c:v>8.4716000000000005</c:v>
                </c:pt>
                <c:pt idx="336">
                  <c:v>6.6130000000000004</c:v>
                </c:pt>
                <c:pt idx="337">
                  <c:v>7.3391000000000002</c:v>
                </c:pt>
                <c:pt idx="338">
                  <c:v>8.4864999999999995</c:v>
                </c:pt>
                <c:pt idx="339">
                  <c:v>5.79</c:v>
                </c:pt>
                <c:pt idx="340">
                  <c:v>9.7225000000000001</c:v>
                </c:pt>
                <c:pt idx="341">
                  <c:v>5.1401000000000003</c:v>
                </c:pt>
                <c:pt idx="342">
                  <c:v>5.8281000000000001</c:v>
                </c:pt>
                <c:pt idx="343">
                  <c:v>7.4469000000000003</c:v>
                </c:pt>
                <c:pt idx="344">
                  <c:v>4.8428000000000004</c:v>
                </c:pt>
                <c:pt idx="345">
                  <c:v>2.9874999999999998</c:v>
                </c:pt>
                <c:pt idx="346">
                  <c:v>7.5132000000000003</c:v>
                </c:pt>
                <c:pt idx="347">
                  <c:v>10.568899999999999</c:v>
                </c:pt>
                <c:pt idx="348">
                  <c:v>5.3708999999999998</c:v>
                </c:pt>
                <c:pt idx="349">
                  <c:v>2.8685</c:v>
                </c:pt>
                <c:pt idx="350">
                  <c:v>9.2604000000000006</c:v>
                </c:pt>
                <c:pt idx="351">
                  <c:v>6.6689999999999996</c:v>
                </c:pt>
                <c:pt idx="352">
                  <c:v>5.5286999999999997</c:v>
                </c:pt>
                <c:pt idx="353">
                  <c:v>3.8184999999999998</c:v>
                </c:pt>
                <c:pt idx="354">
                  <c:v>5.7107999999999999</c:v>
                </c:pt>
                <c:pt idx="355">
                  <c:v>5.5439999999999996</c:v>
                </c:pt>
                <c:pt idx="356">
                  <c:v>6.2675000000000001</c:v>
                </c:pt>
                <c:pt idx="357">
                  <c:v>7.4195000000000002</c:v>
                </c:pt>
                <c:pt idx="358">
                  <c:v>4.4802999999999997</c:v>
                </c:pt>
                <c:pt idx="359">
                  <c:v>5.2488000000000001</c:v>
                </c:pt>
                <c:pt idx="360">
                  <c:v>7.1586999999999996</c:v>
                </c:pt>
                <c:pt idx="361">
                  <c:v>4.7693000000000003</c:v>
                </c:pt>
                <c:pt idx="362">
                  <c:v>3.9369000000000001</c:v>
                </c:pt>
                <c:pt idx="363">
                  <c:v>5.5136000000000003</c:v>
                </c:pt>
                <c:pt idx="364">
                  <c:v>3.6074000000000002</c:v>
                </c:pt>
                <c:pt idx="365">
                  <c:v>15.2278</c:v>
                </c:pt>
                <c:pt idx="366">
                  <c:v>16.757300000000001</c:v>
                </c:pt>
                <c:pt idx="367">
                  <c:v>21.950099999999999</c:v>
                </c:pt>
                <c:pt idx="368">
                  <c:v>42.686599999999999</c:v>
                </c:pt>
                <c:pt idx="369">
                  <c:v>15.2193</c:v>
                </c:pt>
                <c:pt idx="370">
                  <c:v>18.6343</c:v>
                </c:pt>
                <c:pt idx="371">
                  <c:v>10.736000000000001</c:v>
                </c:pt>
                <c:pt idx="372">
                  <c:v>17.899000000000001</c:v>
                </c:pt>
                <c:pt idx="373">
                  <c:v>18.057099999999998</c:v>
                </c:pt>
                <c:pt idx="374">
                  <c:v>10.3315</c:v>
                </c:pt>
                <c:pt idx="375">
                  <c:v>12.443099999999999</c:v>
                </c:pt>
                <c:pt idx="376">
                  <c:v>8.7918000000000003</c:v>
                </c:pt>
                <c:pt idx="377">
                  <c:v>6.0377999999999998</c:v>
                </c:pt>
                <c:pt idx="378">
                  <c:v>6.2458</c:v>
                </c:pt>
                <c:pt idx="379">
                  <c:v>9.7030999999999992</c:v>
                </c:pt>
                <c:pt idx="380">
                  <c:v>8.6488999999999994</c:v>
                </c:pt>
                <c:pt idx="381">
                  <c:v>6.0909000000000004</c:v>
                </c:pt>
                <c:pt idx="382">
                  <c:v>10.827299999999999</c:v>
                </c:pt>
                <c:pt idx="383">
                  <c:v>14.041700000000001</c:v>
                </c:pt>
                <c:pt idx="384">
                  <c:v>23.349599999999999</c:v>
                </c:pt>
                <c:pt idx="385">
                  <c:v>12.839499999999999</c:v>
                </c:pt>
                <c:pt idx="386">
                  <c:v>11.6427</c:v>
                </c:pt>
                <c:pt idx="387">
                  <c:v>16.4785</c:v>
                </c:pt>
                <c:pt idx="388">
                  <c:v>13.6074</c:v>
                </c:pt>
                <c:pt idx="389">
                  <c:v>9.8008000000000006</c:v>
                </c:pt>
                <c:pt idx="390">
                  <c:v>7.6300999999999997</c:v>
                </c:pt>
                <c:pt idx="391">
                  <c:v>6.2839999999999998</c:v>
                </c:pt>
                <c:pt idx="392">
                  <c:v>8.6745999999999999</c:v>
                </c:pt>
                <c:pt idx="393">
                  <c:v>7.3933</c:v>
                </c:pt>
                <c:pt idx="394">
                  <c:v>9.5952000000000002</c:v>
                </c:pt>
                <c:pt idx="395">
                  <c:v>5.7012</c:v>
                </c:pt>
                <c:pt idx="396">
                  <c:v>7.5549999999999997</c:v>
                </c:pt>
                <c:pt idx="397">
                  <c:v>7.5970000000000004</c:v>
                </c:pt>
                <c:pt idx="398">
                  <c:v>8.6980000000000004</c:v>
                </c:pt>
                <c:pt idx="399">
                  <c:v>8.5854999999999997</c:v>
                </c:pt>
                <c:pt idx="400">
                  <c:v>5.4747000000000003</c:v>
                </c:pt>
                <c:pt idx="401">
                  <c:v>6.3705999999999996</c:v>
                </c:pt>
                <c:pt idx="402">
                  <c:v>11.3287</c:v>
                </c:pt>
                <c:pt idx="403">
                  <c:v>10.899800000000001</c:v>
                </c:pt>
                <c:pt idx="404">
                  <c:v>6.2804000000000002</c:v>
                </c:pt>
                <c:pt idx="405">
                  <c:v>6.1875999999999998</c:v>
                </c:pt>
                <c:pt idx="406">
                  <c:v>10.196199999999999</c:v>
                </c:pt>
                <c:pt idx="407">
                  <c:v>9.2827999999999999</c:v>
                </c:pt>
                <c:pt idx="408">
                  <c:v>6.2499000000000002</c:v>
                </c:pt>
                <c:pt idx="409">
                  <c:v>5.6703000000000001</c:v>
                </c:pt>
                <c:pt idx="410">
                  <c:v>5.1364000000000001</c:v>
                </c:pt>
                <c:pt idx="411">
                  <c:v>4.7408000000000001</c:v>
                </c:pt>
                <c:pt idx="412">
                  <c:v>4.1154999999999999</c:v>
                </c:pt>
                <c:pt idx="413">
                  <c:v>2.7443</c:v>
                </c:pt>
                <c:pt idx="414">
                  <c:v>7.4302999999999999</c:v>
                </c:pt>
                <c:pt idx="415">
                  <c:v>4.6054000000000004</c:v>
                </c:pt>
                <c:pt idx="416">
                  <c:v>3.3281000000000001</c:v>
                </c:pt>
                <c:pt idx="417">
                  <c:v>3.1610999999999998</c:v>
                </c:pt>
                <c:pt idx="418">
                  <c:v>4.0431999999999997</c:v>
                </c:pt>
                <c:pt idx="419">
                  <c:v>5.5164999999999997</c:v>
                </c:pt>
                <c:pt idx="420">
                  <c:v>6.9946000000000002</c:v>
                </c:pt>
                <c:pt idx="421">
                  <c:v>5.5868000000000002</c:v>
                </c:pt>
                <c:pt idx="422">
                  <c:v>5.6745999999999999</c:v>
                </c:pt>
                <c:pt idx="423">
                  <c:v>7.65</c:v>
                </c:pt>
                <c:pt idx="424">
                  <c:v>11.673400000000001</c:v>
                </c:pt>
                <c:pt idx="425">
                  <c:v>8.0874000000000006</c:v>
                </c:pt>
                <c:pt idx="426">
                  <c:v>6.8719999999999999</c:v>
                </c:pt>
                <c:pt idx="427">
                  <c:v>12.5107</c:v>
                </c:pt>
                <c:pt idx="428">
                  <c:v>6.7409999999999997</c:v>
                </c:pt>
                <c:pt idx="429">
                  <c:v>13.1846</c:v>
                </c:pt>
                <c:pt idx="430">
                  <c:v>7.7217000000000002</c:v>
                </c:pt>
                <c:pt idx="431">
                  <c:v>6.5686</c:v>
                </c:pt>
                <c:pt idx="432">
                  <c:v>15.3683</c:v>
                </c:pt>
                <c:pt idx="433">
                  <c:v>10.7659</c:v>
                </c:pt>
                <c:pt idx="434">
                  <c:v>6.4839000000000002</c:v>
                </c:pt>
                <c:pt idx="435">
                  <c:v>4.2282000000000002</c:v>
                </c:pt>
                <c:pt idx="436">
                  <c:v>7.9109999999999996</c:v>
                </c:pt>
                <c:pt idx="437">
                  <c:v>3.6850999999999998</c:v>
                </c:pt>
                <c:pt idx="438">
                  <c:v>4.9432</c:v>
                </c:pt>
                <c:pt idx="439">
                  <c:v>5.8720999999999997</c:v>
                </c:pt>
                <c:pt idx="440">
                  <c:v>4.9715999999999996</c:v>
                </c:pt>
                <c:pt idx="441">
                  <c:v>4.4683000000000002</c:v>
                </c:pt>
                <c:pt idx="442">
                  <c:v>11.041399999999999</c:v>
                </c:pt>
                <c:pt idx="443">
                  <c:v>10.4404</c:v>
                </c:pt>
                <c:pt idx="444">
                  <c:v>6.4203000000000001</c:v>
                </c:pt>
                <c:pt idx="445">
                  <c:v>8.9155999999999995</c:v>
                </c:pt>
                <c:pt idx="446">
                  <c:v>10.7781</c:v>
                </c:pt>
                <c:pt idx="447">
                  <c:v>9.5175999999999998</c:v>
                </c:pt>
                <c:pt idx="448">
                  <c:v>9.0321999999999996</c:v>
                </c:pt>
                <c:pt idx="449">
                  <c:v>10.8536</c:v>
                </c:pt>
                <c:pt idx="450">
                  <c:v>10.3887</c:v>
                </c:pt>
                <c:pt idx="451">
                  <c:v>7.3441000000000001</c:v>
                </c:pt>
                <c:pt idx="452">
                  <c:v>6.3383000000000003</c:v>
                </c:pt>
                <c:pt idx="453">
                  <c:v>4.5945999999999998</c:v>
                </c:pt>
                <c:pt idx="454">
                  <c:v>6.1261999999999999</c:v>
                </c:pt>
                <c:pt idx="455">
                  <c:v>4.3190999999999997</c:v>
                </c:pt>
                <c:pt idx="456">
                  <c:v>7.0457999999999998</c:v>
                </c:pt>
                <c:pt idx="457">
                  <c:v>8.2454000000000001</c:v>
                </c:pt>
                <c:pt idx="458">
                  <c:v>6.2454999999999998</c:v>
                </c:pt>
                <c:pt idx="459">
                  <c:v>5.4111000000000002</c:v>
                </c:pt>
                <c:pt idx="460">
                  <c:v>8.8483000000000001</c:v>
                </c:pt>
                <c:pt idx="461">
                  <c:v>7.9831000000000003</c:v>
                </c:pt>
                <c:pt idx="462">
                  <c:v>7.8456999999999999</c:v>
                </c:pt>
                <c:pt idx="463">
                  <c:v>10.4169</c:v>
                </c:pt>
                <c:pt idx="464">
                  <c:v>5.4821999999999997</c:v>
                </c:pt>
                <c:pt idx="465">
                  <c:v>7.774</c:v>
                </c:pt>
                <c:pt idx="466">
                  <c:v>6.5906000000000002</c:v>
                </c:pt>
                <c:pt idx="467">
                  <c:v>5.7373000000000003</c:v>
                </c:pt>
                <c:pt idx="468">
                  <c:v>4.7251000000000003</c:v>
                </c:pt>
                <c:pt idx="469">
                  <c:v>11.7394</c:v>
                </c:pt>
                <c:pt idx="470">
                  <c:v>5.61</c:v>
                </c:pt>
                <c:pt idx="471">
                  <c:v>6.2255000000000003</c:v>
                </c:pt>
                <c:pt idx="472">
                  <c:v>8.5927000000000007</c:v>
                </c:pt>
                <c:pt idx="473">
                  <c:v>6.5419999999999998</c:v>
                </c:pt>
                <c:pt idx="474">
                  <c:v>5.6951999999999998</c:v>
                </c:pt>
                <c:pt idx="475">
                  <c:v>11.326499999999999</c:v>
                </c:pt>
                <c:pt idx="476">
                  <c:v>7.8869999999999996</c:v>
                </c:pt>
                <c:pt idx="477">
                  <c:v>7.4336000000000002</c:v>
                </c:pt>
                <c:pt idx="478">
                  <c:v>11.8217</c:v>
                </c:pt>
                <c:pt idx="479">
                  <c:v>6.2701000000000002</c:v>
                </c:pt>
                <c:pt idx="480">
                  <c:v>7.9698000000000002</c:v>
                </c:pt>
                <c:pt idx="481">
                  <c:v>4.2937000000000003</c:v>
                </c:pt>
                <c:pt idx="482">
                  <c:v>6.2629999999999999</c:v>
                </c:pt>
                <c:pt idx="483">
                  <c:v>6.7652000000000001</c:v>
                </c:pt>
                <c:pt idx="484">
                  <c:v>7.3837000000000002</c:v>
                </c:pt>
                <c:pt idx="485">
                  <c:v>5.4356</c:v>
                </c:pt>
                <c:pt idx="486">
                  <c:v>4.7378</c:v>
                </c:pt>
                <c:pt idx="487">
                  <c:v>6.7339000000000002</c:v>
                </c:pt>
                <c:pt idx="488">
                  <c:v>6.7638999999999996</c:v>
                </c:pt>
                <c:pt idx="489">
                  <c:v>13.3215</c:v>
                </c:pt>
                <c:pt idx="490">
                  <c:v>7.3975999999999997</c:v>
                </c:pt>
                <c:pt idx="491">
                  <c:v>14.925800000000001</c:v>
                </c:pt>
                <c:pt idx="492">
                  <c:v>7.4028</c:v>
                </c:pt>
                <c:pt idx="493">
                  <c:v>15.6111</c:v>
                </c:pt>
                <c:pt idx="494">
                  <c:v>9.5831999999999997</c:v>
                </c:pt>
                <c:pt idx="495">
                  <c:v>13.141400000000001</c:v>
                </c:pt>
                <c:pt idx="496">
                  <c:v>8.4512</c:v>
                </c:pt>
                <c:pt idx="497">
                  <c:v>14.192500000000001</c:v>
                </c:pt>
                <c:pt idx="498">
                  <c:v>6.23</c:v>
                </c:pt>
                <c:pt idx="499">
                  <c:v>11.983599999999999</c:v>
                </c:pt>
                <c:pt idx="500">
                  <c:v>9.6381999999999994</c:v>
                </c:pt>
                <c:pt idx="501">
                  <c:v>7.8487</c:v>
                </c:pt>
                <c:pt idx="502">
                  <c:v>6.2907000000000002</c:v>
                </c:pt>
                <c:pt idx="503">
                  <c:v>8.3843999999999994</c:v>
                </c:pt>
                <c:pt idx="504">
                  <c:v>8.4464000000000006</c:v>
                </c:pt>
                <c:pt idx="505">
                  <c:v>7.5223000000000004</c:v>
                </c:pt>
                <c:pt idx="506">
                  <c:v>5.5597000000000003</c:v>
                </c:pt>
                <c:pt idx="507">
                  <c:v>6.8308</c:v>
                </c:pt>
                <c:pt idx="508">
                  <c:v>9.2042000000000002</c:v>
                </c:pt>
                <c:pt idx="509">
                  <c:v>11.708399999999999</c:v>
                </c:pt>
                <c:pt idx="510">
                  <c:v>16.959199999999999</c:v>
                </c:pt>
                <c:pt idx="511">
                  <c:v>40.414999999999999</c:v>
                </c:pt>
                <c:pt idx="512">
                  <c:v>26.028600000000001</c:v>
                </c:pt>
                <c:pt idx="513">
                  <c:v>17.172999999999998</c:v>
                </c:pt>
                <c:pt idx="514">
                  <c:v>20.7684</c:v>
                </c:pt>
                <c:pt idx="515">
                  <c:v>19.107299999999999</c:v>
                </c:pt>
                <c:pt idx="516">
                  <c:v>16.901399999999999</c:v>
                </c:pt>
                <c:pt idx="517">
                  <c:v>6.9084000000000003</c:v>
                </c:pt>
                <c:pt idx="518">
                  <c:v>11.751899999999999</c:v>
                </c:pt>
                <c:pt idx="519">
                  <c:v>14.700200000000001</c:v>
                </c:pt>
                <c:pt idx="520">
                  <c:v>11.1816</c:v>
                </c:pt>
                <c:pt idx="521">
                  <c:v>11.606400000000001</c:v>
                </c:pt>
                <c:pt idx="522">
                  <c:v>11.6669</c:v>
                </c:pt>
                <c:pt idx="523">
                  <c:v>7.6913999999999998</c:v>
                </c:pt>
                <c:pt idx="524">
                  <c:v>10.433299999999999</c:v>
                </c:pt>
                <c:pt idx="525">
                  <c:v>9.3722999999999992</c:v>
                </c:pt>
                <c:pt idx="526">
                  <c:v>12.3163</c:v>
                </c:pt>
                <c:pt idx="527">
                  <c:v>11.268800000000001</c:v>
                </c:pt>
                <c:pt idx="528">
                  <c:v>12.1126</c:v>
                </c:pt>
                <c:pt idx="529">
                  <c:v>12.613799999999999</c:v>
                </c:pt>
                <c:pt idx="530">
                  <c:v>15.541600000000001</c:v>
                </c:pt>
                <c:pt idx="531">
                  <c:v>15.96</c:v>
                </c:pt>
                <c:pt idx="532">
                  <c:v>10.854900000000001</c:v>
                </c:pt>
                <c:pt idx="533">
                  <c:v>8.9212000000000007</c:v>
                </c:pt>
                <c:pt idx="534">
                  <c:v>13.214600000000001</c:v>
                </c:pt>
                <c:pt idx="535">
                  <c:v>7.7239000000000004</c:v>
                </c:pt>
                <c:pt idx="536">
                  <c:v>9.3847000000000005</c:v>
                </c:pt>
                <c:pt idx="537">
                  <c:v>7.3752000000000004</c:v>
                </c:pt>
                <c:pt idx="538">
                  <c:v>10.336399999999999</c:v>
                </c:pt>
                <c:pt idx="539">
                  <c:v>7.1138000000000003</c:v>
                </c:pt>
                <c:pt idx="540">
                  <c:v>6.9131999999999998</c:v>
                </c:pt>
                <c:pt idx="541">
                  <c:v>9.3033999999999999</c:v>
                </c:pt>
                <c:pt idx="542">
                  <c:v>6.3318000000000003</c:v>
                </c:pt>
                <c:pt idx="543">
                  <c:v>6.5735000000000001</c:v>
                </c:pt>
                <c:pt idx="544">
                  <c:v>9.0410000000000004</c:v>
                </c:pt>
                <c:pt idx="545">
                  <c:v>7.9958999999999998</c:v>
                </c:pt>
                <c:pt idx="546">
                  <c:v>7.5815000000000001</c:v>
                </c:pt>
                <c:pt idx="547">
                  <c:v>14.0555</c:v>
                </c:pt>
                <c:pt idx="548">
                  <c:v>12.4809</c:v>
                </c:pt>
                <c:pt idx="549">
                  <c:v>7.3573000000000004</c:v>
                </c:pt>
                <c:pt idx="550">
                  <c:v>10.270799999999999</c:v>
                </c:pt>
                <c:pt idx="551">
                  <c:v>8.3760999999999992</c:v>
                </c:pt>
                <c:pt idx="552">
                  <c:v>9.4687999999999999</c:v>
                </c:pt>
                <c:pt idx="553">
                  <c:v>5.8434999999999997</c:v>
                </c:pt>
                <c:pt idx="554">
                  <c:v>15.5959</c:v>
                </c:pt>
                <c:pt idx="555">
                  <c:v>9.5327999999999999</c:v>
                </c:pt>
                <c:pt idx="556">
                  <c:v>18.245799999999999</c:v>
                </c:pt>
                <c:pt idx="557">
                  <c:v>7.6219999999999999</c:v>
                </c:pt>
                <c:pt idx="558">
                  <c:v>15.032</c:v>
                </c:pt>
                <c:pt idx="559">
                  <c:v>11.712899999999999</c:v>
                </c:pt>
                <c:pt idx="560">
                  <c:v>8.4826999999999995</c:v>
                </c:pt>
                <c:pt idx="561">
                  <c:v>8.5091000000000001</c:v>
                </c:pt>
                <c:pt idx="562">
                  <c:v>7.9135999999999997</c:v>
                </c:pt>
                <c:pt idx="563">
                  <c:v>7.5202999999999998</c:v>
                </c:pt>
                <c:pt idx="564">
                  <c:v>7.9928999999999997</c:v>
                </c:pt>
                <c:pt idx="565">
                  <c:v>12.7639</c:v>
                </c:pt>
                <c:pt idx="566">
                  <c:v>7.1117999999999997</c:v>
                </c:pt>
                <c:pt idx="567">
                  <c:v>13.4155</c:v>
                </c:pt>
                <c:pt idx="568">
                  <c:v>6.4641000000000002</c:v>
                </c:pt>
                <c:pt idx="569">
                  <c:v>5.2085999999999997</c:v>
                </c:pt>
                <c:pt idx="570">
                  <c:v>6.7750000000000004</c:v>
                </c:pt>
                <c:pt idx="571">
                  <c:v>7.6315</c:v>
                </c:pt>
                <c:pt idx="572">
                  <c:v>7.1025999999999998</c:v>
                </c:pt>
                <c:pt idx="573">
                  <c:v>13.295299999999999</c:v>
                </c:pt>
                <c:pt idx="574">
                  <c:v>11.5397</c:v>
                </c:pt>
                <c:pt idx="575">
                  <c:v>12.6584</c:v>
                </c:pt>
                <c:pt idx="576">
                  <c:v>25.345300000000002</c:v>
                </c:pt>
                <c:pt idx="577">
                  <c:v>21.117699999999999</c:v>
                </c:pt>
                <c:pt idx="578">
                  <c:v>39.518000000000001</c:v>
                </c:pt>
                <c:pt idx="579">
                  <c:v>15.2682</c:v>
                </c:pt>
                <c:pt idx="580">
                  <c:v>10.3314</c:v>
                </c:pt>
                <c:pt idx="581">
                  <c:v>7.7179000000000002</c:v>
                </c:pt>
                <c:pt idx="582">
                  <c:v>10.0061</c:v>
                </c:pt>
                <c:pt idx="583">
                  <c:v>11.8398</c:v>
                </c:pt>
                <c:pt idx="584">
                  <c:v>9.0722000000000005</c:v>
                </c:pt>
                <c:pt idx="585">
                  <c:v>6.6040000000000001</c:v>
                </c:pt>
                <c:pt idx="586">
                  <c:v>7.4622000000000002</c:v>
                </c:pt>
                <c:pt idx="587">
                  <c:v>11.8964</c:v>
                </c:pt>
                <c:pt idx="588">
                  <c:v>10.134399999999999</c:v>
                </c:pt>
                <c:pt idx="589">
                  <c:v>7.0129999999999999</c:v>
                </c:pt>
                <c:pt idx="590">
                  <c:v>5.5336999999999996</c:v>
                </c:pt>
                <c:pt idx="591">
                  <c:v>6.3305999999999996</c:v>
                </c:pt>
                <c:pt idx="592">
                  <c:v>7.9981</c:v>
                </c:pt>
                <c:pt idx="593">
                  <c:v>9.0333000000000006</c:v>
                </c:pt>
                <c:pt idx="594">
                  <c:v>6.8311000000000002</c:v>
                </c:pt>
                <c:pt idx="595">
                  <c:v>5.4071999999999996</c:v>
                </c:pt>
                <c:pt idx="596">
                  <c:v>13.3439</c:v>
                </c:pt>
                <c:pt idx="597">
                  <c:v>8.7489000000000008</c:v>
                </c:pt>
                <c:pt idx="598">
                  <c:v>6.1665999999999999</c:v>
                </c:pt>
                <c:pt idx="599">
                  <c:v>5.4455999999999998</c:v>
                </c:pt>
                <c:pt idx="600">
                  <c:v>6.9932999999999996</c:v>
                </c:pt>
                <c:pt idx="601">
                  <c:v>4.0376000000000003</c:v>
                </c:pt>
                <c:pt idx="602">
                  <c:v>6.0970000000000004</c:v>
                </c:pt>
                <c:pt idx="603">
                  <c:v>4.7088000000000001</c:v>
                </c:pt>
                <c:pt idx="604">
                  <c:v>4.6619999999999999</c:v>
                </c:pt>
                <c:pt idx="605">
                  <c:v>5.3566000000000003</c:v>
                </c:pt>
                <c:pt idx="606">
                  <c:v>7.9280999999999997</c:v>
                </c:pt>
                <c:pt idx="607">
                  <c:v>4.6134000000000004</c:v>
                </c:pt>
                <c:pt idx="608">
                  <c:v>6.5114999999999998</c:v>
                </c:pt>
                <c:pt idx="609">
                  <c:v>5.3151000000000002</c:v>
                </c:pt>
                <c:pt idx="610">
                  <c:v>5.7464000000000004</c:v>
                </c:pt>
                <c:pt idx="611">
                  <c:v>5.0492999999999997</c:v>
                </c:pt>
                <c:pt idx="612">
                  <c:v>5.9207000000000001</c:v>
                </c:pt>
                <c:pt idx="613">
                  <c:v>5.7968000000000002</c:v>
                </c:pt>
                <c:pt idx="614">
                  <c:v>5.1966000000000001</c:v>
                </c:pt>
                <c:pt idx="615">
                  <c:v>6.68</c:v>
                </c:pt>
                <c:pt idx="616">
                  <c:v>4.1024000000000003</c:v>
                </c:pt>
                <c:pt idx="617">
                  <c:v>2.9140999999999999</c:v>
                </c:pt>
                <c:pt idx="618">
                  <c:v>16.969899999999999</c:v>
                </c:pt>
                <c:pt idx="619">
                  <c:v>3.9443000000000001</c:v>
                </c:pt>
                <c:pt idx="620">
                  <c:v>3.1714000000000002</c:v>
                </c:pt>
                <c:pt idx="621">
                  <c:v>4.8880999999999997</c:v>
                </c:pt>
                <c:pt idx="622">
                  <c:v>5.6302000000000003</c:v>
                </c:pt>
                <c:pt idx="623">
                  <c:v>5.3193000000000001</c:v>
                </c:pt>
                <c:pt idx="624">
                  <c:v>4.9928999999999997</c:v>
                </c:pt>
                <c:pt idx="625">
                  <c:v>5.9465000000000003</c:v>
                </c:pt>
                <c:pt idx="626">
                  <c:v>10.2921</c:v>
                </c:pt>
                <c:pt idx="627">
                  <c:v>18.047499999999999</c:v>
                </c:pt>
                <c:pt idx="628">
                  <c:v>9.5599000000000007</c:v>
                </c:pt>
                <c:pt idx="629">
                  <c:v>4.5298999999999996</c:v>
                </c:pt>
                <c:pt idx="630">
                  <c:v>6.7750000000000004</c:v>
                </c:pt>
                <c:pt idx="631">
                  <c:v>7.3188000000000004</c:v>
                </c:pt>
                <c:pt idx="632">
                  <c:v>5.0694999999999997</c:v>
                </c:pt>
                <c:pt idx="633">
                  <c:v>5.4766000000000004</c:v>
                </c:pt>
                <c:pt idx="634">
                  <c:v>8.6426999999999996</c:v>
                </c:pt>
                <c:pt idx="635">
                  <c:v>11.0609</c:v>
                </c:pt>
                <c:pt idx="636">
                  <c:v>15.8971</c:v>
                </c:pt>
                <c:pt idx="637">
                  <c:v>26.816400000000002</c:v>
                </c:pt>
                <c:pt idx="638">
                  <c:v>13.2088</c:v>
                </c:pt>
                <c:pt idx="639">
                  <c:v>7.4741</c:v>
                </c:pt>
                <c:pt idx="640">
                  <c:v>7.2104999999999997</c:v>
                </c:pt>
                <c:pt idx="641">
                  <c:v>6.1154999999999999</c:v>
                </c:pt>
                <c:pt idx="642">
                  <c:v>4.8308999999999997</c:v>
                </c:pt>
                <c:pt idx="643">
                  <c:v>5.9101999999999997</c:v>
                </c:pt>
                <c:pt idx="644">
                  <c:v>8.5058000000000007</c:v>
                </c:pt>
                <c:pt idx="645">
                  <c:v>5.6025</c:v>
                </c:pt>
                <c:pt idx="646">
                  <c:v>4.7271000000000001</c:v>
                </c:pt>
                <c:pt idx="647">
                  <c:v>6.9912999999999998</c:v>
                </c:pt>
                <c:pt idx="648">
                  <c:v>5.5917000000000003</c:v>
                </c:pt>
                <c:pt idx="649">
                  <c:v>5.5597000000000003</c:v>
                </c:pt>
                <c:pt idx="650">
                  <c:v>4.6635</c:v>
                </c:pt>
                <c:pt idx="651">
                  <c:v>5.9432999999999998</c:v>
                </c:pt>
                <c:pt idx="652">
                  <c:v>9.2624999999999993</c:v>
                </c:pt>
                <c:pt idx="653">
                  <c:v>8.6742000000000008</c:v>
                </c:pt>
                <c:pt idx="654">
                  <c:v>3.9790000000000001</c:v>
                </c:pt>
                <c:pt idx="655">
                  <c:v>2.8755000000000002</c:v>
                </c:pt>
                <c:pt idx="656">
                  <c:v>3.3140000000000001</c:v>
                </c:pt>
                <c:pt idx="657">
                  <c:v>7.3295000000000003</c:v>
                </c:pt>
                <c:pt idx="658">
                  <c:v>5.0994999999999999</c:v>
                </c:pt>
                <c:pt idx="659">
                  <c:v>4.5797999999999996</c:v>
                </c:pt>
                <c:pt idx="660">
                  <c:v>6.9020000000000001</c:v>
                </c:pt>
                <c:pt idx="661">
                  <c:v>10.004099999999999</c:v>
                </c:pt>
                <c:pt idx="662">
                  <c:v>5.8596000000000004</c:v>
                </c:pt>
                <c:pt idx="663">
                  <c:v>4.2493999999999996</c:v>
                </c:pt>
                <c:pt idx="664">
                  <c:v>5.0523999999999996</c:v>
                </c:pt>
                <c:pt idx="665">
                  <c:v>4.7022000000000004</c:v>
                </c:pt>
                <c:pt idx="666">
                  <c:v>5.4356999999999998</c:v>
                </c:pt>
                <c:pt idx="667">
                  <c:v>2.7433999999999998</c:v>
                </c:pt>
                <c:pt idx="668">
                  <c:v>3.7574000000000001</c:v>
                </c:pt>
                <c:pt idx="669">
                  <c:v>6.7839</c:v>
                </c:pt>
                <c:pt idx="670">
                  <c:v>6.0391000000000004</c:v>
                </c:pt>
                <c:pt idx="671">
                  <c:v>5.5414000000000003</c:v>
                </c:pt>
                <c:pt idx="672">
                  <c:v>4.766</c:v>
                </c:pt>
                <c:pt idx="673">
                  <c:v>5.5885999999999996</c:v>
                </c:pt>
                <c:pt idx="674">
                  <c:v>5.0160999999999998</c:v>
                </c:pt>
                <c:pt idx="675">
                  <c:v>6.8913000000000002</c:v>
                </c:pt>
                <c:pt idx="676">
                  <c:v>3.34</c:v>
                </c:pt>
                <c:pt idx="677">
                  <c:v>4.5811000000000002</c:v>
                </c:pt>
                <c:pt idx="678">
                  <c:v>8.5167999999999999</c:v>
                </c:pt>
                <c:pt idx="679">
                  <c:v>5.5209999999999999</c:v>
                </c:pt>
                <c:pt idx="680">
                  <c:v>9.0256000000000007</c:v>
                </c:pt>
                <c:pt idx="681">
                  <c:v>14.029199999999999</c:v>
                </c:pt>
                <c:pt idx="682">
                  <c:v>8.2622999999999998</c:v>
                </c:pt>
                <c:pt idx="683">
                  <c:v>4.8982000000000001</c:v>
                </c:pt>
                <c:pt idx="684">
                  <c:v>5.2577999999999996</c:v>
                </c:pt>
                <c:pt idx="685">
                  <c:v>6.181</c:v>
                </c:pt>
                <c:pt idx="686">
                  <c:v>7.7638999999999996</c:v>
                </c:pt>
                <c:pt idx="687">
                  <c:v>7.0180999999999996</c:v>
                </c:pt>
                <c:pt idx="688">
                  <c:v>3.8662000000000001</c:v>
                </c:pt>
                <c:pt idx="689">
                  <c:v>4.3380000000000001</c:v>
                </c:pt>
                <c:pt idx="690">
                  <c:v>3.3087</c:v>
                </c:pt>
                <c:pt idx="691">
                  <c:v>2.8647999999999998</c:v>
                </c:pt>
                <c:pt idx="692">
                  <c:v>8.9635999999999996</c:v>
                </c:pt>
                <c:pt idx="693">
                  <c:v>12.408799999999999</c:v>
                </c:pt>
                <c:pt idx="694">
                  <c:v>6.7076000000000002</c:v>
                </c:pt>
                <c:pt idx="695">
                  <c:v>10.479200000000001</c:v>
                </c:pt>
                <c:pt idx="696">
                  <c:v>7.5385999999999997</c:v>
                </c:pt>
                <c:pt idx="697">
                  <c:v>6.1060999999999996</c:v>
                </c:pt>
                <c:pt idx="698">
                  <c:v>13.5726</c:v>
                </c:pt>
                <c:pt idx="699">
                  <c:v>17.927299999999999</c:v>
                </c:pt>
                <c:pt idx="700">
                  <c:v>21.182400000000001</c:v>
                </c:pt>
                <c:pt idx="701">
                  <c:v>13.41</c:v>
                </c:pt>
                <c:pt idx="702">
                  <c:v>11.273099999999999</c:v>
                </c:pt>
                <c:pt idx="703">
                  <c:v>9.8917999999999999</c:v>
                </c:pt>
                <c:pt idx="704">
                  <c:v>7.9210000000000003</c:v>
                </c:pt>
                <c:pt idx="705">
                  <c:v>5.8232999999999997</c:v>
                </c:pt>
                <c:pt idx="706">
                  <c:v>8.9848999999999997</c:v>
                </c:pt>
                <c:pt idx="707">
                  <c:v>10.476100000000001</c:v>
                </c:pt>
                <c:pt idx="708">
                  <c:v>7.2904999999999998</c:v>
                </c:pt>
                <c:pt idx="709">
                  <c:v>5.6962999999999999</c:v>
                </c:pt>
                <c:pt idx="710">
                  <c:v>5.2838000000000003</c:v>
                </c:pt>
                <c:pt idx="711">
                  <c:v>6.4097</c:v>
                </c:pt>
                <c:pt idx="712">
                  <c:v>6.5942999999999996</c:v>
                </c:pt>
                <c:pt idx="713">
                  <c:v>8.2513000000000005</c:v>
                </c:pt>
                <c:pt idx="714">
                  <c:v>6.1178999999999997</c:v>
                </c:pt>
                <c:pt idx="715">
                  <c:v>3.6048</c:v>
                </c:pt>
                <c:pt idx="716">
                  <c:v>7.5494000000000003</c:v>
                </c:pt>
                <c:pt idx="717">
                  <c:v>5.7390999999999996</c:v>
                </c:pt>
                <c:pt idx="718">
                  <c:v>6.8856999999999999</c:v>
                </c:pt>
                <c:pt idx="719">
                  <c:v>5.8952999999999998</c:v>
                </c:pt>
                <c:pt idx="720">
                  <c:v>4.2531999999999996</c:v>
                </c:pt>
                <c:pt idx="721">
                  <c:v>6.9141000000000004</c:v>
                </c:pt>
                <c:pt idx="722">
                  <c:v>7.5911</c:v>
                </c:pt>
                <c:pt idx="723">
                  <c:v>5.2474999999999996</c:v>
                </c:pt>
                <c:pt idx="724">
                  <c:v>5.5166000000000004</c:v>
                </c:pt>
                <c:pt idx="725">
                  <c:v>7.5872000000000002</c:v>
                </c:pt>
                <c:pt idx="726">
                  <c:v>6.1914999999999996</c:v>
                </c:pt>
                <c:pt idx="727">
                  <c:v>6.5902000000000003</c:v>
                </c:pt>
                <c:pt idx="728">
                  <c:v>4.2282000000000002</c:v>
                </c:pt>
                <c:pt idx="729">
                  <c:v>5.1456999999999997</c:v>
                </c:pt>
                <c:pt idx="730">
                  <c:v>2.7515000000000001</c:v>
                </c:pt>
                <c:pt idx="731">
                  <c:v>4.3445</c:v>
                </c:pt>
                <c:pt idx="732">
                  <c:v>6.2568999999999999</c:v>
                </c:pt>
                <c:pt idx="733">
                  <c:v>6.1517999999999997</c:v>
                </c:pt>
                <c:pt idx="734">
                  <c:v>6.8217999999999996</c:v>
                </c:pt>
                <c:pt idx="735">
                  <c:v>7.5225999999999997</c:v>
                </c:pt>
                <c:pt idx="736">
                  <c:v>9.2264999999999997</c:v>
                </c:pt>
                <c:pt idx="737">
                  <c:v>11.084099999999999</c:v>
                </c:pt>
                <c:pt idx="738">
                  <c:v>8.1832999999999991</c:v>
                </c:pt>
                <c:pt idx="739">
                  <c:v>8.5441000000000003</c:v>
                </c:pt>
                <c:pt idx="740">
                  <c:v>11.415900000000001</c:v>
                </c:pt>
                <c:pt idx="741">
                  <c:v>7.1710000000000003</c:v>
                </c:pt>
                <c:pt idx="742">
                  <c:v>8.4769000000000005</c:v>
                </c:pt>
                <c:pt idx="743">
                  <c:v>13.296099999999999</c:v>
                </c:pt>
                <c:pt idx="744">
                  <c:v>6.3242000000000003</c:v>
                </c:pt>
                <c:pt idx="745">
                  <c:v>9.5609999999999999</c:v>
                </c:pt>
                <c:pt idx="746">
                  <c:v>9.6773000000000007</c:v>
                </c:pt>
                <c:pt idx="747">
                  <c:v>22.905000000000001</c:v>
                </c:pt>
                <c:pt idx="748">
                  <c:v>15.028499999999999</c:v>
                </c:pt>
                <c:pt idx="749">
                  <c:v>12.454499999999999</c:v>
                </c:pt>
                <c:pt idx="750">
                  <c:v>10.5009</c:v>
                </c:pt>
                <c:pt idx="751">
                  <c:v>6.0746000000000002</c:v>
                </c:pt>
                <c:pt idx="752">
                  <c:v>7.0195999999999996</c:v>
                </c:pt>
                <c:pt idx="753">
                  <c:v>14.601599999999999</c:v>
                </c:pt>
                <c:pt idx="754">
                  <c:v>12.686999999999999</c:v>
                </c:pt>
                <c:pt idx="755">
                  <c:v>8.8713999999999995</c:v>
                </c:pt>
                <c:pt idx="756">
                  <c:v>12.7165</c:v>
                </c:pt>
                <c:pt idx="757">
                  <c:v>5.9672000000000001</c:v>
                </c:pt>
                <c:pt idx="758">
                  <c:v>8.7165999999999997</c:v>
                </c:pt>
                <c:pt idx="759">
                  <c:v>13.4679</c:v>
                </c:pt>
                <c:pt idx="760">
                  <c:v>11.553000000000001</c:v>
                </c:pt>
                <c:pt idx="761">
                  <c:v>13.389200000000001</c:v>
                </c:pt>
                <c:pt idx="762">
                  <c:v>17.657699999999998</c:v>
                </c:pt>
                <c:pt idx="763">
                  <c:v>11.3743</c:v>
                </c:pt>
                <c:pt idx="764">
                  <c:v>13.033300000000001</c:v>
                </c:pt>
                <c:pt idx="765">
                  <c:v>17.034099999999999</c:v>
                </c:pt>
                <c:pt idx="766">
                  <c:v>31.7029</c:v>
                </c:pt>
                <c:pt idx="767">
                  <c:v>16.182300000000001</c:v>
                </c:pt>
                <c:pt idx="768">
                  <c:v>19.944700000000001</c:v>
                </c:pt>
                <c:pt idx="769">
                  <c:v>8.8323999999999998</c:v>
                </c:pt>
                <c:pt idx="770">
                  <c:v>10.685</c:v>
                </c:pt>
                <c:pt idx="771">
                  <c:v>10.657299999999999</c:v>
                </c:pt>
                <c:pt idx="772">
                  <c:v>8.8450000000000006</c:v>
                </c:pt>
                <c:pt idx="773">
                  <c:v>7.4264999999999999</c:v>
                </c:pt>
                <c:pt idx="774">
                  <c:v>11.3491</c:v>
                </c:pt>
                <c:pt idx="775">
                  <c:v>6.9661999999999997</c:v>
                </c:pt>
                <c:pt idx="776">
                  <c:v>8.7166999999999994</c:v>
                </c:pt>
                <c:pt idx="777">
                  <c:v>4.0353000000000003</c:v>
                </c:pt>
                <c:pt idx="778">
                  <c:v>4.2096999999999998</c:v>
                </c:pt>
                <c:pt idx="779">
                  <c:v>8.8431999999999995</c:v>
                </c:pt>
                <c:pt idx="780">
                  <c:v>4.7390999999999996</c:v>
                </c:pt>
                <c:pt idx="781">
                  <c:v>12.308400000000001</c:v>
                </c:pt>
                <c:pt idx="782">
                  <c:v>10.3407</c:v>
                </c:pt>
                <c:pt idx="783">
                  <c:v>5.9233000000000002</c:v>
                </c:pt>
                <c:pt idx="784">
                  <c:v>9.3955000000000002</c:v>
                </c:pt>
                <c:pt idx="785">
                  <c:v>4.0197000000000003</c:v>
                </c:pt>
                <c:pt idx="786">
                  <c:v>10.753399999999999</c:v>
                </c:pt>
                <c:pt idx="787">
                  <c:v>7.9859999999999998</c:v>
                </c:pt>
                <c:pt idx="788">
                  <c:v>6.0960999999999999</c:v>
                </c:pt>
                <c:pt idx="789">
                  <c:v>7.8897000000000004</c:v>
                </c:pt>
                <c:pt idx="790">
                  <c:v>8.3856000000000002</c:v>
                </c:pt>
                <c:pt idx="791">
                  <c:v>9.2492999999999999</c:v>
                </c:pt>
                <c:pt idx="792">
                  <c:v>9.2409999999999997</c:v>
                </c:pt>
                <c:pt idx="793">
                  <c:v>11.507999999999999</c:v>
                </c:pt>
                <c:pt idx="794">
                  <c:v>8.5638000000000005</c:v>
                </c:pt>
                <c:pt idx="795">
                  <c:v>11.3512</c:v>
                </c:pt>
                <c:pt idx="796">
                  <c:v>14.2538</c:v>
                </c:pt>
                <c:pt idx="797">
                  <c:v>8.5853000000000002</c:v>
                </c:pt>
                <c:pt idx="798">
                  <c:v>8.8228000000000009</c:v>
                </c:pt>
                <c:pt idx="799">
                  <c:v>7.5132000000000003</c:v>
                </c:pt>
                <c:pt idx="800">
                  <c:v>7.3860000000000001</c:v>
                </c:pt>
                <c:pt idx="801">
                  <c:v>11.158200000000001</c:v>
                </c:pt>
                <c:pt idx="802">
                  <c:v>6.4043000000000001</c:v>
                </c:pt>
                <c:pt idx="803">
                  <c:v>5.7565</c:v>
                </c:pt>
                <c:pt idx="804">
                  <c:v>6.0339</c:v>
                </c:pt>
                <c:pt idx="805">
                  <c:v>6.851</c:v>
                </c:pt>
                <c:pt idx="806">
                  <c:v>6.6946000000000003</c:v>
                </c:pt>
                <c:pt idx="807">
                  <c:v>6.3487</c:v>
                </c:pt>
                <c:pt idx="808">
                  <c:v>10.828099999999999</c:v>
                </c:pt>
                <c:pt idx="809">
                  <c:v>17.345600000000001</c:v>
                </c:pt>
                <c:pt idx="810">
                  <c:v>22.822099999999999</c:v>
                </c:pt>
                <c:pt idx="811">
                  <c:v>5.7587999999999999</c:v>
                </c:pt>
                <c:pt idx="812">
                  <c:v>8.7331000000000003</c:v>
                </c:pt>
                <c:pt idx="813">
                  <c:v>8.6934000000000005</c:v>
                </c:pt>
                <c:pt idx="814">
                  <c:v>8.9492999999999991</c:v>
                </c:pt>
                <c:pt idx="815">
                  <c:v>9.5203000000000007</c:v>
                </c:pt>
                <c:pt idx="816">
                  <c:v>8.0641999999999996</c:v>
                </c:pt>
                <c:pt idx="817">
                  <c:v>10.531700000000001</c:v>
                </c:pt>
                <c:pt idx="818">
                  <c:v>7.2523999999999997</c:v>
                </c:pt>
                <c:pt idx="819">
                  <c:v>7.7096</c:v>
                </c:pt>
                <c:pt idx="820">
                  <c:v>10.9109</c:v>
                </c:pt>
                <c:pt idx="821">
                  <c:v>12.5867</c:v>
                </c:pt>
                <c:pt idx="822">
                  <c:v>16.768699999999999</c:v>
                </c:pt>
                <c:pt idx="823">
                  <c:v>14.459300000000001</c:v>
                </c:pt>
                <c:pt idx="824">
                  <c:v>10.583500000000001</c:v>
                </c:pt>
                <c:pt idx="825">
                  <c:v>11.6417</c:v>
                </c:pt>
                <c:pt idx="826">
                  <c:v>7.1375000000000002</c:v>
                </c:pt>
                <c:pt idx="827">
                  <c:v>14.389200000000001</c:v>
                </c:pt>
                <c:pt idx="828">
                  <c:v>42.176099999999998</c:v>
                </c:pt>
                <c:pt idx="829">
                  <c:v>16.4435</c:v>
                </c:pt>
                <c:pt idx="830">
                  <c:v>8.4596</c:v>
                </c:pt>
                <c:pt idx="831">
                  <c:v>9.9923000000000002</c:v>
                </c:pt>
                <c:pt idx="832">
                  <c:v>7.8590999999999998</c:v>
                </c:pt>
                <c:pt idx="833">
                  <c:v>11.403499999999999</c:v>
                </c:pt>
                <c:pt idx="834">
                  <c:v>15.9801</c:v>
                </c:pt>
                <c:pt idx="835">
                  <c:v>8.9407999999999994</c:v>
                </c:pt>
                <c:pt idx="836">
                  <c:v>6.6829000000000001</c:v>
                </c:pt>
                <c:pt idx="837">
                  <c:v>18.250699999999998</c:v>
                </c:pt>
                <c:pt idx="838">
                  <c:v>10.759600000000001</c:v>
                </c:pt>
                <c:pt idx="839">
                  <c:v>10.940899999999999</c:v>
                </c:pt>
                <c:pt idx="840">
                  <c:v>14.8444</c:v>
                </c:pt>
                <c:pt idx="841">
                  <c:v>9.9967000000000006</c:v>
                </c:pt>
                <c:pt idx="842">
                  <c:v>8.9445999999999994</c:v>
                </c:pt>
                <c:pt idx="843">
                  <c:v>8.2432999999999996</c:v>
                </c:pt>
                <c:pt idx="844">
                  <c:v>7.7945000000000002</c:v>
                </c:pt>
                <c:pt idx="845">
                  <c:v>11.669499999999999</c:v>
                </c:pt>
                <c:pt idx="846">
                  <c:v>7.6917999999999997</c:v>
                </c:pt>
                <c:pt idx="847">
                  <c:v>5.3502999999999998</c:v>
                </c:pt>
                <c:pt idx="848">
                  <c:v>6.8381999999999996</c:v>
                </c:pt>
                <c:pt idx="849">
                  <c:v>5.2191000000000001</c:v>
                </c:pt>
                <c:pt idx="850">
                  <c:v>5.2769000000000004</c:v>
                </c:pt>
                <c:pt idx="851">
                  <c:v>5.5888999999999998</c:v>
                </c:pt>
                <c:pt idx="852">
                  <c:v>7.8437000000000001</c:v>
                </c:pt>
                <c:pt idx="853">
                  <c:v>4.2729999999999997</c:v>
                </c:pt>
                <c:pt idx="854">
                  <c:v>4.4284999999999997</c:v>
                </c:pt>
                <c:pt idx="855">
                  <c:v>4.569</c:v>
                </c:pt>
                <c:pt idx="856">
                  <c:v>8.2582000000000004</c:v>
                </c:pt>
                <c:pt idx="857">
                  <c:v>7.4922000000000004</c:v>
                </c:pt>
                <c:pt idx="858">
                  <c:v>5.7561999999999998</c:v>
                </c:pt>
                <c:pt idx="859">
                  <c:v>6.375</c:v>
                </c:pt>
                <c:pt idx="860">
                  <c:v>5.7931999999999997</c:v>
                </c:pt>
                <c:pt idx="861">
                  <c:v>5.5579999999999998</c:v>
                </c:pt>
                <c:pt idx="862">
                  <c:v>6.2701000000000002</c:v>
                </c:pt>
                <c:pt idx="863">
                  <c:v>7.5172999999999996</c:v>
                </c:pt>
                <c:pt idx="864">
                  <c:v>4.585</c:v>
                </c:pt>
                <c:pt idx="865">
                  <c:v>6.4843999999999999</c:v>
                </c:pt>
                <c:pt idx="866">
                  <c:v>5.5906000000000002</c:v>
                </c:pt>
                <c:pt idx="867">
                  <c:v>5.6433</c:v>
                </c:pt>
                <c:pt idx="868">
                  <c:v>5.2733999999999996</c:v>
                </c:pt>
                <c:pt idx="869">
                  <c:v>6.7473000000000001</c:v>
                </c:pt>
                <c:pt idx="870">
                  <c:v>10.3527</c:v>
                </c:pt>
                <c:pt idx="871">
                  <c:v>7.0517000000000003</c:v>
                </c:pt>
                <c:pt idx="872">
                  <c:v>6.2811000000000003</c:v>
                </c:pt>
                <c:pt idx="873">
                  <c:v>21.841100000000001</c:v>
                </c:pt>
                <c:pt idx="874">
                  <c:v>4.9002999999999997</c:v>
                </c:pt>
                <c:pt idx="875">
                  <c:v>7.0152999999999999</c:v>
                </c:pt>
                <c:pt idx="876">
                  <c:v>9.1515000000000004</c:v>
                </c:pt>
                <c:pt idx="877">
                  <c:v>10.927899999999999</c:v>
                </c:pt>
                <c:pt idx="878">
                  <c:v>9.702</c:v>
                </c:pt>
                <c:pt idx="879">
                  <c:v>11.5769</c:v>
                </c:pt>
                <c:pt idx="880">
                  <c:v>8.3665000000000003</c:v>
                </c:pt>
                <c:pt idx="881">
                  <c:v>5.2731000000000003</c:v>
                </c:pt>
                <c:pt idx="882">
                  <c:v>7.8167999999999997</c:v>
                </c:pt>
                <c:pt idx="883">
                  <c:v>9.2609999999999992</c:v>
                </c:pt>
                <c:pt idx="884">
                  <c:v>7.5494000000000003</c:v>
                </c:pt>
                <c:pt idx="885">
                  <c:v>7.7225000000000001</c:v>
                </c:pt>
                <c:pt idx="886">
                  <c:v>4.2694999999999999</c:v>
                </c:pt>
                <c:pt idx="887">
                  <c:v>7.6658999999999997</c:v>
                </c:pt>
                <c:pt idx="888">
                  <c:v>5.0655999999999999</c:v>
                </c:pt>
                <c:pt idx="889">
                  <c:v>7.1</c:v>
                </c:pt>
                <c:pt idx="890">
                  <c:v>10.5627</c:v>
                </c:pt>
                <c:pt idx="891">
                  <c:v>13.868499999999999</c:v>
                </c:pt>
                <c:pt idx="892">
                  <c:v>16.539000000000001</c:v>
                </c:pt>
                <c:pt idx="893">
                  <c:v>11.307600000000001</c:v>
                </c:pt>
                <c:pt idx="894">
                  <c:v>10.411899999999999</c:v>
                </c:pt>
                <c:pt idx="895">
                  <c:v>5.7337999999999996</c:v>
                </c:pt>
                <c:pt idx="896">
                  <c:v>4.532</c:v>
                </c:pt>
                <c:pt idx="897">
                  <c:v>7.1996000000000002</c:v>
                </c:pt>
                <c:pt idx="898">
                  <c:v>6.5728</c:v>
                </c:pt>
                <c:pt idx="899">
                  <c:v>3.8872</c:v>
                </c:pt>
                <c:pt idx="900">
                  <c:v>8.7893000000000008</c:v>
                </c:pt>
                <c:pt idx="901">
                  <c:v>8.4867000000000008</c:v>
                </c:pt>
                <c:pt idx="902">
                  <c:v>8.6151</c:v>
                </c:pt>
                <c:pt idx="903">
                  <c:v>9.2855000000000008</c:v>
                </c:pt>
                <c:pt idx="904">
                  <c:v>11.9369</c:v>
                </c:pt>
                <c:pt idx="905">
                  <c:v>9.5584000000000007</c:v>
                </c:pt>
                <c:pt idx="906">
                  <c:v>17.779900000000001</c:v>
                </c:pt>
                <c:pt idx="907">
                  <c:v>12.341100000000001</c:v>
                </c:pt>
                <c:pt idx="908">
                  <c:v>7.7430000000000003</c:v>
                </c:pt>
                <c:pt idx="909">
                  <c:v>6.0921000000000003</c:v>
                </c:pt>
                <c:pt idx="910">
                  <c:v>3.8488000000000002</c:v>
                </c:pt>
                <c:pt idx="911">
                  <c:v>5.4321000000000002</c:v>
                </c:pt>
                <c:pt idx="912">
                  <c:v>6.1692</c:v>
                </c:pt>
                <c:pt idx="913">
                  <c:v>7.6501999999999999</c:v>
                </c:pt>
                <c:pt idx="914">
                  <c:v>4.8163999999999998</c:v>
                </c:pt>
                <c:pt idx="915">
                  <c:v>6.0331000000000001</c:v>
                </c:pt>
                <c:pt idx="916">
                  <c:v>7.8125999999999998</c:v>
                </c:pt>
                <c:pt idx="917">
                  <c:v>6.1215000000000002</c:v>
                </c:pt>
                <c:pt idx="918">
                  <c:v>8.6785999999999994</c:v>
                </c:pt>
                <c:pt idx="919">
                  <c:v>11.8058</c:v>
                </c:pt>
                <c:pt idx="920">
                  <c:v>7.3395000000000001</c:v>
                </c:pt>
                <c:pt idx="921">
                  <c:v>9.1410999999999998</c:v>
                </c:pt>
                <c:pt idx="922">
                  <c:v>5.6208999999999998</c:v>
                </c:pt>
                <c:pt idx="923">
                  <c:v>5.8361999999999998</c:v>
                </c:pt>
                <c:pt idx="924">
                  <c:v>8.2157</c:v>
                </c:pt>
                <c:pt idx="925">
                  <c:v>5.8663999999999996</c:v>
                </c:pt>
                <c:pt idx="926">
                  <c:v>5.9846000000000004</c:v>
                </c:pt>
                <c:pt idx="927">
                  <c:v>4.7096</c:v>
                </c:pt>
                <c:pt idx="928">
                  <c:v>6.2919999999999998</c:v>
                </c:pt>
                <c:pt idx="929">
                  <c:v>6.6009000000000002</c:v>
                </c:pt>
                <c:pt idx="930">
                  <c:v>6.1933999999999996</c:v>
                </c:pt>
                <c:pt idx="931">
                  <c:v>5.7508999999999997</c:v>
                </c:pt>
                <c:pt idx="932">
                  <c:v>4.4435000000000002</c:v>
                </c:pt>
                <c:pt idx="933">
                  <c:v>9.8620999999999999</c:v>
                </c:pt>
                <c:pt idx="934">
                  <c:v>3.8906000000000001</c:v>
                </c:pt>
                <c:pt idx="935">
                  <c:v>6.0709999999999997</c:v>
                </c:pt>
                <c:pt idx="936">
                  <c:v>9.1783999999999999</c:v>
                </c:pt>
                <c:pt idx="937">
                  <c:v>12.3567</c:v>
                </c:pt>
                <c:pt idx="938">
                  <c:v>3.6225999999999998</c:v>
                </c:pt>
                <c:pt idx="939">
                  <c:v>2.0516000000000001</c:v>
                </c:pt>
                <c:pt idx="940">
                  <c:v>3.4403000000000001</c:v>
                </c:pt>
                <c:pt idx="941">
                  <c:v>4.3399000000000001</c:v>
                </c:pt>
                <c:pt idx="942">
                  <c:v>4.8308</c:v>
                </c:pt>
                <c:pt idx="943">
                  <c:v>2.3043</c:v>
                </c:pt>
                <c:pt idx="944">
                  <c:v>6.5561999999999996</c:v>
                </c:pt>
                <c:pt idx="945">
                  <c:v>3.8107000000000002</c:v>
                </c:pt>
                <c:pt idx="946">
                  <c:v>4.8625999999999996</c:v>
                </c:pt>
                <c:pt idx="947">
                  <c:v>5.1504000000000003</c:v>
                </c:pt>
                <c:pt idx="948">
                  <c:v>6.1997</c:v>
                </c:pt>
                <c:pt idx="949">
                  <c:v>7.4089999999999998</c:v>
                </c:pt>
                <c:pt idx="950">
                  <c:v>11.5618</c:v>
                </c:pt>
                <c:pt idx="951">
                  <c:v>13.923400000000001</c:v>
                </c:pt>
                <c:pt idx="952">
                  <c:v>9.2299000000000007</c:v>
                </c:pt>
                <c:pt idx="953">
                  <c:v>22.922699999999999</c:v>
                </c:pt>
                <c:pt idx="954">
                  <c:v>13.512700000000001</c:v>
                </c:pt>
                <c:pt idx="955">
                  <c:v>18.004300000000001</c:v>
                </c:pt>
                <c:pt idx="956">
                  <c:v>9.3116000000000003</c:v>
                </c:pt>
                <c:pt idx="957">
                  <c:v>10.751799999999999</c:v>
                </c:pt>
                <c:pt idx="958">
                  <c:v>7.6125999999999996</c:v>
                </c:pt>
                <c:pt idx="959">
                  <c:v>9.5889000000000006</c:v>
                </c:pt>
                <c:pt idx="960">
                  <c:v>14.7193</c:v>
                </c:pt>
                <c:pt idx="961">
                  <c:v>8.3513999999999999</c:v>
                </c:pt>
                <c:pt idx="962">
                  <c:v>6.8006000000000002</c:v>
                </c:pt>
                <c:pt idx="963">
                  <c:v>9.7516999999999996</c:v>
                </c:pt>
                <c:pt idx="964">
                  <c:v>10.983000000000001</c:v>
                </c:pt>
                <c:pt idx="965">
                  <c:v>9.7782</c:v>
                </c:pt>
                <c:pt idx="966">
                  <c:v>9.9108999999999998</c:v>
                </c:pt>
                <c:pt idx="967">
                  <c:v>9.3751999999999995</c:v>
                </c:pt>
                <c:pt idx="968">
                  <c:v>9.6180000000000003</c:v>
                </c:pt>
                <c:pt idx="969">
                  <c:v>9.2499000000000002</c:v>
                </c:pt>
                <c:pt idx="970">
                  <c:v>8.5578000000000003</c:v>
                </c:pt>
                <c:pt idx="971">
                  <c:v>5.9142000000000001</c:v>
                </c:pt>
                <c:pt idx="972">
                  <c:v>9.9167000000000005</c:v>
                </c:pt>
                <c:pt idx="973">
                  <c:v>7.0381</c:v>
                </c:pt>
                <c:pt idx="974">
                  <c:v>10.7797</c:v>
                </c:pt>
                <c:pt idx="975">
                  <c:v>11.4146</c:v>
                </c:pt>
                <c:pt idx="976">
                  <c:v>10.7766</c:v>
                </c:pt>
                <c:pt idx="977">
                  <c:v>13.7782</c:v>
                </c:pt>
                <c:pt idx="978">
                  <c:v>12.509399999999999</c:v>
                </c:pt>
                <c:pt idx="979">
                  <c:v>9.2149999999999999</c:v>
                </c:pt>
                <c:pt idx="980">
                  <c:v>9.2332999999999998</c:v>
                </c:pt>
                <c:pt idx="981">
                  <c:v>10.2066</c:v>
                </c:pt>
                <c:pt idx="982">
                  <c:v>17.3856</c:v>
                </c:pt>
                <c:pt idx="983">
                  <c:v>9.9160000000000004</c:v>
                </c:pt>
                <c:pt idx="984">
                  <c:v>13.7782</c:v>
                </c:pt>
                <c:pt idx="985">
                  <c:v>12.465999999999999</c:v>
                </c:pt>
                <c:pt idx="986">
                  <c:v>11.305999999999999</c:v>
                </c:pt>
                <c:pt idx="987">
                  <c:v>15.9232</c:v>
                </c:pt>
                <c:pt idx="988">
                  <c:v>14.1852</c:v>
                </c:pt>
                <c:pt idx="989">
                  <c:v>17.695</c:v>
                </c:pt>
                <c:pt idx="990">
                  <c:v>15.292400000000001</c:v>
                </c:pt>
                <c:pt idx="991">
                  <c:v>10.913500000000001</c:v>
                </c:pt>
                <c:pt idx="992">
                  <c:v>7.7672999999999996</c:v>
                </c:pt>
                <c:pt idx="993">
                  <c:v>10.044499999999999</c:v>
                </c:pt>
                <c:pt idx="994">
                  <c:v>13.070399999999999</c:v>
                </c:pt>
                <c:pt idx="995">
                  <c:v>9.7108000000000008</c:v>
                </c:pt>
                <c:pt idx="996">
                  <c:v>19.376100000000001</c:v>
                </c:pt>
                <c:pt idx="997">
                  <c:v>18.677600000000002</c:v>
                </c:pt>
                <c:pt idx="998">
                  <c:v>7.5157999999999996</c:v>
                </c:pt>
                <c:pt idx="999">
                  <c:v>11.6059</c:v>
                </c:pt>
                <c:pt idx="1000">
                  <c:v>7.3910999999999998</c:v>
                </c:pt>
                <c:pt idx="1001">
                  <c:v>6.2495000000000003</c:v>
                </c:pt>
                <c:pt idx="1002">
                  <c:v>7.8661000000000003</c:v>
                </c:pt>
                <c:pt idx="1003">
                  <c:v>12.408200000000001</c:v>
                </c:pt>
                <c:pt idx="1004">
                  <c:v>13.5749</c:v>
                </c:pt>
                <c:pt idx="1005">
                  <c:v>9.7822999999999993</c:v>
                </c:pt>
                <c:pt idx="1006">
                  <c:v>16.2713</c:v>
                </c:pt>
                <c:pt idx="1007">
                  <c:v>19.388999999999999</c:v>
                </c:pt>
                <c:pt idx="1008">
                  <c:v>23.309899999999999</c:v>
                </c:pt>
                <c:pt idx="1009">
                  <c:v>12.944699999999999</c:v>
                </c:pt>
                <c:pt idx="1010">
                  <c:v>20.797799999999999</c:v>
                </c:pt>
                <c:pt idx="1011">
                  <c:v>25.884799999999998</c:v>
                </c:pt>
                <c:pt idx="1012">
                  <c:v>15.1335</c:v>
                </c:pt>
                <c:pt idx="1013">
                  <c:v>20.141999999999999</c:v>
                </c:pt>
                <c:pt idx="1014">
                  <c:v>16.8262</c:v>
                </c:pt>
                <c:pt idx="1015">
                  <c:v>21.244700000000002</c:v>
                </c:pt>
                <c:pt idx="1016">
                  <c:v>20.714099999999998</c:v>
                </c:pt>
                <c:pt idx="1017">
                  <c:v>20.6143</c:v>
                </c:pt>
                <c:pt idx="1018">
                  <c:v>10.459300000000001</c:v>
                </c:pt>
                <c:pt idx="1019">
                  <c:v>12.5693</c:v>
                </c:pt>
                <c:pt idx="1020">
                  <c:v>10.165699999999999</c:v>
                </c:pt>
                <c:pt idx="1021">
                  <c:v>7.5739999999999998</c:v>
                </c:pt>
                <c:pt idx="1022">
                  <c:v>7.5468999999999999</c:v>
                </c:pt>
                <c:pt idx="1023">
                  <c:v>7.7695999999999996</c:v>
                </c:pt>
                <c:pt idx="1024">
                  <c:v>7.0854999999999997</c:v>
                </c:pt>
                <c:pt idx="1025">
                  <c:v>7.7526999999999999</c:v>
                </c:pt>
                <c:pt idx="1026">
                  <c:v>8.9405000000000001</c:v>
                </c:pt>
                <c:pt idx="1027">
                  <c:v>5.6595000000000004</c:v>
                </c:pt>
                <c:pt idx="1028">
                  <c:v>8.3333999999999993</c:v>
                </c:pt>
                <c:pt idx="1029">
                  <c:v>5.4790000000000001</c:v>
                </c:pt>
                <c:pt idx="1030">
                  <c:v>11.433299999999999</c:v>
                </c:pt>
                <c:pt idx="1031">
                  <c:v>8.6424000000000003</c:v>
                </c:pt>
                <c:pt idx="1032">
                  <c:v>16.249500000000001</c:v>
                </c:pt>
                <c:pt idx="1033">
                  <c:v>8.5997000000000003</c:v>
                </c:pt>
                <c:pt idx="1034">
                  <c:v>8.6481999999999992</c:v>
                </c:pt>
                <c:pt idx="1035">
                  <c:v>8.0791000000000004</c:v>
                </c:pt>
                <c:pt idx="1036">
                  <c:v>12.914099999999999</c:v>
                </c:pt>
                <c:pt idx="1037">
                  <c:v>9.3943999999999992</c:v>
                </c:pt>
                <c:pt idx="1038">
                  <c:v>7.0655000000000001</c:v>
                </c:pt>
                <c:pt idx="1039">
                  <c:v>7.8632</c:v>
                </c:pt>
                <c:pt idx="1040">
                  <c:v>8.3450000000000006</c:v>
                </c:pt>
                <c:pt idx="1041">
                  <c:v>10.086499999999999</c:v>
                </c:pt>
                <c:pt idx="1042">
                  <c:v>9.0144000000000002</c:v>
                </c:pt>
                <c:pt idx="1043">
                  <c:v>6.6258999999999997</c:v>
                </c:pt>
                <c:pt idx="1044">
                  <c:v>8.5266000000000002</c:v>
                </c:pt>
                <c:pt idx="1045">
                  <c:v>12.638500000000001</c:v>
                </c:pt>
                <c:pt idx="1046">
                  <c:v>8.4754000000000005</c:v>
                </c:pt>
                <c:pt idx="1047">
                  <c:v>11.2196</c:v>
                </c:pt>
                <c:pt idx="1048">
                  <c:v>7.5416999999999996</c:v>
                </c:pt>
                <c:pt idx="1049">
                  <c:v>9.5908999999999995</c:v>
                </c:pt>
                <c:pt idx="1050">
                  <c:v>6.4259000000000004</c:v>
                </c:pt>
                <c:pt idx="1051">
                  <c:v>5.3867000000000003</c:v>
                </c:pt>
                <c:pt idx="1052">
                  <c:v>9.5457999999999998</c:v>
                </c:pt>
                <c:pt idx="1053">
                  <c:v>15.5312</c:v>
                </c:pt>
                <c:pt idx="1054">
                  <c:v>11.3626</c:v>
                </c:pt>
                <c:pt idx="1055">
                  <c:v>10.4719</c:v>
                </c:pt>
                <c:pt idx="1056">
                  <c:v>9.6041000000000007</c:v>
                </c:pt>
                <c:pt idx="1057">
                  <c:v>10.1289</c:v>
                </c:pt>
                <c:pt idx="1058">
                  <c:v>10.915900000000001</c:v>
                </c:pt>
                <c:pt idx="1059">
                  <c:v>37.327100000000002</c:v>
                </c:pt>
                <c:pt idx="1060">
                  <c:v>15.2728</c:v>
                </c:pt>
                <c:pt idx="1061">
                  <c:v>8.7637</c:v>
                </c:pt>
                <c:pt idx="1062">
                  <c:v>10.846500000000001</c:v>
                </c:pt>
                <c:pt idx="1063">
                  <c:v>14.3277</c:v>
                </c:pt>
                <c:pt idx="1064">
                  <c:v>13.5021</c:v>
                </c:pt>
                <c:pt idx="1065">
                  <c:v>12.7431</c:v>
                </c:pt>
                <c:pt idx="1066">
                  <c:v>15.0101</c:v>
                </c:pt>
                <c:pt idx="1067">
                  <c:v>9.4283000000000001</c:v>
                </c:pt>
                <c:pt idx="1068">
                  <c:v>4.2672999999999996</c:v>
                </c:pt>
                <c:pt idx="1069">
                  <c:v>8.7904</c:v>
                </c:pt>
                <c:pt idx="1070">
                  <c:v>10.8324</c:v>
                </c:pt>
                <c:pt idx="1071">
                  <c:v>13.0928</c:v>
                </c:pt>
                <c:pt idx="1072">
                  <c:v>27.407299999999999</c:v>
                </c:pt>
                <c:pt idx="1073">
                  <c:v>16.461200000000002</c:v>
                </c:pt>
                <c:pt idx="1074">
                  <c:v>14.495200000000001</c:v>
                </c:pt>
                <c:pt idx="1075">
                  <c:v>14.0136</c:v>
                </c:pt>
                <c:pt idx="1076">
                  <c:v>15.715299999999999</c:v>
                </c:pt>
                <c:pt idx="1077">
                  <c:v>13.528</c:v>
                </c:pt>
                <c:pt idx="1078">
                  <c:v>9.7067999999999994</c:v>
                </c:pt>
                <c:pt idx="1079">
                  <c:v>11.4693</c:v>
                </c:pt>
                <c:pt idx="1080">
                  <c:v>18.8705</c:v>
                </c:pt>
                <c:pt idx="1081">
                  <c:v>24.739699999999999</c:v>
                </c:pt>
                <c:pt idx="1082">
                  <c:v>14.675700000000001</c:v>
                </c:pt>
                <c:pt idx="1083">
                  <c:v>19.087800000000001</c:v>
                </c:pt>
                <c:pt idx="1084">
                  <c:v>21.715199999999999</c:v>
                </c:pt>
                <c:pt idx="1085">
                  <c:v>11.563700000000001</c:v>
                </c:pt>
                <c:pt idx="1086">
                  <c:v>13.2788</c:v>
                </c:pt>
                <c:pt idx="1087">
                  <c:v>15.926399999999999</c:v>
                </c:pt>
                <c:pt idx="1088">
                  <c:v>20.078399999999998</c:v>
                </c:pt>
                <c:pt idx="1089">
                  <c:v>18.306000000000001</c:v>
                </c:pt>
                <c:pt idx="1090">
                  <c:v>22.539899999999999</c:v>
                </c:pt>
                <c:pt idx="1091">
                  <c:v>16.9925</c:v>
                </c:pt>
                <c:pt idx="1092">
                  <c:v>19.616499999999998</c:v>
                </c:pt>
                <c:pt idx="1093">
                  <c:v>13.9099</c:v>
                </c:pt>
                <c:pt idx="1094">
                  <c:v>20.161799999999999</c:v>
                </c:pt>
                <c:pt idx="1095">
                  <c:v>18.403099999999998</c:v>
                </c:pt>
                <c:pt idx="1096">
                  <c:v>27.608699999999999</c:v>
                </c:pt>
                <c:pt idx="1097">
                  <c:v>18.6751</c:v>
                </c:pt>
                <c:pt idx="1098">
                  <c:v>9.0008999999999997</c:v>
                </c:pt>
                <c:pt idx="1099">
                  <c:v>11.116099999999999</c:v>
                </c:pt>
                <c:pt idx="1100">
                  <c:v>18.923300000000001</c:v>
                </c:pt>
                <c:pt idx="1101">
                  <c:v>22.9496</c:v>
                </c:pt>
                <c:pt idx="1102">
                  <c:v>19.9741</c:v>
                </c:pt>
                <c:pt idx="1103">
                  <c:v>33.953400000000002</c:v>
                </c:pt>
                <c:pt idx="1104">
                  <c:v>17.1874</c:v>
                </c:pt>
                <c:pt idx="1105">
                  <c:v>14.770200000000001</c:v>
                </c:pt>
                <c:pt idx="1106">
                  <c:v>10.264900000000001</c:v>
                </c:pt>
                <c:pt idx="1107">
                  <c:v>28.336300000000001</c:v>
                </c:pt>
                <c:pt idx="1108">
                  <c:v>17.333200000000001</c:v>
                </c:pt>
                <c:pt idx="1109">
                  <c:v>13.5031</c:v>
                </c:pt>
                <c:pt idx="1110">
                  <c:v>19.2636</c:v>
                </c:pt>
                <c:pt idx="1111">
                  <c:v>15.1677</c:v>
                </c:pt>
                <c:pt idx="1112">
                  <c:v>23.404</c:v>
                </c:pt>
                <c:pt idx="1113">
                  <c:v>25.547899999999998</c:v>
                </c:pt>
                <c:pt idx="1114">
                  <c:v>14.879899999999999</c:v>
                </c:pt>
                <c:pt idx="1115">
                  <c:v>17.812799999999999</c:v>
                </c:pt>
                <c:pt idx="1116">
                  <c:v>30.2376</c:v>
                </c:pt>
                <c:pt idx="1117">
                  <c:v>12.966900000000001</c:v>
                </c:pt>
                <c:pt idx="1118">
                  <c:v>18.852799999999998</c:v>
                </c:pt>
                <c:pt idx="1119">
                  <c:v>17.749400000000001</c:v>
                </c:pt>
                <c:pt idx="1120">
                  <c:v>32.050800000000002</c:v>
                </c:pt>
                <c:pt idx="1121">
                  <c:v>13.245799999999999</c:v>
                </c:pt>
                <c:pt idx="1122">
                  <c:v>54.720199999999998</c:v>
                </c:pt>
                <c:pt idx="1123">
                  <c:v>14.994199999999999</c:v>
                </c:pt>
                <c:pt idx="1124">
                  <c:v>11.5244</c:v>
                </c:pt>
                <c:pt idx="1125">
                  <c:v>17.049600000000002</c:v>
                </c:pt>
                <c:pt idx="1126">
                  <c:v>17.831199999999999</c:v>
                </c:pt>
                <c:pt idx="1127">
                  <c:v>19.4635</c:v>
                </c:pt>
                <c:pt idx="1128">
                  <c:v>19.3703</c:v>
                </c:pt>
                <c:pt idx="1129">
                  <c:v>13.331200000000001</c:v>
                </c:pt>
                <c:pt idx="1130">
                  <c:v>15.8992</c:v>
                </c:pt>
                <c:pt idx="1131">
                  <c:v>13.738799999999999</c:v>
                </c:pt>
                <c:pt idx="1132">
                  <c:v>15.110099999999999</c:v>
                </c:pt>
                <c:pt idx="1133">
                  <c:v>21.090499999999999</c:v>
                </c:pt>
                <c:pt idx="1134">
                  <c:v>15.1785</c:v>
                </c:pt>
                <c:pt idx="1135">
                  <c:v>13.231299999999999</c:v>
                </c:pt>
                <c:pt idx="1136">
                  <c:v>21.105899999999998</c:v>
                </c:pt>
                <c:pt idx="1137">
                  <c:v>15.1327</c:v>
                </c:pt>
                <c:pt idx="1138">
                  <c:v>9.9597999999999995</c:v>
                </c:pt>
                <c:pt idx="1139">
                  <c:v>19.1816</c:v>
                </c:pt>
                <c:pt idx="1140">
                  <c:v>23.613299999999999</c:v>
                </c:pt>
                <c:pt idx="1141">
                  <c:v>30.758900000000001</c:v>
                </c:pt>
                <c:pt idx="1142">
                  <c:v>12.874599999999999</c:v>
                </c:pt>
                <c:pt idx="1143">
                  <c:v>19.872900000000001</c:v>
                </c:pt>
                <c:pt idx="1144">
                  <c:v>24.526800000000001</c:v>
                </c:pt>
                <c:pt idx="1145">
                  <c:v>23.013100000000001</c:v>
                </c:pt>
                <c:pt idx="1146">
                  <c:v>14.1388</c:v>
                </c:pt>
                <c:pt idx="1147">
                  <c:v>8.4924999999999997</c:v>
                </c:pt>
                <c:pt idx="1148">
                  <c:v>11.499700000000001</c:v>
                </c:pt>
                <c:pt idx="1149">
                  <c:v>15.833299999999999</c:v>
                </c:pt>
                <c:pt idx="1150">
                  <c:v>13.8482</c:v>
                </c:pt>
                <c:pt idx="1151">
                  <c:v>14.1274</c:v>
                </c:pt>
                <c:pt idx="1152">
                  <c:v>13.4594</c:v>
                </c:pt>
                <c:pt idx="1153">
                  <c:v>12.2738</c:v>
                </c:pt>
                <c:pt idx="1154">
                  <c:v>10.752700000000001</c:v>
                </c:pt>
                <c:pt idx="1155">
                  <c:v>9.3229000000000006</c:v>
                </c:pt>
                <c:pt idx="1156">
                  <c:v>10.3416</c:v>
                </c:pt>
                <c:pt idx="1157">
                  <c:v>8.0945</c:v>
                </c:pt>
                <c:pt idx="1158">
                  <c:v>9.8899000000000008</c:v>
                </c:pt>
                <c:pt idx="1159">
                  <c:v>9.3703000000000003</c:v>
                </c:pt>
                <c:pt idx="1160">
                  <c:v>10.919499999999999</c:v>
                </c:pt>
                <c:pt idx="1161">
                  <c:v>10.3049</c:v>
                </c:pt>
                <c:pt idx="1162">
                  <c:v>11.2486</c:v>
                </c:pt>
                <c:pt idx="1163">
                  <c:v>10.426600000000001</c:v>
                </c:pt>
                <c:pt idx="1164">
                  <c:v>14.3713</c:v>
                </c:pt>
                <c:pt idx="1165">
                  <c:v>7.8076999999999996</c:v>
                </c:pt>
                <c:pt idx="1166">
                  <c:v>12.455</c:v>
                </c:pt>
                <c:pt idx="1167">
                  <c:v>16.657</c:v>
                </c:pt>
                <c:pt idx="1168">
                  <c:v>12.775</c:v>
                </c:pt>
                <c:pt idx="1169">
                  <c:v>10.433199999999999</c:v>
                </c:pt>
                <c:pt idx="1170">
                  <c:v>8.26</c:v>
                </c:pt>
                <c:pt idx="1171">
                  <c:v>3.6888999999999998</c:v>
                </c:pt>
                <c:pt idx="1172">
                  <c:v>5.5084</c:v>
                </c:pt>
                <c:pt idx="1173">
                  <c:v>6.6428000000000003</c:v>
                </c:pt>
                <c:pt idx="1174">
                  <c:v>7.4127000000000001</c:v>
                </c:pt>
                <c:pt idx="1175">
                  <c:v>18.299700000000001</c:v>
                </c:pt>
                <c:pt idx="1176">
                  <c:v>9.1982999999999997</c:v>
                </c:pt>
                <c:pt idx="1177">
                  <c:v>7.2095000000000002</c:v>
                </c:pt>
                <c:pt idx="1178">
                  <c:v>16.529</c:v>
                </c:pt>
                <c:pt idx="1179">
                  <c:v>10.143599999999999</c:v>
                </c:pt>
                <c:pt idx="1180">
                  <c:v>12.986499999999999</c:v>
                </c:pt>
                <c:pt idx="1181">
                  <c:v>7.9558999999999997</c:v>
                </c:pt>
                <c:pt idx="1182">
                  <c:v>8.0912000000000006</c:v>
                </c:pt>
                <c:pt idx="1183">
                  <c:v>14.0588</c:v>
                </c:pt>
                <c:pt idx="1184">
                  <c:v>15.9749</c:v>
                </c:pt>
                <c:pt idx="1185">
                  <c:v>29.526499999999999</c:v>
                </c:pt>
                <c:pt idx="1186">
                  <c:v>118.7058</c:v>
                </c:pt>
                <c:pt idx="1187">
                  <c:v>23.938800000000001</c:v>
                </c:pt>
                <c:pt idx="1188">
                  <c:v>13.291700000000001</c:v>
                </c:pt>
                <c:pt idx="1189">
                  <c:v>13.262499999999999</c:v>
                </c:pt>
                <c:pt idx="1190">
                  <c:v>6.2039999999999997</c:v>
                </c:pt>
                <c:pt idx="1191">
                  <c:v>6.0755999999999997</c:v>
                </c:pt>
                <c:pt idx="1192">
                  <c:v>6.8673999999999999</c:v>
                </c:pt>
                <c:pt idx="1193">
                  <c:v>4.5240999999999998</c:v>
                </c:pt>
                <c:pt idx="1194">
                  <c:v>8.3277000000000001</c:v>
                </c:pt>
                <c:pt idx="1195">
                  <c:v>16.098800000000001</c:v>
                </c:pt>
                <c:pt idx="1196">
                  <c:v>11.9069</c:v>
                </c:pt>
                <c:pt idx="1197">
                  <c:v>8.9600000000000009</c:v>
                </c:pt>
                <c:pt idx="1198">
                  <c:v>7.4615999999999998</c:v>
                </c:pt>
                <c:pt idx="1199">
                  <c:v>6.3563000000000001</c:v>
                </c:pt>
                <c:pt idx="1200">
                  <c:v>12.8116</c:v>
                </c:pt>
                <c:pt idx="1201">
                  <c:v>19.913499999999999</c:v>
                </c:pt>
                <c:pt idx="1202">
                  <c:v>37.606900000000003</c:v>
                </c:pt>
                <c:pt idx="1203">
                  <c:v>19.0778</c:v>
                </c:pt>
                <c:pt idx="1204">
                  <c:v>12.7927</c:v>
                </c:pt>
                <c:pt idx="1205">
                  <c:v>8.8854000000000006</c:v>
                </c:pt>
                <c:pt idx="1206">
                  <c:v>9.3118999999999996</c:v>
                </c:pt>
                <c:pt idx="1207">
                  <c:v>7.3463000000000003</c:v>
                </c:pt>
                <c:pt idx="1208">
                  <c:v>4.3475999999999999</c:v>
                </c:pt>
                <c:pt idx="1209">
                  <c:v>5.1623999999999999</c:v>
                </c:pt>
                <c:pt idx="1210">
                  <c:v>7.9602000000000004</c:v>
                </c:pt>
                <c:pt idx="1211">
                  <c:v>8.7292000000000005</c:v>
                </c:pt>
                <c:pt idx="1212">
                  <c:v>15.133900000000001</c:v>
                </c:pt>
                <c:pt idx="1213">
                  <c:v>17.1905</c:v>
                </c:pt>
                <c:pt idx="1214">
                  <c:v>14.203799999999999</c:v>
                </c:pt>
                <c:pt idx="1215">
                  <c:v>29.449200000000001</c:v>
                </c:pt>
                <c:pt idx="1216">
                  <c:v>32.385599999999997</c:v>
                </c:pt>
                <c:pt idx="1217">
                  <c:v>13.642799999999999</c:v>
                </c:pt>
                <c:pt idx="1218">
                  <c:v>14.6225</c:v>
                </c:pt>
                <c:pt idx="1219">
                  <c:v>10.2782</c:v>
                </c:pt>
                <c:pt idx="1220">
                  <c:v>9.9780999999999995</c:v>
                </c:pt>
                <c:pt idx="1221">
                  <c:v>12.472899999999999</c:v>
                </c:pt>
                <c:pt idx="1222">
                  <c:v>32.387500000000003</c:v>
                </c:pt>
                <c:pt idx="1223">
                  <c:v>19.8383</c:v>
                </c:pt>
                <c:pt idx="1224">
                  <c:v>23.069500000000001</c:v>
                </c:pt>
                <c:pt idx="1225">
                  <c:v>14.666600000000001</c:v>
                </c:pt>
                <c:pt idx="1226">
                  <c:v>18.068200000000001</c:v>
                </c:pt>
                <c:pt idx="1227">
                  <c:v>15.8459</c:v>
                </c:pt>
                <c:pt idx="1228">
                  <c:v>23.772099999999998</c:v>
                </c:pt>
                <c:pt idx="1229">
                  <c:v>25.141200000000001</c:v>
                </c:pt>
                <c:pt idx="1230">
                  <c:v>28.804500000000001</c:v>
                </c:pt>
                <c:pt idx="1231">
                  <c:v>19.283300000000001</c:v>
                </c:pt>
                <c:pt idx="1232">
                  <c:v>16.921500000000002</c:v>
                </c:pt>
                <c:pt idx="1233">
                  <c:v>10.539300000000001</c:v>
                </c:pt>
                <c:pt idx="1234">
                  <c:v>11.463100000000001</c:v>
                </c:pt>
                <c:pt idx="1235">
                  <c:v>20.009499999999999</c:v>
                </c:pt>
                <c:pt idx="1236">
                  <c:v>14.782299999999999</c:v>
                </c:pt>
                <c:pt idx="1237">
                  <c:v>15.2174</c:v>
                </c:pt>
                <c:pt idx="1238">
                  <c:v>14.572800000000001</c:v>
                </c:pt>
                <c:pt idx="1239">
                  <c:v>17.286899999999999</c:v>
                </c:pt>
                <c:pt idx="1240">
                  <c:v>15.353300000000001</c:v>
                </c:pt>
                <c:pt idx="1241">
                  <c:v>16.372599999999998</c:v>
                </c:pt>
                <c:pt idx="1242">
                  <c:v>10.4565</c:v>
                </c:pt>
                <c:pt idx="1243">
                  <c:v>22.523199999999999</c:v>
                </c:pt>
                <c:pt idx="1244">
                  <c:v>22.008800000000001</c:v>
                </c:pt>
                <c:pt idx="1245">
                  <c:v>25.447600000000001</c:v>
                </c:pt>
                <c:pt idx="1246">
                  <c:v>24.3172</c:v>
                </c:pt>
                <c:pt idx="1247">
                  <c:v>100.9795</c:v>
                </c:pt>
                <c:pt idx="1248">
                  <c:v>15.9831</c:v>
                </c:pt>
                <c:pt idx="1249">
                  <c:v>11.069900000000001</c:v>
                </c:pt>
                <c:pt idx="1250">
                  <c:v>11.348100000000001</c:v>
                </c:pt>
                <c:pt idx="1251">
                  <c:v>8.7505000000000006</c:v>
                </c:pt>
                <c:pt idx="1252">
                  <c:v>11.866899999999999</c:v>
                </c:pt>
                <c:pt idx="1253">
                  <c:v>10.980700000000001</c:v>
                </c:pt>
              </c:numCache>
            </c:numRef>
          </c:val>
          <c:extLst>
            <c:ext xmlns:c16="http://schemas.microsoft.com/office/drawing/2014/chart" uri="{C3380CC4-5D6E-409C-BE32-E72D297353CC}">
              <c16:uniqueId val="{00000000-1D0B-4FF7-A23A-4BBCEEAAABCD}"/>
            </c:ext>
          </c:extLst>
        </c:ser>
        <c:dLbls>
          <c:showLegendKey val="0"/>
          <c:showVal val="0"/>
          <c:showCatName val="0"/>
          <c:showSerName val="0"/>
          <c:showPercent val="0"/>
          <c:showBubbleSize val="0"/>
        </c:dLbls>
        <c:gapWidth val="100"/>
        <c:overlap val="-24"/>
        <c:axId val="990414063"/>
        <c:axId val="990418223"/>
      </c:barChart>
      <c:dateAx>
        <c:axId val="99041406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26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0418223"/>
        <c:crosses val="autoZero"/>
        <c:auto val="1"/>
        <c:lblOffset val="100"/>
        <c:baseTimeUnit val="days"/>
      </c:dateAx>
      <c:valAx>
        <c:axId val="99041822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0414063"/>
        <c:crosses val="autoZero"/>
        <c:crossBetween val="between"/>
        <c:majorUnit val="3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228554449561727"/>
          <c:y val="7.0512758070189682E-2"/>
          <c:w val="0.66379993066904364"/>
          <c:h val="0.88168135822527716"/>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ABE9-414A-892C-DFFB4B1ADA45}"/>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ABE9-414A-892C-DFFB4B1ADA45}"/>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ABE9-414A-892C-DFFB4B1ADA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'Share Price'!$I$34:$I$38</c:f>
              <c:strCache>
                <c:ptCount val="5"/>
                <c:pt idx="0">
                  <c:v>DIIs</c:v>
                </c:pt>
                <c:pt idx="1">
                  <c:v>FIIs</c:v>
                </c:pt>
                <c:pt idx="2">
                  <c:v>Promoters</c:v>
                </c:pt>
                <c:pt idx="3">
                  <c:v>Public &amp; Government</c:v>
                </c:pt>
                <c:pt idx="4">
                  <c:v>Others</c:v>
                </c:pt>
              </c:strCache>
            </c:strRef>
          </c:cat>
          <c:val>
            <c:numRef>
              <c:f>'Share Price'!$J$34:$J$38</c:f>
              <c:numCache>
                <c:formatCode>0.00%</c:formatCode>
                <c:ptCount val="5"/>
                <c:pt idx="0">
                  <c:v>0.43190000000000001</c:v>
                </c:pt>
                <c:pt idx="1">
                  <c:v>0.28449999999999998</c:v>
                </c:pt>
                <c:pt idx="2">
                  <c:v>0.14380000000000001</c:v>
                </c:pt>
                <c:pt idx="3">
                  <c:v>0.13739999999999999</c:v>
                </c:pt>
                <c:pt idx="4">
                  <c:v>2.3E-3</c:v>
                </c:pt>
              </c:numCache>
            </c:numRef>
          </c:val>
          <c:extLst>
            <c:ext xmlns:c16="http://schemas.microsoft.com/office/drawing/2014/chart" uri="{C3380CC4-5D6E-409C-BE32-E72D297353CC}">
              <c16:uniqueId val="{00000006-ABE9-414A-892C-DFFB4B1ADA45}"/>
            </c:ext>
          </c:extLst>
        </c:ser>
        <c:dLbls>
          <c:showLegendKey val="0"/>
          <c:showVal val="0"/>
          <c:showCatName val="0"/>
          <c:showSerName val="0"/>
          <c:showPercent val="0"/>
          <c:showBubbleSize val="0"/>
        </c:dLbls>
        <c:gapWidth val="54"/>
        <c:axId val="937898879"/>
        <c:axId val="937879327"/>
      </c:barChart>
      <c:catAx>
        <c:axId val="93789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79327"/>
        <c:crosses val="autoZero"/>
        <c:auto val="1"/>
        <c:lblAlgn val="ctr"/>
        <c:lblOffset val="100"/>
        <c:noMultiLvlLbl val="0"/>
      </c:catAx>
      <c:valAx>
        <c:axId val="937879327"/>
        <c:scaling>
          <c:orientation val="minMax"/>
          <c:max val="0.5"/>
          <c:min val="0"/>
        </c:scaling>
        <c:delete val="1"/>
        <c:axPos val="b"/>
        <c:numFmt formatCode="0.00%" sourceLinked="1"/>
        <c:majorTickMark val="none"/>
        <c:minorTickMark val="none"/>
        <c:tickLblPos val="nextTo"/>
        <c:crossAx val="937898879"/>
        <c:crosses val="autoZero"/>
        <c:crossBetween val="between"/>
        <c:majorUnit val="0.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'Share Price'!$C$2</c:f>
              <c:strCache>
                <c:ptCount val="1"/>
                <c:pt idx="0">
                  <c:v>Close</c:v>
                </c:pt>
              </c:strCache>
            </c:strRef>
          </c:tx>
          <c:spPr>
            <a:ln w="28575" cap="rnd">
              <a:solidFill>
                <a:schemeClr val="accent1"/>
              </a:solidFill>
              <a:round/>
            </a:ln>
            <a:effectLst/>
          </c:spPr>
          <c:marker>
            <c:symbol val="none"/>
          </c:marker>
          <c:cat>
            <c:numRef>
              <c:f>'Share Price'!$B$3:$B$1256</c:f>
              <c:numCache>
                <c:formatCode>m/d/yyyy</c:formatCode>
                <c:ptCount val="1254"/>
                <c:pt idx="0">
                  <c:v>44287</c:v>
                </c:pt>
                <c:pt idx="1">
                  <c:v>44291</c:v>
                </c:pt>
                <c:pt idx="2">
                  <c:v>44292</c:v>
                </c:pt>
                <c:pt idx="3">
                  <c:v>44293</c:v>
                </c:pt>
                <c:pt idx="4">
                  <c:v>44294</c:v>
                </c:pt>
                <c:pt idx="5">
                  <c:v>44295</c:v>
                </c:pt>
                <c:pt idx="6">
                  <c:v>44298</c:v>
                </c:pt>
                <c:pt idx="7">
                  <c:v>44299</c:v>
                </c:pt>
                <c:pt idx="8">
                  <c:v>44300</c:v>
                </c:pt>
                <c:pt idx="9">
                  <c:v>44301</c:v>
                </c:pt>
                <c:pt idx="10">
                  <c:v>44302</c:v>
                </c:pt>
                <c:pt idx="11">
                  <c:v>44305</c:v>
                </c:pt>
                <c:pt idx="12">
                  <c:v>44306</c:v>
                </c:pt>
                <c:pt idx="13">
                  <c:v>44307</c:v>
                </c:pt>
                <c:pt idx="14">
                  <c:v>44308</c:v>
                </c:pt>
                <c:pt idx="15">
                  <c:v>44309</c:v>
                </c:pt>
                <c:pt idx="16">
                  <c:v>44312</c:v>
                </c:pt>
                <c:pt idx="17">
                  <c:v>44313</c:v>
                </c:pt>
                <c:pt idx="18">
                  <c:v>44314</c:v>
                </c:pt>
                <c:pt idx="19">
                  <c:v>44315</c:v>
                </c:pt>
                <c:pt idx="20">
                  <c:v>44316</c:v>
                </c:pt>
                <c:pt idx="21">
                  <c:v>44319</c:v>
                </c:pt>
                <c:pt idx="22">
                  <c:v>44320</c:v>
                </c:pt>
                <c:pt idx="23">
                  <c:v>44321</c:v>
                </c:pt>
                <c:pt idx="24">
                  <c:v>44322</c:v>
                </c:pt>
                <c:pt idx="25">
                  <c:v>44323</c:v>
                </c:pt>
                <c:pt idx="26">
                  <c:v>44326</c:v>
                </c:pt>
                <c:pt idx="27">
                  <c:v>44327</c:v>
                </c:pt>
                <c:pt idx="28">
                  <c:v>44328</c:v>
                </c:pt>
                <c:pt idx="29">
                  <c:v>44329</c:v>
                </c:pt>
                <c:pt idx="30">
                  <c:v>44330</c:v>
                </c:pt>
                <c:pt idx="31">
                  <c:v>44333</c:v>
                </c:pt>
                <c:pt idx="32">
                  <c:v>44334</c:v>
                </c:pt>
                <c:pt idx="33">
                  <c:v>44335</c:v>
                </c:pt>
                <c:pt idx="34">
                  <c:v>44336</c:v>
                </c:pt>
                <c:pt idx="35">
                  <c:v>44337</c:v>
                </c:pt>
                <c:pt idx="36">
                  <c:v>44340</c:v>
                </c:pt>
                <c:pt idx="37">
                  <c:v>44341</c:v>
                </c:pt>
                <c:pt idx="38">
                  <c:v>44342</c:v>
                </c:pt>
                <c:pt idx="39">
                  <c:v>44343</c:v>
                </c:pt>
                <c:pt idx="40">
                  <c:v>44344</c:v>
                </c:pt>
                <c:pt idx="41">
                  <c:v>44348</c:v>
                </c:pt>
                <c:pt idx="42">
                  <c:v>44349</c:v>
                </c:pt>
                <c:pt idx="43">
                  <c:v>44350</c:v>
                </c:pt>
                <c:pt idx="44">
                  <c:v>44351</c:v>
                </c:pt>
                <c:pt idx="45">
                  <c:v>44354</c:v>
                </c:pt>
                <c:pt idx="46">
                  <c:v>44355</c:v>
                </c:pt>
                <c:pt idx="47">
                  <c:v>44356</c:v>
                </c:pt>
                <c:pt idx="48">
                  <c:v>44357</c:v>
                </c:pt>
                <c:pt idx="49">
                  <c:v>44358</c:v>
                </c:pt>
                <c:pt idx="50">
                  <c:v>44361</c:v>
                </c:pt>
                <c:pt idx="51">
                  <c:v>44362</c:v>
                </c:pt>
                <c:pt idx="52">
                  <c:v>44363</c:v>
                </c:pt>
                <c:pt idx="53">
                  <c:v>44364</c:v>
                </c:pt>
                <c:pt idx="54">
                  <c:v>44365</c:v>
                </c:pt>
                <c:pt idx="55">
                  <c:v>44368</c:v>
                </c:pt>
                <c:pt idx="56">
                  <c:v>44369</c:v>
                </c:pt>
                <c:pt idx="57">
                  <c:v>44370</c:v>
                </c:pt>
                <c:pt idx="58">
                  <c:v>44371</c:v>
                </c:pt>
                <c:pt idx="59">
                  <c:v>44372</c:v>
                </c:pt>
                <c:pt idx="60">
                  <c:v>44375</c:v>
                </c:pt>
                <c:pt idx="61">
                  <c:v>44376</c:v>
                </c:pt>
                <c:pt idx="62">
                  <c:v>44377</c:v>
                </c:pt>
                <c:pt idx="63">
                  <c:v>44378</c:v>
                </c:pt>
                <c:pt idx="64">
                  <c:v>44379</c:v>
                </c:pt>
                <c:pt idx="65">
                  <c:v>44383</c:v>
                </c:pt>
                <c:pt idx="66">
                  <c:v>44384</c:v>
                </c:pt>
                <c:pt idx="67">
                  <c:v>44385</c:v>
                </c:pt>
                <c:pt idx="68">
                  <c:v>44386</c:v>
                </c:pt>
                <c:pt idx="69">
                  <c:v>44389</c:v>
                </c:pt>
                <c:pt idx="70">
                  <c:v>44390</c:v>
                </c:pt>
                <c:pt idx="71">
                  <c:v>44391</c:v>
                </c:pt>
                <c:pt idx="72">
                  <c:v>44392</c:v>
                </c:pt>
                <c:pt idx="73">
                  <c:v>44393</c:v>
                </c:pt>
                <c:pt idx="74">
                  <c:v>44396</c:v>
                </c:pt>
                <c:pt idx="75">
                  <c:v>44397</c:v>
                </c:pt>
                <c:pt idx="76">
                  <c:v>44398</c:v>
                </c:pt>
                <c:pt idx="77">
                  <c:v>44399</c:v>
                </c:pt>
                <c:pt idx="78">
                  <c:v>44400</c:v>
                </c:pt>
                <c:pt idx="79">
                  <c:v>44403</c:v>
                </c:pt>
                <c:pt idx="80">
                  <c:v>44404</c:v>
                </c:pt>
                <c:pt idx="81">
                  <c:v>44405</c:v>
                </c:pt>
                <c:pt idx="82">
                  <c:v>44406</c:v>
                </c:pt>
                <c:pt idx="83">
                  <c:v>44407</c:v>
                </c:pt>
                <c:pt idx="84">
                  <c:v>44410</c:v>
                </c:pt>
                <c:pt idx="85">
                  <c:v>44411</c:v>
                </c:pt>
                <c:pt idx="86">
                  <c:v>44412</c:v>
                </c:pt>
                <c:pt idx="87">
                  <c:v>44413</c:v>
                </c:pt>
                <c:pt idx="88">
                  <c:v>44414</c:v>
                </c:pt>
                <c:pt idx="89">
                  <c:v>44417</c:v>
                </c:pt>
                <c:pt idx="90">
                  <c:v>44418</c:v>
                </c:pt>
                <c:pt idx="91">
                  <c:v>44419</c:v>
                </c:pt>
                <c:pt idx="92">
                  <c:v>44420</c:v>
                </c:pt>
                <c:pt idx="93">
                  <c:v>44421</c:v>
                </c:pt>
                <c:pt idx="94">
                  <c:v>44424</c:v>
                </c:pt>
                <c:pt idx="95">
                  <c:v>44425</c:v>
                </c:pt>
                <c:pt idx="96">
                  <c:v>44426</c:v>
                </c:pt>
                <c:pt idx="97">
                  <c:v>44427</c:v>
                </c:pt>
                <c:pt idx="98">
                  <c:v>44428</c:v>
                </c:pt>
                <c:pt idx="99">
                  <c:v>44431</c:v>
                </c:pt>
                <c:pt idx="100">
                  <c:v>44432</c:v>
                </c:pt>
                <c:pt idx="101">
                  <c:v>44433</c:v>
                </c:pt>
                <c:pt idx="102">
                  <c:v>44434</c:v>
                </c:pt>
                <c:pt idx="103">
                  <c:v>44435</c:v>
                </c:pt>
                <c:pt idx="104">
                  <c:v>44438</c:v>
                </c:pt>
                <c:pt idx="105">
                  <c:v>44439</c:v>
                </c:pt>
                <c:pt idx="106">
                  <c:v>44440</c:v>
                </c:pt>
                <c:pt idx="107">
                  <c:v>44441</c:v>
                </c:pt>
                <c:pt idx="108">
                  <c:v>44442</c:v>
                </c:pt>
                <c:pt idx="109">
                  <c:v>44446</c:v>
                </c:pt>
                <c:pt idx="110">
                  <c:v>44447</c:v>
                </c:pt>
                <c:pt idx="111">
                  <c:v>44448</c:v>
                </c:pt>
                <c:pt idx="112">
                  <c:v>44449</c:v>
                </c:pt>
                <c:pt idx="113">
                  <c:v>44452</c:v>
                </c:pt>
                <c:pt idx="114">
                  <c:v>44453</c:v>
                </c:pt>
                <c:pt idx="115">
                  <c:v>44454</c:v>
                </c:pt>
                <c:pt idx="116">
                  <c:v>44455</c:v>
                </c:pt>
                <c:pt idx="117">
                  <c:v>44456</c:v>
                </c:pt>
                <c:pt idx="118">
                  <c:v>44459</c:v>
                </c:pt>
                <c:pt idx="119">
                  <c:v>44460</c:v>
                </c:pt>
                <c:pt idx="120">
                  <c:v>44461</c:v>
                </c:pt>
                <c:pt idx="121">
                  <c:v>44462</c:v>
                </c:pt>
                <c:pt idx="122">
                  <c:v>44463</c:v>
                </c:pt>
                <c:pt idx="123">
                  <c:v>44466</c:v>
                </c:pt>
                <c:pt idx="124">
                  <c:v>44467</c:v>
                </c:pt>
                <c:pt idx="125">
                  <c:v>44468</c:v>
                </c:pt>
                <c:pt idx="126">
                  <c:v>44469</c:v>
                </c:pt>
                <c:pt idx="127">
                  <c:v>44470</c:v>
                </c:pt>
                <c:pt idx="128">
                  <c:v>44473</c:v>
                </c:pt>
                <c:pt idx="129">
                  <c:v>44474</c:v>
                </c:pt>
                <c:pt idx="130">
                  <c:v>44475</c:v>
                </c:pt>
                <c:pt idx="131">
                  <c:v>44476</c:v>
                </c:pt>
                <c:pt idx="132">
                  <c:v>44477</c:v>
                </c:pt>
                <c:pt idx="133">
                  <c:v>44480</c:v>
                </c:pt>
                <c:pt idx="134">
                  <c:v>44481</c:v>
                </c:pt>
                <c:pt idx="135">
                  <c:v>44482</c:v>
                </c:pt>
                <c:pt idx="136">
                  <c:v>44483</c:v>
                </c:pt>
                <c:pt idx="137">
                  <c:v>44484</c:v>
                </c:pt>
                <c:pt idx="138">
                  <c:v>44487</c:v>
                </c:pt>
                <c:pt idx="139">
                  <c:v>44488</c:v>
                </c:pt>
                <c:pt idx="140">
                  <c:v>44489</c:v>
                </c:pt>
                <c:pt idx="141">
                  <c:v>44490</c:v>
                </c:pt>
                <c:pt idx="142">
                  <c:v>44491</c:v>
                </c:pt>
                <c:pt idx="143">
                  <c:v>44494</c:v>
                </c:pt>
                <c:pt idx="144">
                  <c:v>44495</c:v>
                </c:pt>
                <c:pt idx="145">
                  <c:v>44496</c:v>
                </c:pt>
                <c:pt idx="146">
                  <c:v>44497</c:v>
                </c:pt>
                <c:pt idx="147">
                  <c:v>44498</c:v>
                </c:pt>
                <c:pt idx="148">
                  <c:v>44501</c:v>
                </c:pt>
                <c:pt idx="149">
                  <c:v>44502</c:v>
                </c:pt>
                <c:pt idx="150">
                  <c:v>44503</c:v>
                </c:pt>
                <c:pt idx="151">
                  <c:v>44504</c:v>
                </c:pt>
                <c:pt idx="152">
                  <c:v>44505</c:v>
                </c:pt>
                <c:pt idx="153">
                  <c:v>44508</c:v>
                </c:pt>
                <c:pt idx="154">
                  <c:v>44509</c:v>
                </c:pt>
                <c:pt idx="155">
                  <c:v>44510</c:v>
                </c:pt>
                <c:pt idx="156">
                  <c:v>44511</c:v>
                </c:pt>
                <c:pt idx="157">
                  <c:v>44512</c:v>
                </c:pt>
                <c:pt idx="158">
                  <c:v>44515</c:v>
                </c:pt>
                <c:pt idx="159">
                  <c:v>44516</c:v>
                </c:pt>
                <c:pt idx="160">
                  <c:v>44517</c:v>
                </c:pt>
                <c:pt idx="161">
                  <c:v>44518</c:v>
                </c:pt>
                <c:pt idx="162">
                  <c:v>44519</c:v>
                </c:pt>
                <c:pt idx="163">
                  <c:v>44522</c:v>
                </c:pt>
                <c:pt idx="164">
                  <c:v>44523</c:v>
                </c:pt>
                <c:pt idx="165">
                  <c:v>44524</c:v>
                </c:pt>
                <c:pt idx="166">
                  <c:v>44526</c:v>
                </c:pt>
                <c:pt idx="167">
                  <c:v>44529</c:v>
                </c:pt>
                <c:pt idx="168">
                  <c:v>44530</c:v>
                </c:pt>
                <c:pt idx="169">
                  <c:v>44531</c:v>
                </c:pt>
                <c:pt idx="170">
                  <c:v>44532</c:v>
                </c:pt>
                <c:pt idx="171">
                  <c:v>44533</c:v>
                </c:pt>
                <c:pt idx="172">
                  <c:v>44536</c:v>
                </c:pt>
                <c:pt idx="173">
                  <c:v>44537</c:v>
                </c:pt>
                <c:pt idx="174">
                  <c:v>44538</c:v>
                </c:pt>
                <c:pt idx="175">
                  <c:v>44539</c:v>
                </c:pt>
                <c:pt idx="176">
                  <c:v>44540</c:v>
                </c:pt>
                <c:pt idx="177">
                  <c:v>44543</c:v>
                </c:pt>
                <c:pt idx="178">
                  <c:v>44544</c:v>
                </c:pt>
                <c:pt idx="179">
                  <c:v>44545</c:v>
                </c:pt>
                <c:pt idx="180">
                  <c:v>44546</c:v>
                </c:pt>
                <c:pt idx="181">
                  <c:v>44547</c:v>
                </c:pt>
                <c:pt idx="182">
                  <c:v>44550</c:v>
                </c:pt>
                <c:pt idx="183">
                  <c:v>44551</c:v>
                </c:pt>
                <c:pt idx="184">
                  <c:v>44552</c:v>
                </c:pt>
                <c:pt idx="185">
                  <c:v>44553</c:v>
                </c:pt>
                <c:pt idx="186">
                  <c:v>44557</c:v>
                </c:pt>
                <c:pt idx="187">
                  <c:v>44558</c:v>
                </c:pt>
                <c:pt idx="188">
                  <c:v>44559</c:v>
                </c:pt>
                <c:pt idx="189">
                  <c:v>44560</c:v>
                </c:pt>
                <c:pt idx="190">
                  <c:v>44561</c:v>
                </c:pt>
                <c:pt idx="191">
                  <c:v>44564</c:v>
                </c:pt>
                <c:pt idx="192">
                  <c:v>44565</c:v>
                </c:pt>
                <c:pt idx="193">
                  <c:v>44566</c:v>
                </c:pt>
                <c:pt idx="194">
                  <c:v>44567</c:v>
                </c:pt>
                <c:pt idx="195">
                  <c:v>44568</c:v>
                </c:pt>
                <c:pt idx="196">
                  <c:v>44571</c:v>
                </c:pt>
                <c:pt idx="197">
                  <c:v>44572</c:v>
                </c:pt>
                <c:pt idx="198">
                  <c:v>44573</c:v>
                </c:pt>
                <c:pt idx="199">
                  <c:v>44574</c:v>
                </c:pt>
                <c:pt idx="200">
                  <c:v>44575</c:v>
                </c:pt>
                <c:pt idx="201">
                  <c:v>44579</c:v>
                </c:pt>
                <c:pt idx="202">
                  <c:v>44580</c:v>
                </c:pt>
                <c:pt idx="203">
                  <c:v>44581</c:v>
                </c:pt>
                <c:pt idx="204">
                  <c:v>44582</c:v>
                </c:pt>
                <c:pt idx="205">
                  <c:v>44585</c:v>
                </c:pt>
                <c:pt idx="206">
                  <c:v>44586</c:v>
                </c:pt>
                <c:pt idx="207">
                  <c:v>44587</c:v>
                </c:pt>
                <c:pt idx="208">
                  <c:v>44588</c:v>
                </c:pt>
                <c:pt idx="209">
                  <c:v>44589</c:v>
                </c:pt>
                <c:pt idx="210">
                  <c:v>44592</c:v>
                </c:pt>
                <c:pt idx="211">
                  <c:v>44593</c:v>
                </c:pt>
                <c:pt idx="212">
                  <c:v>44594</c:v>
                </c:pt>
                <c:pt idx="213">
                  <c:v>44595</c:v>
                </c:pt>
                <c:pt idx="214">
                  <c:v>44596</c:v>
                </c:pt>
                <c:pt idx="215">
                  <c:v>44599</c:v>
                </c:pt>
                <c:pt idx="216">
                  <c:v>44600</c:v>
                </c:pt>
                <c:pt idx="217">
                  <c:v>44601</c:v>
                </c:pt>
                <c:pt idx="218">
                  <c:v>44602</c:v>
                </c:pt>
                <c:pt idx="219">
                  <c:v>44603</c:v>
                </c:pt>
                <c:pt idx="220">
                  <c:v>44606</c:v>
                </c:pt>
                <c:pt idx="221">
                  <c:v>44607</c:v>
                </c:pt>
                <c:pt idx="222">
                  <c:v>44608</c:v>
                </c:pt>
                <c:pt idx="223">
                  <c:v>44609</c:v>
                </c:pt>
                <c:pt idx="224">
                  <c:v>44610</c:v>
                </c:pt>
                <c:pt idx="225">
                  <c:v>44614</c:v>
                </c:pt>
                <c:pt idx="226">
                  <c:v>44615</c:v>
                </c:pt>
                <c:pt idx="227">
                  <c:v>44616</c:v>
                </c:pt>
                <c:pt idx="228">
                  <c:v>44617</c:v>
                </c:pt>
                <c:pt idx="229">
                  <c:v>44620</c:v>
                </c:pt>
                <c:pt idx="230">
                  <c:v>44621</c:v>
                </c:pt>
                <c:pt idx="231">
                  <c:v>44622</c:v>
                </c:pt>
                <c:pt idx="232">
                  <c:v>44623</c:v>
                </c:pt>
                <c:pt idx="233">
                  <c:v>44624</c:v>
                </c:pt>
                <c:pt idx="234">
                  <c:v>44627</c:v>
                </c:pt>
                <c:pt idx="235">
                  <c:v>44628</c:v>
                </c:pt>
                <c:pt idx="236">
                  <c:v>44629</c:v>
                </c:pt>
                <c:pt idx="237">
                  <c:v>44630</c:v>
                </c:pt>
                <c:pt idx="238">
                  <c:v>44631</c:v>
                </c:pt>
                <c:pt idx="239">
                  <c:v>44634</c:v>
                </c:pt>
                <c:pt idx="240">
                  <c:v>44635</c:v>
                </c:pt>
                <c:pt idx="241">
                  <c:v>44636</c:v>
                </c:pt>
                <c:pt idx="242">
                  <c:v>44637</c:v>
                </c:pt>
                <c:pt idx="243">
                  <c:v>44638</c:v>
                </c:pt>
                <c:pt idx="244">
                  <c:v>44641</c:v>
                </c:pt>
                <c:pt idx="245">
                  <c:v>44642</c:v>
                </c:pt>
                <c:pt idx="246">
                  <c:v>44643</c:v>
                </c:pt>
                <c:pt idx="247">
                  <c:v>44644</c:v>
                </c:pt>
                <c:pt idx="248">
                  <c:v>44645</c:v>
                </c:pt>
                <c:pt idx="249">
                  <c:v>44648</c:v>
                </c:pt>
                <c:pt idx="250">
                  <c:v>44649</c:v>
                </c:pt>
                <c:pt idx="251">
                  <c:v>44650</c:v>
                </c:pt>
                <c:pt idx="252">
                  <c:v>44651</c:v>
                </c:pt>
                <c:pt idx="253">
                  <c:v>44652</c:v>
                </c:pt>
                <c:pt idx="254">
                  <c:v>44655</c:v>
                </c:pt>
                <c:pt idx="255">
                  <c:v>44656</c:v>
                </c:pt>
                <c:pt idx="256">
                  <c:v>44657</c:v>
                </c:pt>
                <c:pt idx="257">
                  <c:v>44658</c:v>
                </c:pt>
                <c:pt idx="258">
                  <c:v>44659</c:v>
                </c:pt>
                <c:pt idx="259">
                  <c:v>44662</c:v>
                </c:pt>
                <c:pt idx="260">
                  <c:v>44663</c:v>
                </c:pt>
                <c:pt idx="261">
                  <c:v>44664</c:v>
                </c:pt>
                <c:pt idx="262">
                  <c:v>44665</c:v>
                </c:pt>
                <c:pt idx="263">
                  <c:v>44669</c:v>
                </c:pt>
                <c:pt idx="264">
                  <c:v>44670</c:v>
                </c:pt>
                <c:pt idx="265">
                  <c:v>44671</c:v>
                </c:pt>
                <c:pt idx="266">
                  <c:v>44672</c:v>
                </c:pt>
                <c:pt idx="267">
                  <c:v>44673</c:v>
                </c:pt>
                <c:pt idx="268">
                  <c:v>44676</c:v>
                </c:pt>
                <c:pt idx="269">
                  <c:v>44677</c:v>
                </c:pt>
                <c:pt idx="270">
                  <c:v>44678</c:v>
                </c:pt>
                <c:pt idx="271">
                  <c:v>44679</c:v>
                </c:pt>
                <c:pt idx="272">
                  <c:v>44680</c:v>
                </c:pt>
                <c:pt idx="273">
                  <c:v>44683</c:v>
                </c:pt>
                <c:pt idx="274">
                  <c:v>44684</c:v>
                </c:pt>
                <c:pt idx="275">
                  <c:v>44685</c:v>
                </c:pt>
                <c:pt idx="276">
                  <c:v>44686</c:v>
                </c:pt>
                <c:pt idx="277">
                  <c:v>44687</c:v>
                </c:pt>
                <c:pt idx="278">
                  <c:v>44690</c:v>
                </c:pt>
                <c:pt idx="279">
                  <c:v>44691</c:v>
                </c:pt>
                <c:pt idx="280">
                  <c:v>44692</c:v>
                </c:pt>
                <c:pt idx="281">
                  <c:v>44693</c:v>
                </c:pt>
                <c:pt idx="282">
                  <c:v>44694</c:v>
                </c:pt>
                <c:pt idx="283">
                  <c:v>44697</c:v>
                </c:pt>
                <c:pt idx="284">
                  <c:v>44698</c:v>
                </c:pt>
                <c:pt idx="285">
                  <c:v>44699</c:v>
                </c:pt>
                <c:pt idx="286">
                  <c:v>44700</c:v>
                </c:pt>
                <c:pt idx="287">
                  <c:v>44701</c:v>
                </c:pt>
                <c:pt idx="288">
                  <c:v>44704</c:v>
                </c:pt>
                <c:pt idx="289">
                  <c:v>44705</c:v>
                </c:pt>
                <c:pt idx="290">
                  <c:v>44706</c:v>
                </c:pt>
                <c:pt idx="291">
                  <c:v>44707</c:v>
                </c:pt>
                <c:pt idx="292">
                  <c:v>44708</c:v>
                </c:pt>
                <c:pt idx="293">
                  <c:v>44712</c:v>
                </c:pt>
                <c:pt idx="294">
                  <c:v>44713</c:v>
                </c:pt>
                <c:pt idx="295">
                  <c:v>44714</c:v>
                </c:pt>
                <c:pt idx="296">
                  <c:v>44715</c:v>
                </c:pt>
                <c:pt idx="297">
                  <c:v>44718</c:v>
                </c:pt>
                <c:pt idx="298">
                  <c:v>44719</c:v>
                </c:pt>
                <c:pt idx="299">
                  <c:v>44720</c:v>
                </c:pt>
                <c:pt idx="300">
                  <c:v>44721</c:v>
                </c:pt>
                <c:pt idx="301">
                  <c:v>44722</c:v>
                </c:pt>
                <c:pt idx="302">
                  <c:v>44725</c:v>
                </c:pt>
                <c:pt idx="303">
                  <c:v>44726</c:v>
                </c:pt>
                <c:pt idx="304">
                  <c:v>44727</c:v>
                </c:pt>
                <c:pt idx="305">
                  <c:v>44728</c:v>
                </c:pt>
                <c:pt idx="306">
                  <c:v>44729</c:v>
                </c:pt>
                <c:pt idx="307">
                  <c:v>44733</c:v>
                </c:pt>
                <c:pt idx="308">
                  <c:v>44734</c:v>
                </c:pt>
                <c:pt idx="309">
                  <c:v>44735</c:v>
                </c:pt>
                <c:pt idx="310">
                  <c:v>44736</c:v>
                </c:pt>
                <c:pt idx="311">
                  <c:v>44739</c:v>
                </c:pt>
                <c:pt idx="312">
                  <c:v>44740</c:v>
                </c:pt>
                <c:pt idx="313">
                  <c:v>44741</c:v>
                </c:pt>
                <c:pt idx="314">
                  <c:v>44742</c:v>
                </c:pt>
                <c:pt idx="315">
                  <c:v>44743</c:v>
                </c:pt>
                <c:pt idx="316">
                  <c:v>44747</c:v>
                </c:pt>
                <c:pt idx="317">
                  <c:v>44748</c:v>
                </c:pt>
                <c:pt idx="318">
                  <c:v>44749</c:v>
                </c:pt>
                <c:pt idx="319">
                  <c:v>44750</c:v>
                </c:pt>
                <c:pt idx="320">
                  <c:v>44753</c:v>
                </c:pt>
                <c:pt idx="321">
                  <c:v>44754</c:v>
                </c:pt>
                <c:pt idx="322">
                  <c:v>44755</c:v>
                </c:pt>
                <c:pt idx="323">
                  <c:v>44756</c:v>
                </c:pt>
                <c:pt idx="324">
                  <c:v>44757</c:v>
                </c:pt>
                <c:pt idx="325">
                  <c:v>44760</c:v>
                </c:pt>
                <c:pt idx="326">
                  <c:v>44761</c:v>
                </c:pt>
                <c:pt idx="327">
                  <c:v>44762</c:v>
                </c:pt>
                <c:pt idx="328">
                  <c:v>44763</c:v>
                </c:pt>
                <c:pt idx="329">
                  <c:v>44764</c:v>
                </c:pt>
                <c:pt idx="330">
                  <c:v>44767</c:v>
                </c:pt>
                <c:pt idx="331">
                  <c:v>44768</c:v>
                </c:pt>
                <c:pt idx="332">
                  <c:v>44769</c:v>
                </c:pt>
                <c:pt idx="333">
                  <c:v>44770</c:v>
                </c:pt>
                <c:pt idx="334">
                  <c:v>44771</c:v>
                </c:pt>
                <c:pt idx="335">
                  <c:v>44774</c:v>
                </c:pt>
                <c:pt idx="336">
                  <c:v>44775</c:v>
                </c:pt>
                <c:pt idx="337">
                  <c:v>44776</c:v>
                </c:pt>
                <c:pt idx="338">
                  <c:v>44777</c:v>
                </c:pt>
                <c:pt idx="339">
                  <c:v>44778</c:v>
                </c:pt>
                <c:pt idx="340">
                  <c:v>44781</c:v>
                </c:pt>
                <c:pt idx="341">
                  <c:v>44782</c:v>
                </c:pt>
                <c:pt idx="342">
                  <c:v>44783</c:v>
                </c:pt>
                <c:pt idx="343">
                  <c:v>44784</c:v>
                </c:pt>
                <c:pt idx="344">
                  <c:v>44785</c:v>
                </c:pt>
                <c:pt idx="345">
                  <c:v>44788</c:v>
                </c:pt>
                <c:pt idx="346">
                  <c:v>44789</c:v>
                </c:pt>
                <c:pt idx="347">
                  <c:v>44790</c:v>
                </c:pt>
                <c:pt idx="348">
                  <c:v>44791</c:v>
                </c:pt>
                <c:pt idx="349">
                  <c:v>44792</c:v>
                </c:pt>
                <c:pt idx="350">
                  <c:v>44795</c:v>
                </c:pt>
                <c:pt idx="351">
                  <c:v>44796</c:v>
                </c:pt>
                <c:pt idx="352">
                  <c:v>44797</c:v>
                </c:pt>
                <c:pt idx="353">
                  <c:v>44798</c:v>
                </c:pt>
                <c:pt idx="354">
                  <c:v>44799</c:v>
                </c:pt>
                <c:pt idx="355">
                  <c:v>44802</c:v>
                </c:pt>
                <c:pt idx="356">
                  <c:v>44803</c:v>
                </c:pt>
                <c:pt idx="357">
                  <c:v>44804</c:v>
                </c:pt>
                <c:pt idx="358">
                  <c:v>44805</c:v>
                </c:pt>
                <c:pt idx="359">
                  <c:v>44806</c:v>
                </c:pt>
                <c:pt idx="360">
                  <c:v>44810</c:v>
                </c:pt>
                <c:pt idx="361">
                  <c:v>44811</c:v>
                </c:pt>
                <c:pt idx="362">
                  <c:v>44812</c:v>
                </c:pt>
                <c:pt idx="363">
                  <c:v>44813</c:v>
                </c:pt>
                <c:pt idx="364">
                  <c:v>44816</c:v>
                </c:pt>
                <c:pt idx="365">
                  <c:v>44817</c:v>
                </c:pt>
                <c:pt idx="366">
                  <c:v>44818</c:v>
                </c:pt>
                <c:pt idx="367">
                  <c:v>44819</c:v>
                </c:pt>
                <c:pt idx="368">
                  <c:v>44820</c:v>
                </c:pt>
                <c:pt idx="369">
                  <c:v>44823</c:v>
                </c:pt>
                <c:pt idx="370">
                  <c:v>44824</c:v>
                </c:pt>
                <c:pt idx="371">
                  <c:v>44825</c:v>
                </c:pt>
                <c:pt idx="372">
                  <c:v>44826</c:v>
                </c:pt>
                <c:pt idx="373">
                  <c:v>44827</c:v>
                </c:pt>
                <c:pt idx="374">
                  <c:v>44830</c:v>
                </c:pt>
                <c:pt idx="375">
                  <c:v>44831</c:v>
                </c:pt>
                <c:pt idx="376">
                  <c:v>44832</c:v>
                </c:pt>
                <c:pt idx="377">
                  <c:v>44833</c:v>
                </c:pt>
                <c:pt idx="378">
                  <c:v>44834</c:v>
                </c:pt>
                <c:pt idx="379">
                  <c:v>44837</c:v>
                </c:pt>
                <c:pt idx="380">
                  <c:v>44838</c:v>
                </c:pt>
                <c:pt idx="381">
                  <c:v>44839</c:v>
                </c:pt>
                <c:pt idx="382">
                  <c:v>44840</c:v>
                </c:pt>
                <c:pt idx="383">
                  <c:v>44841</c:v>
                </c:pt>
                <c:pt idx="384">
                  <c:v>44844</c:v>
                </c:pt>
                <c:pt idx="385">
                  <c:v>44845</c:v>
                </c:pt>
                <c:pt idx="386">
                  <c:v>44846</c:v>
                </c:pt>
                <c:pt idx="387">
                  <c:v>44847</c:v>
                </c:pt>
                <c:pt idx="388">
                  <c:v>44848</c:v>
                </c:pt>
                <c:pt idx="389">
                  <c:v>44851</c:v>
                </c:pt>
                <c:pt idx="390">
                  <c:v>44852</c:v>
                </c:pt>
                <c:pt idx="391">
                  <c:v>44853</c:v>
                </c:pt>
                <c:pt idx="392">
                  <c:v>44854</c:v>
                </c:pt>
                <c:pt idx="393">
                  <c:v>44855</c:v>
                </c:pt>
                <c:pt idx="394">
                  <c:v>44858</c:v>
                </c:pt>
                <c:pt idx="395">
                  <c:v>44859</c:v>
                </c:pt>
                <c:pt idx="396">
                  <c:v>44860</c:v>
                </c:pt>
                <c:pt idx="397">
                  <c:v>44861</c:v>
                </c:pt>
                <c:pt idx="398">
                  <c:v>44862</c:v>
                </c:pt>
                <c:pt idx="399">
                  <c:v>44865</c:v>
                </c:pt>
                <c:pt idx="400">
                  <c:v>44866</c:v>
                </c:pt>
                <c:pt idx="401">
                  <c:v>44867</c:v>
                </c:pt>
                <c:pt idx="402">
                  <c:v>44868</c:v>
                </c:pt>
                <c:pt idx="403">
                  <c:v>44869</c:v>
                </c:pt>
                <c:pt idx="404">
                  <c:v>44872</c:v>
                </c:pt>
                <c:pt idx="405">
                  <c:v>44873</c:v>
                </c:pt>
                <c:pt idx="406">
                  <c:v>44874</c:v>
                </c:pt>
                <c:pt idx="407">
                  <c:v>44875</c:v>
                </c:pt>
                <c:pt idx="408">
                  <c:v>44876</c:v>
                </c:pt>
                <c:pt idx="409">
                  <c:v>44879</c:v>
                </c:pt>
                <c:pt idx="410">
                  <c:v>44880</c:v>
                </c:pt>
                <c:pt idx="411">
                  <c:v>44881</c:v>
                </c:pt>
                <c:pt idx="412">
                  <c:v>44882</c:v>
                </c:pt>
                <c:pt idx="413">
                  <c:v>44883</c:v>
                </c:pt>
                <c:pt idx="414">
                  <c:v>44886</c:v>
                </c:pt>
                <c:pt idx="415">
                  <c:v>44887</c:v>
                </c:pt>
                <c:pt idx="416">
                  <c:v>44888</c:v>
                </c:pt>
                <c:pt idx="417">
                  <c:v>44890</c:v>
                </c:pt>
                <c:pt idx="418">
                  <c:v>44893</c:v>
                </c:pt>
                <c:pt idx="419">
                  <c:v>44894</c:v>
                </c:pt>
                <c:pt idx="420">
                  <c:v>44895</c:v>
                </c:pt>
                <c:pt idx="421">
                  <c:v>44896</c:v>
                </c:pt>
                <c:pt idx="422">
                  <c:v>44897</c:v>
                </c:pt>
                <c:pt idx="423">
                  <c:v>44900</c:v>
                </c:pt>
                <c:pt idx="424">
                  <c:v>44901</c:v>
                </c:pt>
                <c:pt idx="425">
                  <c:v>44902</c:v>
                </c:pt>
                <c:pt idx="426">
                  <c:v>44903</c:v>
                </c:pt>
                <c:pt idx="427">
                  <c:v>44904</c:v>
                </c:pt>
                <c:pt idx="428">
                  <c:v>44907</c:v>
                </c:pt>
                <c:pt idx="429">
                  <c:v>44908</c:v>
                </c:pt>
                <c:pt idx="430">
                  <c:v>44909</c:v>
                </c:pt>
                <c:pt idx="431">
                  <c:v>44910</c:v>
                </c:pt>
                <c:pt idx="432">
                  <c:v>44911</c:v>
                </c:pt>
                <c:pt idx="433">
                  <c:v>44914</c:v>
                </c:pt>
                <c:pt idx="434">
                  <c:v>44915</c:v>
                </c:pt>
                <c:pt idx="435">
                  <c:v>44916</c:v>
                </c:pt>
                <c:pt idx="436">
                  <c:v>44917</c:v>
                </c:pt>
                <c:pt idx="437">
                  <c:v>44918</c:v>
                </c:pt>
                <c:pt idx="438">
                  <c:v>44922</c:v>
                </c:pt>
                <c:pt idx="439">
                  <c:v>44923</c:v>
                </c:pt>
                <c:pt idx="440">
                  <c:v>44924</c:v>
                </c:pt>
                <c:pt idx="441">
                  <c:v>44925</c:v>
                </c:pt>
                <c:pt idx="442">
                  <c:v>44929</c:v>
                </c:pt>
                <c:pt idx="443">
                  <c:v>44930</c:v>
                </c:pt>
                <c:pt idx="444">
                  <c:v>44931</c:v>
                </c:pt>
                <c:pt idx="445">
                  <c:v>44932</c:v>
                </c:pt>
                <c:pt idx="446">
                  <c:v>44935</c:v>
                </c:pt>
                <c:pt idx="447">
                  <c:v>44936</c:v>
                </c:pt>
                <c:pt idx="448">
                  <c:v>44937</c:v>
                </c:pt>
                <c:pt idx="449">
                  <c:v>44938</c:v>
                </c:pt>
                <c:pt idx="450">
                  <c:v>44939</c:v>
                </c:pt>
                <c:pt idx="451">
                  <c:v>44943</c:v>
                </c:pt>
                <c:pt idx="452">
                  <c:v>44944</c:v>
                </c:pt>
                <c:pt idx="453">
                  <c:v>44945</c:v>
                </c:pt>
                <c:pt idx="454">
                  <c:v>44946</c:v>
                </c:pt>
                <c:pt idx="455">
                  <c:v>44949</c:v>
                </c:pt>
                <c:pt idx="456">
                  <c:v>44950</c:v>
                </c:pt>
                <c:pt idx="457">
                  <c:v>44951</c:v>
                </c:pt>
                <c:pt idx="458">
                  <c:v>44952</c:v>
                </c:pt>
                <c:pt idx="459">
                  <c:v>44953</c:v>
                </c:pt>
                <c:pt idx="460">
                  <c:v>44956</c:v>
                </c:pt>
                <c:pt idx="461">
                  <c:v>44957</c:v>
                </c:pt>
                <c:pt idx="462">
                  <c:v>44958</c:v>
                </c:pt>
                <c:pt idx="463">
                  <c:v>44959</c:v>
                </c:pt>
                <c:pt idx="464">
                  <c:v>44960</c:v>
                </c:pt>
                <c:pt idx="465">
                  <c:v>44963</c:v>
                </c:pt>
                <c:pt idx="466">
                  <c:v>44964</c:v>
                </c:pt>
                <c:pt idx="467">
                  <c:v>44965</c:v>
                </c:pt>
                <c:pt idx="468">
                  <c:v>44966</c:v>
                </c:pt>
                <c:pt idx="469">
                  <c:v>44967</c:v>
                </c:pt>
                <c:pt idx="470">
                  <c:v>44970</c:v>
                </c:pt>
                <c:pt idx="471">
                  <c:v>44971</c:v>
                </c:pt>
                <c:pt idx="472">
                  <c:v>44972</c:v>
                </c:pt>
                <c:pt idx="473">
                  <c:v>44973</c:v>
                </c:pt>
                <c:pt idx="474">
                  <c:v>44974</c:v>
                </c:pt>
                <c:pt idx="475">
                  <c:v>44978</c:v>
                </c:pt>
                <c:pt idx="476">
                  <c:v>44979</c:v>
                </c:pt>
                <c:pt idx="477">
                  <c:v>44980</c:v>
                </c:pt>
                <c:pt idx="478">
                  <c:v>44981</c:v>
                </c:pt>
                <c:pt idx="479">
                  <c:v>44984</c:v>
                </c:pt>
                <c:pt idx="480">
                  <c:v>44985</c:v>
                </c:pt>
                <c:pt idx="481">
                  <c:v>44986</c:v>
                </c:pt>
                <c:pt idx="482">
                  <c:v>44987</c:v>
                </c:pt>
                <c:pt idx="483">
                  <c:v>44988</c:v>
                </c:pt>
                <c:pt idx="484">
                  <c:v>44991</c:v>
                </c:pt>
                <c:pt idx="485">
                  <c:v>44992</c:v>
                </c:pt>
                <c:pt idx="486">
                  <c:v>44993</c:v>
                </c:pt>
                <c:pt idx="487">
                  <c:v>44994</c:v>
                </c:pt>
                <c:pt idx="488">
                  <c:v>44995</c:v>
                </c:pt>
                <c:pt idx="489">
                  <c:v>44998</c:v>
                </c:pt>
                <c:pt idx="490">
                  <c:v>44999</c:v>
                </c:pt>
                <c:pt idx="491">
                  <c:v>45000</c:v>
                </c:pt>
                <c:pt idx="492">
                  <c:v>45001</c:v>
                </c:pt>
                <c:pt idx="493">
                  <c:v>45002</c:v>
                </c:pt>
                <c:pt idx="494">
                  <c:v>45005</c:v>
                </c:pt>
                <c:pt idx="495">
                  <c:v>45006</c:v>
                </c:pt>
                <c:pt idx="496">
                  <c:v>45007</c:v>
                </c:pt>
                <c:pt idx="497">
                  <c:v>45008</c:v>
                </c:pt>
                <c:pt idx="498">
                  <c:v>45009</c:v>
                </c:pt>
                <c:pt idx="499">
                  <c:v>45012</c:v>
                </c:pt>
                <c:pt idx="500">
                  <c:v>45013</c:v>
                </c:pt>
                <c:pt idx="501">
                  <c:v>45014</c:v>
                </c:pt>
                <c:pt idx="502">
                  <c:v>45015</c:v>
                </c:pt>
                <c:pt idx="503">
                  <c:v>45016</c:v>
                </c:pt>
                <c:pt idx="504">
                  <c:v>45019</c:v>
                </c:pt>
                <c:pt idx="505">
                  <c:v>45020</c:v>
                </c:pt>
                <c:pt idx="506">
                  <c:v>45021</c:v>
                </c:pt>
                <c:pt idx="507">
                  <c:v>45022</c:v>
                </c:pt>
                <c:pt idx="508">
                  <c:v>45026</c:v>
                </c:pt>
                <c:pt idx="509">
                  <c:v>45027</c:v>
                </c:pt>
                <c:pt idx="510">
                  <c:v>45028</c:v>
                </c:pt>
                <c:pt idx="511">
                  <c:v>45029</c:v>
                </c:pt>
                <c:pt idx="512">
                  <c:v>45030</c:v>
                </c:pt>
                <c:pt idx="513">
                  <c:v>45033</c:v>
                </c:pt>
                <c:pt idx="514">
                  <c:v>45034</c:v>
                </c:pt>
                <c:pt idx="515">
                  <c:v>45035</c:v>
                </c:pt>
                <c:pt idx="516">
                  <c:v>45036</c:v>
                </c:pt>
                <c:pt idx="517">
                  <c:v>45037</c:v>
                </c:pt>
                <c:pt idx="518">
                  <c:v>45040</c:v>
                </c:pt>
                <c:pt idx="519">
                  <c:v>45041</c:v>
                </c:pt>
                <c:pt idx="520">
                  <c:v>45042</c:v>
                </c:pt>
                <c:pt idx="521">
                  <c:v>45043</c:v>
                </c:pt>
                <c:pt idx="522">
                  <c:v>45044</c:v>
                </c:pt>
                <c:pt idx="523">
                  <c:v>45047</c:v>
                </c:pt>
                <c:pt idx="524">
                  <c:v>45048</c:v>
                </c:pt>
                <c:pt idx="525">
                  <c:v>45049</c:v>
                </c:pt>
                <c:pt idx="526">
                  <c:v>45050</c:v>
                </c:pt>
                <c:pt idx="527">
                  <c:v>45051</c:v>
                </c:pt>
                <c:pt idx="528">
                  <c:v>45054</c:v>
                </c:pt>
                <c:pt idx="529">
                  <c:v>45055</c:v>
                </c:pt>
                <c:pt idx="530">
                  <c:v>45056</c:v>
                </c:pt>
                <c:pt idx="531">
                  <c:v>45057</c:v>
                </c:pt>
                <c:pt idx="532">
                  <c:v>45058</c:v>
                </c:pt>
                <c:pt idx="533">
                  <c:v>45061</c:v>
                </c:pt>
                <c:pt idx="534">
                  <c:v>45062</c:v>
                </c:pt>
                <c:pt idx="535">
                  <c:v>45063</c:v>
                </c:pt>
                <c:pt idx="536">
                  <c:v>45064</c:v>
                </c:pt>
                <c:pt idx="537">
                  <c:v>45065</c:v>
                </c:pt>
                <c:pt idx="538">
                  <c:v>45068</c:v>
                </c:pt>
                <c:pt idx="539">
                  <c:v>45069</c:v>
                </c:pt>
                <c:pt idx="540">
                  <c:v>45070</c:v>
                </c:pt>
                <c:pt idx="541">
                  <c:v>45071</c:v>
                </c:pt>
                <c:pt idx="542">
                  <c:v>45072</c:v>
                </c:pt>
                <c:pt idx="543">
                  <c:v>45076</c:v>
                </c:pt>
                <c:pt idx="544">
                  <c:v>45077</c:v>
                </c:pt>
                <c:pt idx="545">
                  <c:v>45078</c:v>
                </c:pt>
                <c:pt idx="546">
                  <c:v>45079</c:v>
                </c:pt>
                <c:pt idx="547">
                  <c:v>45082</c:v>
                </c:pt>
                <c:pt idx="548">
                  <c:v>45083</c:v>
                </c:pt>
                <c:pt idx="549">
                  <c:v>45084</c:v>
                </c:pt>
                <c:pt idx="550">
                  <c:v>45085</c:v>
                </c:pt>
                <c:pt idx="551">
                  <c:v>45086</c:v>
                </c:pt>
                <c:pt idx="552">
                  <c:v>45089</c:v>
                </c:pt>
                <c:pt idx="553">
                  <c:v>45090</c:v>
                </c:pt>
                <c:pt idx="554">
                  <c:v>45091</c:v>
                </c:pt>
                <c:pt idx="555">
                  <c:v>45092</c:v>
                </c:pt>
                <c:pt idx="556">
                  <c:v>45093</c:v>
                </c:pt>
                <c:pt idx="557">
                  <c:v>45097</c:v>
                </c:pt>
                <c:pt idx="558">
                  <c:v>45098</c:v>
                </c:pt>
                <c:pt idx="559">
                  <c:v>45099</c:v>
                </c:pt>
                <c:pt idx="560">
                  <c:v>45100</c:v>
                </c:pt>
                <c:pt idx="561">
                  <c:v>45103</c:v>
                </c:pt>
                <c:pt idx="562">
                  <c:v>45104</c:v>
                </c:pt>
                <c:pt idx="563">
                  <c:v>45105</c:v>
                </c:pt>
                <c:pt idx="564">
                  <c:v>45106</c:v>
                </c:pt>
                <c:pt idx="565">
                  <c:v>45107</c:v>
                </c:pt>
                <c:pt idx="566">
                  <c:v>45110</c:v>
                </c:pt>
                <c:pt idx="567">
                  <c:v>45112</c:v>
                </c:pt>
                <c:pt idx="568">
                  <c:v>45113</c:v>
                </c:pt>
                <c:pt idx="569">
                  <c:v>45114</c:v>
                </c:pt>
                <c:pt idx="570">
                  <c:v>45117</c:v>
                </c:pt>
                <c:pt idx="571">
                  <c:v>45118</c:v>
                </c:pt>
                <c:pt idx="572">
                  <c:v>45119</c:v>
                </c:pt>
                <c:pt idx="573">
                  <c:v>45120</c:v>
                </c:pt>
                <c:pt idx="574">
                  <c:v>45121</c:v>
                </c:pt>
                <c:pt idx="575">
                  <c:v>45124</c:v>
                </c:pt>
                <c:pt idx="576">
                  <c:v>45125</c:v>
                </c:pt>
                <c:pt idx="577">
                  <c:v>45126</c:v>
                </c:pt>
                <c:pt idx="578">
                  <c:v>45127</c:v>
                </c:pt>
                <c:pt idx="579">
                  <c:v>45128</c:v>
                </c:pt>
                <c:pt idx="580">
                  <c:v>45131</c:v>
                </c:pt>
                <c:pt idx="581">
                  <c:v>45132</c:v>
                </c:pt>
                <c:pt idx="582">
                  <c:v>45133</c:v>
                </c:pt>
                <c:pt idx="583">
                  <c:v>45134</c:v>
                </c:pt>
                <c:pt idx="584">
                  <c:v>45135</c:v>
                </c:pt>
                <c:pt idx="585">
                  <c:v>45138</c:v>
                </c:pt>
                <c:pt idx="586">
                  <c:v>45139</c:v>
                </c:pt>
                <c:pt idx="587">
                  <c:v>45140</c:v>
                </c:pt>
                <c:pt idx="588">
                  <c:v>45141</c:v>
                </c:pt>
                <c:pt idx="589">
                  <c:v>45142</c:v>
                </c:pt>
                <c:pt idx="590">
                  <c:v>45145</c:v>
                </c:pt>
                <c:pt idx="591">
                  <c:v>45146</c:v>
                </c:pt>
                <c:pt idx="592">
                  <c:v>45147</c:v>
                </c:pt>
                <c:pt idx="593">
                  <c:v>45148</c:v>
                </c:pt>
                <c:pt idx="594">
                  <c:v>45149</c:v>
                </c:pt>
                <c:pt idx="595">
                  <c:v>45152</c:v>
                </c:pt>
                <c:pt idx="596">
                  <c:v>45153</c:v>
                </c:pt>
                <c:pt idx="597">
                  <c:v>45154</c:v>
                </c:pt>
                <c:pt idx="598">
                  <c:v>45155</c:v>
                </c:pt>
                <c:pt idx="599">
                  <c:v>45156</c:v>
                </c:pt>
                <c:pt idx="600">
                  <c:v>45159</c:v>
                </c:pt>
                <c:pt idx="601">
                  <c:v>45160</c:v>
                </c:pt>
                <c:pt idx="602">
                  <c:v>45161</c:v>
                </c:pt>
                <c:pt idx="603">
                  <c:v>45162</c:v>
                </c:pt>
                <c:pt idx="604">
                  <c:v>45163</c:v>
                </c:pt>
                <c:pt idx="605">
                  <c:v>45166</c:v>
                </c:pt>
                <c:pt idx="606">
                  <c:v>45167</c:v>
                </c:pt>
                <c:pt idx="607">
                  <c:v>45168</c:v>
                </c:pt>
                <c:pt idx="608">
                  <c:v>45169</c:v>
                </c:pt>
                <c:pt idx="609">
                  <c:v>45170</c:v>
                </c:pt>
                <c:pt idx="610">
                  <c:v>45174</c:v>
                </c:pt>
                <c:pt idx="611">
                  <c:v>45175</c:v>
                </c:pt>
                <c:pt idx="612">
                  <c:v>45176</c:v>
                </c:pt>
                <c:pt idx="613">
                  <c:v>45177</c:v>
                </c:pt>
                <c:pt idx="614">
                  <c:v>45180</c:v>
                </c:pt>
                <c:pt idx="615">
                  <c:v>45181</c:v>
                </c:pt>
                <c:pt idx="616">
                  <c:v>45182</c:v>
                </c:pt>
                <c:pt idx="617">
                  <c:v>45183</c:v>
                </c:pt>
                <c:pt idx="618">
                  <c:v>45184</c:v>
                </c:pt>
                <c:pt idx="619">
                  <c:v>45187</c:v>
                </c:pt>
                <c:pt idx="620">
                  <c:v>45188</c:v>
                </c:pt>
                <c:pt idx="621">
                  <c:v>45189</c:v>
                </c:pt>
                <c:pt idx="622">
                  <c:v>45190</c:v>
                </c:pt>
                <c:pt idx="623">
                  <c:v>45191</c:v>
                </c:pt>
                <c:pt idx="624">
                  <c:v>45194</c:v>
                </c:pt>
                <c:pt idx="625">
                  <c:v>45195</c:v>
                </c:pt>
                <c:pt idx="626">
                  <c:v>45196</c:v>
                </c:pt>
                <c:pt idx="627">
                  <c:v>45197</c:v>
                </c:pt>
                <c:pt idx="628">
                  <c:v>45198</c:v>
                </c:pt>
                <c:pt idx="629">
                  <c:v>45201</c:v>
                </c:pt>
                <c:pt idx="630">
                  <c:v>45202</c:v>
                </c:pt>
                <c:pt idx="631">
                  <c:v>45203</c:v>
                </c:pt>
                <c:pt idx="632">
                  <c:v>45204</c:v>
                </c:pt>
                <c:pt idx="633">
                  <c:v>45205</c:v>
                </c:pt>
                <c:pt idx="634">
                  <c:v>45208</c:v>
                </c:pt>
                <c:pt idx="635">
                  <c:v>45209</c:v>
                </c:pt>
                <c:pt idx="636">
                  <c:v>45210</c:v>
                </c:pt>
                <c:pt idx="637">
                  <c:v>45211</c:v>
                </c:pt>
                <c:pt idx="638">
                  <c:v>45212</c:v>
                </c:pt>
                <c:pt idx="639">
                  <c:v>45215</c:v>
                </c:pt>
                <c:pt idx="640">
                  <c:v>45216</c:v>
                </c:pt>
                <c:pt idx="641">
                  <c:v>45217</c:v>
                </c:pt>
                <c:pt idx="642">
                  <c:v>45218</c:v>
                </c:pt>
                <c:pt idx="643">
                  <c:v>45219</c:v>
                </c:pt>
                <c:pt idx="644">
                  <c:v>45222</c:v>
                </c:pt>
                <c:pt idx="645">
                  <c:v>45223</c:v>
                </c:pt>
                <c:pt idx="646">
                  <c:v>45224</c:v>
                </c:pt>
                <c:pt idx="647">
                  <c:v>45225</c:v>
                </c:pt>
                <c:pt idx="648">
                  <c:v>45226</c:v>
                </c:pt>
                <c:pt idx="649">
                  <c:v>45229</c:v>
                </c:pt>
                <c:pt idx="650">
                  <c:v>45230</c:v>
                </c:pt>
                <c:pt idx="651">
                  <c:v>45231</c:v>
                </c:pt>
                <c:pt idx="652">
                  <c:v>45232</c:v>
                </c:pt>
                <c:pt idx="653">
                  <c:v>45233</c:v>
                </c:pt>
                <c:pt idx="654">
                  <c:v>45236</c:v>
                </c:pt>
                <c:pt idx="655">
                  <c:v>45237</c:v>
                </c:pt>
                <c:pt idx="656">
                  <c:v>45238</c:v>
                </c:pt>
                <c:pt idx="657">
                  <c:v>45239</c:v>
                </c:pt>
                <c:pt idx="658">
                  <c:v>45240</c:v>
                </c:pt>
                <c:pt idx="659">
                  <c:v>45243</c:v>
                </c:pt>
                <c:pt idx="660">
                  <c:v>45244</c:v>
                </c:pt>
                <c:pt idx="661">
                  <c:v>45245</c:v>
                </c:pt>
                <c:pt idx="662">
                  <c:v>45246</c:v>
                </c:pt>
                <c:pt idx="663">
                  <c:v>45247</c:v>
                </c:pt>
                <c:pt idx="664">
                  <c:v>45250</c:v>
                </c:pt>
                <c:pt idx="665">
                  <c:v>45251</c:v>
                </c:pt>
                <c:pt idx="666">
                  <c:v>45252</c:v>
                </c:pt>
                <c:pt idx="667">
                  <c:v>45254</c:v>
                </c:pt>
                <c:pt idx="668">
                  <c:v>45257</c:v>
                </c:pt>
                <c:pt idx="669">
                  <c:v>45258</c:v>
                </c:pt>
                <c:pt idx="670">
                  <c:v>45259</c:v>
                </c:pt>
                <c:pt idx="671">
                  <c:v>45260</c:v>
                </c:pt>
                <c:pt idx="672">
                  <c:v>45261</c:v>
                </c:pt>
                <c:pt idx="673">
                  <c:v>45264</c:v>
                </c:pt>
                <c:pt idx="674">
                  <c:v>45265</c:v>
                </c:pt>
                <c:pt idx="675">
                  <c:v>45266</c:v>
                </c:pt>
                <c:pt idx="676">
                  <c:v>45267</c:v>
                </c:pt>
                <c:pt idx="677">
                  <c:v>45268</c:v>
                </c:pt>
                <c:pt idx="678">
                  <c:v>45271</c:v>
                </c:pt>
                <c:pt idx="679">
                  <c:v>45272</c:v>
                </c:pt>
                <c:pt idx="680">
                  <c:v>45273</c:v>
                </c:pt>
                <c:pt idx="681">
                  <c:v>45274</c:v>
                </c:pt>
                <c:pt idx="682">
                  <c:v>45275</c:v>
                </c:pt>
                <c:pt idx="683">
                  <c:v>45278</c:v>
                </c:pt>
                <c:pt idx="684">
                  <c:v>45279</c:v>
                </c:pt>
                <c:pt idx="685">
                  <c:v>45280</c:v>
                </c:pt>
                <c:pt idx="686">
                  <c:v>45281</c:v>
                </c:pt>
                <c:pt idx="687">
                  <c:v>45282</c:v>
                </c:pt>
                <c:pt idx="688">
                  <c:v>45286</c:v>
                </c:pt>
                <c:pt idx="689">
                  <c:v>45287</c:v>
                </c:pt>
                <c:pt idx="690">
                  <c:v>45288</c:v>
                </c:pt>
                <c:pt idx="691">
                  <c:v>45289</c:v>
                </c:pt>
                <c:pt idx="692">
                  <c:v>45293</c:v>
                </c:pt>
                <c:pt idx="693">
                  <c:v>45294</c:v>
                </c:pt>
                <c:pt idx="694">
                  <c:v>45295</c:v>
                </c:pt>
                <c:pt idx="695">
                  <c:v>45296</c:v>
                </c:pt>
                <c:pt idx="696">
                  <c:v>45299</c:v>
                </c:pt>
                <c:pt idx="697">
                  <c:v>45300</c:v>
                </c:pt>
                <c:pt idx="698">
                  <c:v>45301</c:v>
                </c:pt>
                <c:pt idx="699">
                  <c:v>45302</c:v>
                </c:pt>
                <c:pt idx="700">
                  <c:v>45303</c:v>
                </c:pt>
                <c:pt idx="701">
                  <c:v>45307</c:v>
                </c:pt>
                <c:pt idx="702">
                  <c:v>45308</c:v>
                </c:pt>
                <c:pt idx="703">
                  <c:v>45309</c:v>
                </c:pt>
                <c:pt idx="704">
                  <c:v>45310</c:v>
                </c:pt>
                <c:pt idx="705">
                  <c:v>45313</c:v>
                </c:pt>
                <c:pt idx="706">
                  <c:v>45314</c:v>
                </c:pt>
                <c:pt idx="707">
                  <c:v>45315</c:v>
                </c:pt>
                <c:pt idx="708">
                  <c:v>45316</c:v>
                </c:pt>
                <c:pt idx="709">
                  <c:v>45317</c:v>
                </c:pt>
                <c:pt idx="710">
                  <c:v>45320</c:v>
                </c:pt>
                <c:pt idx="711">
                  <c:v>45321</c:v>
                </c:pt>
                <c:pt idx="712">
                  <c:v>45322</c:v>
                </c:pt>
                <c:pt idx="713">
                  <c:v>45323</c:v>
                </c:pt>
                <c:pt idx="714">
                  <c:v>45324</c:v>
                </c:pt>
                <c:pt idx="715">
                  <c:v>45327</c:v>
                </c:pt>
                <c:pt idx="716">
                  <c:v>45328</c:v>
                </c:pt>
                <c:pt idx="717">
                  <c:v>45329</c:v>
                </c:pt>
                <c:pt idx="718">
                  <c:v>45330</c:v>
                </c:pt>
                <c:pt idx="719">
                  <c:v>45331</c:v>
                </c:pt>
                <c:pt idx="720">
                  <c:v>45334</c:v>
                </c:pt>
                <c:pt idx="721">
                  <c:v>45335</c:v>
                </c:pt>
                <c:pt idx="722">
                  <c:v>45336</c:v>
                </c:pt>
                <c:pt idx="723">
                  <c:v>45337</c:v>
                </c:pt>
                <c:pt idx="724">
                  <c:v>45338</c:v>
                </c:pt>
                <c:pt idx="725">
                  <c:v>45342</c:v>
                </c:pt>
                <c:pt idx="726">
                  <c:v>45343</c:v>
                </c:pt>
                <c:pt idx="727">
                  <c:v>45344</c:v>
                </c:pt>
                <c:pt idx="728">
                  <c:v>45345</c:v>
                </c:pt>
                <c:pt idx="729">
                  <c:v>45348</c:v>
                </c:pt>
                <c:pt idx="730">
                  <c:v>45349</c:v>
                </c:pt>
                <c:pt idx="731">
                  <c:v>45350</c:v>
                </c:pt>
                <c:pt idx="732">
                  <c:v>45351</c:v>
                </c:pt>
                <c:pt idx="733">
                  <c:v>45352</c:v>
                </c:pt>
                <c:pt idx="734">
                  <c:v>45355</c:v>
                </c:pt>
                <c:pt idx="735">
                  <c:v>45356</c:v>
                </c:pt>
                <c:pt idx="736">
                  <c:v>45357</c:v>
                </c:pt>
                <c:pt idx="737">
                  <c:v>45358</c:v>
                </c:pt>
                <c:pt idx="738">
                  <c:v>45359</c:v>
                </c:pt>
                <c:pt idx="739">
                  <c:v>45362</c:v>
                </c:pt>
                <c:pt idx="740">
                  <c:v>45363</c:v>
                </c:pt>
                <c:pt idx="741">
                  <c:v>45364</c:v>
                </c:pt>
                <c:pt idx="742">
                  <c:v>45365</c:v>
                </c:pt>
                <c:pt idx="743">
                  <c:v>45366</c:v>
                </c:pt>
                <c:pt idx="744">
                  <c:v>45369</c:v>
                </c:pt>
                <c:pt idx="745">
                  <c:v>45370</c:v>
                </c:pt>
                <c:pt idx="746">
                  <c:v>45371</c:v>
                </c:pt>
                <c:pt idx="747">
                  <c:v>45372</c:v>
                </c:pt>
                <c:pt idx="748">
                  <c:v>45373</c:v>
                </c:pt>
                <c:pt idx="749">
                  <c:v>45376</c:v>
                </c:pt>
                <c:pt idx="750">
                  <c:v>45377</c:v>
                </c:pt>
                <c:pt idx="751">
                  <c:v>45378</c:v>
                </c:pt>
                <c:pt idx="752">
                  <c:v>45379</c:v>
                </c:pt>
                <c:pt idx="753">
                  <c:v>45383</c:v>
                </c:pt>
                <c:pt idx="754">
                  <c:v>45384</c:v>
                </c:pt>
                <c:pt idx="755">
                  <c:v>45385</c:v>
                </c:pt>
                <c:pt idx="756">
                  <c:v>45386</c:v>
                </c:pt>
                <c:pt idx="757">
                  <c:v>45387</c:v>
                </c:pt>
                <c:pt idx="758">
                  <c:v>45390</c:v>
                </c:pt>
                <c:pt idx="759">
                  <c:v>45391</c:v>
                </c:pt>
                <c:pt idx="760">
                  <c:v>45392</c:v>
                </c:pt>
                <c:pt idx="761">
                  <c:v>45393</c:v>
                </c:pt>
                <c:pt idx="762">
                  <c:v>45394</c:v>
                </c:pt>
                <c:pt idx="763">
                  <c:v>45397</c:v>
                </c:pt>
                <c:pt idx="764">
                  <c:v>45398</c:v>
                </c:pt>
                <c:pt idx="765">
                  <c:v>45399</c:v>
                </c:pt>
                <c:pt idx="766">
                  <c:v>45400</c:v>
                </c:pt>
                <c:pt idx="767">
                  <c:v>45401</c:v>
                </c:pt>
                <c:pt idx="768">
                  <c:v>45404</c:v>
                </c:pt>
                <c:pt idx="769">
                  <c:v>45405</c:v>
                </c:pt>
                <c:pt idx="770">
                  <c:v>45406</c:v>
                </c:pt>
                <c:pt idx="771">
                  <c:v>45407</c:v>
                </c:pt>
                <c:pt idx="772">
                  <c:v>45408</c:v>
                </c:pt>
                <c:pt idx="773">
                  <c:v>45411</c:v>
                </c:pt>
                <c:pt idx="774">
                  <c:v>45412</c:v>
                </c:pt>
                <c:pt idx="775">
                  <c:v>45413</c:v>
                </c:pt>
                <c:pt idx="776">
                  <c:v>45414</c:v>
                </c:pt>
                <c:pt idx="777">
                  <c:v>45415</c:v>
                </c:pt>
                <c:pt idx="778">
                  <c:v>45418</c:v>
                </c:pt>
                <c:pt idx="779">
                  <c:v>45419</c:v>
                </c:pt>
                <c:pt idx="780">
                  <c:v>45420</c:v>
                </c:pt>
                <c:pt idx="781">
                  <c:v>45421</c:v>
                </c:pt>
                <c:pt idx="782">
                  <c:v>45422</c:v>
                </c:pt>
                <c:pt idx="783">
                  <c:v>45425</c:v>
                </c:pt>
                <c:pt idx="784">
                  <c:v>45426</c:v>
                </c:pt>
                <c:pt idx="785">
                  <c:v>45427</c:v>
                </c:pt>
                <c:pt idx="786">
                  <c:v>45428</c:v>
                </c:pt>
                <c:pt idx="787">
                  <c:v>45429</c:v>
                </c:pt>
                <c:pt idx="788">
                  <c:v>45432</c:v>
                </c:pt>
                <c:pt idx="789">
                  <c:v>45433</c:v>
                </c:pt>
                <c:pt idx="790">
                  <c:v>45434</c:v>
                </c:pt>
                <c:pt idx="791">
                  <c:v>45435</c:v>
                </c:pt>
                <c:pt idx="792">
                  <c:v>45436</c:v>
                </c:pt>
                <c:pt idx="793">
                  <c:v>45440</c:v>
                </c:pt>
                <c:pt idx="794">
                  <c:v>45441</c:v>
                </c:pt>
                <c:pt idx="795">
                  <c:v>45442</c:v>
                </c:pt>
                <c:pt idx="796">
                  <c:v>45443</c:v>
                </c:pt>
                <c:pt idx="797">
                  <c:v>45446</c:v>
                </c:pt>
                <c:pt idx="798">
                  <c:v>45447</c:v>
                </c:pt>
                <c:pt idx="799">
                  <c:v>45448</c:v>
                </c:pt>
                <c:pt idx="800">
                  <c:v>45449</c:v>
                </c:pt>
                <c:pt idx="801">
                  <c:v>45450</c:v>
                </c:pt>
                <c:pt idx="802">
                  <c:v>45453</c:v>
                </c:pt>
                <c:pt idx="803">
                  <c:v>45454</c:v>
                </c:pt>
                <c:pt idx="804">
                  <c:v>45455</c:v>
                </c:pt>
                <c:pt idx="805">
                  <c:v>45456</c:v>
                </c:pt>
                <c:pt idx="806">
                  <c:v>45457</c:v>
                </c:pt>
                <c:pt idx="807">
                  <c:v>45460</c:v>
                </c:pt>
                <c:pt idx="808">
                  <c:v>45461</c:v>
                </c:pt>
                <c:pt idx="809">
                  <c:v>45463</c:v>
                </c:pt>
                <c:pt idx="810">
                  <c:v>45464</c:v>
                </c:pt>
                <c:pt idx="811">
                  <c:v>45467</c:v>
                </c:pt>
                <c:pt idx="812">
                  <c:v>45468</c:v>
                </c:pt>
                <c:pt idx="813">
                  <c:v>45469</c:v>
                </c:pt>
                <c:pt idx="814">
                  <c:v>45470</c:v>
                </c:pt>
                <c:pt idx="815">
                  <c:v>45471</c:v>
                </c:pt>
                <c:pt idx="816">
                  <c:v>45474</c:v>
                </c:pt>
                <c:pt idx="817">
                  <c:v>45475</c:v>
                </c:pt>
                <c:pt idx="818">
                  <c:v>45476</c:v>
                </c:pt>
                <c:pt idx="819">
                  <c:v>45478</c:v>
                </c:pt>
                <c:pt idx="820">
                  <c:v>45481</c:v>
                </c:pt>
                <c:pt idx="821">
                  <c:v>45482</c:v>
                </c:pt>
                <c:pt idx="822">
                  <c:v>45483</c:v>
                </c:pt>
                <c:pt idx="823">
                  <c:v>45484</c:v>
                </c:pt>
                <c:pt idx="824">
                  <c:v>45485</c:v>
                </c:pt>
                <c:pt idx="825">
                  <c:v>45488</c:v>
                </c:pt>
                <c:pt idx="826">
                  <c:v>45489</c:v>
                </c:pt>
                <c:pt idx="827">
                  <c:v>45490</c:v>
                </c:pt>
                <c:pt idx="828">
                  <c:v>45491</c:v>
                </c:pt>
                <c:pt idx="829">
                  <c:v>45492</c:v>
                </c:pt>
                <c:pt idx="830">
                  <c:v>45495</c:v>
                </c:pt>
                <c:pt idx="831">
                  <c:v>45496</c:v>
                </c:pt>
                <c:pt idx="832">
                  <c:v>45497</c:v>
                </c:pt>
                <c:pt idx="833">
                  <c:v>45498</c:v>
                </c:pt>
                <c:pt idx="834">
                  <c:v>45499</c:v>
                </c:pt>
                <c:pt idx="835">
                  <c:v>45502</c:v>
                </c:pt>
                <c:pt idx="836">
                  <c:v>45503</c:v>
                </c:pt>
                <c:pt idx="837">
                  <c:v>45504</c:v>
                </c:pt>
                <c:pt idx="838">
                  <c:v>45505</c:v>
                </c:pt>
                <c:pt idx="839">
                  <c:v>45506</c:v>
                </c:pt>
                <c:pt idx="840">
                  <c:v>45509</c:v>
                </c:pt>
                <c:pt idx="841">
                  <c:v>45510</c:v>
                </c:pt>
                <c:pt idx="842">
                  <c:v>45511</c:v>
                </c:pt>
                <c:pt idx="843">
                  <c:v>45512</c:v>
                </c:pt>
                <c:pt idx="844">
                  <c:v>45513</c:v>
                </c:pt>
                <c:pt idx="845">
                  <c:v>45516</c:v>
                </c:pt>
                <c:pt idx="846">
                  <c:v>45517</c:v>
                </c:pt>
                <c:pt idx="847">
                  <c:v>45518</c:v>
                </c:pt>
                <c:pt idx="848">
                  <c:v>45519</c:v>
                </c:pt>
                <c:pt idx="849">
                  <c:v>45520</c:v>
                </c:pt>
                <c:pt idx="850">
                  <c:v>45523</c:v>
                </c:pt>
                <c:pt idx="851">
                  <c:v>45524</c:v>
                </c:pt>
                <c:pt idx="852">
                  <c:v>45525</c:v>
                </c:pt>
                <c:pt idx="853">
                  <c:v>45526</c:v>
                </c:pt>
                <c:pt idx="854">
                  <c:v>45527</c:v>
                </c:pt>
                <c:pt idx="855">
                  <c:v>45530</c:v>
                </c:pt>
                <c:pt idx="856">
                  <c:v>45531</c:v>
                </c:pt>
                <c:pt idx="857">
                  <c:v>45532</c:v>
                </c:pt>
                <c:pt idx="858">
                  <c:v>45533</c:v>
                </c:pt>
                <c:pt idx="859">
                  <c:v>45534</c:v>
                </c:pt>
                <c:pt idx="860">
                  <c:v>45538</c:v>
                </c:pt>
                <c:pt idx="861">
                  <c:v>45539</c:v>
                </c:pt>
                <c:pt idx="862">
                  <c:v>45540</c:v>
                </c:pt>
                <c:pt idx="863">
                  <c:v>45541</c:v>
                </c:pt>
                <c:pt idx="864">
                  <c:v>45544</c:v>
                </c:pt>
                <c:pt idx="865">
                  <c:v>45545</c:v>
                </c:pt>
                <c:pt idx="866">
                  <c:v>45546</c:v>
                </c:pt>
                <c:pt idx="867">
                  <c:v>45547</c:v>
                </c:pt>
                <c:pt idx="868">
                  <c:v>45548</c:v>
                </c:pt>
                <c:pt idx="869">
                  <c:v>45551</c:v>
                </c:pt>
                <c:pt idx="870">
                  <c:v>45552</c:v>
                </c:pt>
                <c:pt idx="871">
                  <c:v>45553</c:v>
                </c:pt>
                <c:pt idx="872">
                  <c:v>45554</c:v>
                </c:pt>
                <c:pt idx="873">
                  <c:v>45555</c:v>
                </c:pt>
                <c:pt idx="874">
                  <c:v>45558</c:v>
                </c:pt>
                <c:pt idx="875">
                  <c:v>45559</c:v>
                </c:pt>
                <c:pt idx="876">
                  <c:v>45560</c:v>
                </c:pt>
                <c:pt idx="877">
                  <c:v>45561</c:v>
                </c:pt>
                <c:pt idx="878">
                  <c:v>45562</c:v>
                </c:pt>
                <c:pt idx="879">
                  <c:v>45565</c:v>
                </c:pt>
                <c:pt idx="880">
                  <c:v>45566</c:v>
                </c:pt>
                <c:pt idx="881">
                  <c:v>45567</c:v>
                </c:pt>
                <c:pt idx="882">
                  <c:v>45568</c:v>
                </c:pt>
                <c:pt idx="883">
                  <c:v>45569</c:v>
                </c:pt>
                <c:pt idx="884">
                  <c:v>45572</c:v>
                </c:pt>
                <c:pt idx="885">
                  <c:v>45573</c:v>
                </c:pt>
                <c:pt idx="886">
                  <c:v>45574</c:v>
                </c:pt>
                <c:pt idx="887">
                  <c:v>45575</c:v>
                </c:pt>
                <c:pt idx="888">
                  <c:v>45576</c:v>
                </c:pt>
                <c:pt idx="889">
                  <c:v>45579</c:v>
                </c:pt>
                <c:pt idx="890">
                  <c:v>45580</c:v>
                </c:pt>
                <c:pt idx="891">
                  <c:v>45581</c:v>
                </c:pt>
                <c:pt idx="892">
                  <c:v>45582</c:v>
                </c:pt>
                <c:pt idx="893">
                  <c:v>45583</c:v>
                </c:pt>
                <c:pt idx="894">
                  <c:v>45586</c:v>
                </c:pt>
                <c:pt idx="895">
                  <c:v>45587</c:v>
                </c:pt>
                <c:pt idx="896">
                  <c:v>45588</c:v>
                </c:pt>
                <c:pt idx="897">
                  <c:v>45589</c:v>
                </c:pt>
                <c:pt idx="898">
                  <c:v>45590</c:v>
                </c:pt>
                <c:pt idx="899">
                  <c:v>45593</c:v>
                </c:pt>
                <c:pt idx="900">
                  <c:v>45594</c:v>
                </c:pt>
                <c:pt idx="901">
                  <c:v>45595</c:v>
                </c:pt>
                <c:pt idx="902">
                  <c:v>45596</c:v>
                </c:pt>
                <c:pt idx="903">
                  <c:v>45597</c:v>
                </c:pt>
                <c:pt idx="904">
                  <c:v>45600</c:v>
                </c:pt>
                <c:pt idx="905">
                  <c:v>45601</c:v>
                </c:pt>
                <c:pt idx="906">
                  <c:v>45602</c:v>
                </c:pt>
                <c:pt idx="907">
                  <c:v>45603</c:v>
                </c:pt>
                <c:pt idx="908">
                  <c:v>45604</c:v>
                </c:pt>
                <c:pt idx="909">
                  <c:v>45607</c:v>
                </c:pt>
                <c:pt idx="910">
                  <c:v>45608</c:v>
                </c:pt>
                <c:pt idx="911">
                  <c:v>45609</c:v>
                </c:pt>
                <c:pt idx="912">
                  <c:v>45610</c:v>
                </c:pt>
                <c:pt idx="913">
                  <c:v>45611</c:v>
                </c:pt>
                <c:pt idx="914">
                  <c:v>45614</c:v>
                </c:pt>
                <c:pt idx="915">
                  <c:v>45615</c:v>
                </c:pt>
                <c:pt idx="916">
                  <c:v>45616</c:v>
                </c:pt>
                <c:pt idx="917">
                  <c:v>45617</c:v>
                </c:pt>
                <c:pt idx="918">
                  <c:v>45618</c:v>
                </c:pt>
                <c:pt idx="919">
                  <c:v>45621</c:v>
                </c:pt>
                <c:pt idx="920">
                  <c:v>45622</c:v>
                </c:pt>
                <c:pt idx="921">
                  <c:v>45623</c:v>
                </c:pt>
                <c:pt idx="922">
                  <c:v>45625</c:v>
                </c:pt>
                <c:pt idx="923">
                  <c:v>45628</c:v>
                </c:pt>
                <c:pt idx="924">
                  <c:v>45629</c:v>
                </c:pt>
                <c:pt idx="925">
                  <c:v>45630</c:v>
                </c:pt>
                <c:pt idx="926">
                  <c:v>45631</c:v>
                </c:pt>
                <c:pt idx="927">
                  <c:v>45632</c:v>
                </c:pt>
                <c:pt idx="928">
                  <c:v>45635</c:v>
                </c:pt>
                <c:pt idx="929">
                  <c:v>45636</c:v>
                </c:pt>
                <c:pt idx="930">
                  <c:v>45637</c:v>
                </c:pt>
                <c:pt idx="931">
                  <c:v>45638</c:v>
                </c:pt>
                <c:pt idx="932">
                  <c:v>45639</c:v>
                </c:pt>
                <c:pt idx="933">
                  <c:v>45642</c:v>
                </c:pt>
                <c:pt idx="934">
                  <c:v>45643</c:v>
                </c:pt>
                <c:pt idx="935">
                  <c:v>45644</c:v>
                </c:pt>
                <c:pt idx="936">
                  <c:v>45645</c:v>
                </c:pt>
                <c:pt idx="937">
                  <c:v>45646</c:v>
                </c:pt>
                <c:pt idx="938">
                  <c:v>45649</c:v>
                </c:pt>
                <c:pt idx="939">
                  <c:v>45650</c:v>
                </c:pt>
                <c:pt idx="940">
                  <c:v>45652</c:v>
                </c:pt>
                <c:pt idx="941">
                  <c:v>45653</c:v>
                </c:pt>
                <c:pt idx="942">
                  <c:v>45656</c:v>
                </c:pt>
                <c:pt idx="943">
                  <c:v>45657</c:v>
                </c:pt>
                <c:pt idx="944">
                  <c:v>45659</c:v>
                </c:pt>
                <c:pt idx="945">
                  <c:v>45660</c:v>
                </c:pt>
                <c:pt idx="946">
                  <c:v>45663</c:v>
                </c:pt>
                <c:pt idx="947">
                  <c:v>45664</c:v>
                </c:pt>
                <c:pt idx="948">
                  <c:v>45665</c:v>
                </c:pt>
                <c:pt idx="949">
                  <c:v>45667</c:v>
                </c:pt>
                <c:pt idx="950">
                  <c:v>45670</c:v>
                </c:pt>
                <c:pt idx="951">
                  <c:v>45671</c:v>
                </c:pt>
                <c:pt idx="952">
                  <c:v>45672</c:v>
                </c:pt>
                <c:pt idx="953">
                  <c:v>45673</c:v>
                </c:pt>
                <c:pt idx="954">
                  <c:v>45674</c:v>
                </c:pt>
                <c:pt idx="955">
                  <c:v>45678</c:v>
                </c:pt>
                <c:pt idx="956">
                  <c:v>45679</c:v>
                </c:pt>
                <c:pt idx="957">
                  <c:v>45680</c:v>
                </c:pt>
                <c:pt idx="958">
                  <c:v>45681</c:v>
                </c:pt>
                <c:pt idx="959">
                  <c:v>45684</c:v>
                </c:pt>
                <c:pt idx="960">
                  <c:v>45685</c:v>
                </c:pt>
                <c:pt idx="961">
                  <c:v>45686</c:v>
                </c:pt>
                <c:pt idx="962">
                  <c:v>45687</c:v>
                </c:pt>
                <c:pt idx="963">
                  <c:v>45688</c:v>
                </c:pt>
                <c:pt idx="964">
                  <c:v>45691</c:v>
                </c:pt>
                <c:pt idx="965">
                  <c:v>45692</c:v>
                </c:pt>
                <c:pt idx="966">
                  <c:v>45693</c:v>
                </c:pt>
                <c:pt idx="967">
                  <c:v>45694</c:v>
                </c:pt>
                <c:pt idx="968">
                  <c:v>45695</c:v>
                </c:pt>
                <c:pt idx="969">
                  <c:v>45698</c:v>
                </c:pt>
                <c:pt idx="970">
                  <c:v>45699</c:v>
                </c:pt>
                <c:pt idx="971">
                  <c:v>45700</c:v>
                </c:pt>
                <c:pt idx="972">
                  <c:v>45701</c:v>
                </c:pt>
                <c:pt idx="973">
                  <c:v>45702</c:v>
                </c:pt>
                <c:pt idx="974">
                  <c:v>45706</c:v>
                </c:pt>
                <c:pt idx="975">
                  <c:v>45707</c:v>
                </c:pt>
                <c:pt idx="976">
                  <c:v>45708</c:v>
                </c:pt>
                <c:pt idx="977">
                  <c:v>45709</c:v>
                </c:pt>
                <c:pt idx="978">
                  <c:v>45712</c:v>
                </c:pt>
                <c:pt idx="979">
                  <c:v>45713</c:v>
                </c:pt>
                <c:pt idx="980">
                  <c:v>45714</c:v>
                </c:pt>
                <c:pt idx="981">
                  <c:v>45715</c:v>
                </c:pt>
                <c:pt idx="982">
                  <c:v>45716</c:v>
                </c:pt>
                <c:pt idx="983">
                  <c:v>45719</c:v>
                </c:pt>
                <c:pt idx="984">
                  <c:v>45720</c:v>
                </c:pt>
                <c:pt idx="985">
                  <c:v>45721</c:v>
                </c:pt>
                <c:pt idx="986">
                  <c:v>45722</c:v>
                </c:pt>
                <c:pt idx="987">
                  <c:v>45723</c:v>
                </c:pt>
                <c:pt idx="988">
                  <c:v>45726</c:v>
                </c:pt>
                <c:pt idx="989">
                  <c:v>45727</c:v>
                </c:pt>
                <c:pt idx="990">
                  <c:v>45728</c:v>
                </c:pt>
                <c:pt idx="991">
                  <c:v>45729</c:v>
                </c:pt>
                <c:pt idx="992">
                  <c:v>45730</c:v>
                </c:pt>
                <c:pt idx="993">
                  <c:v>45733</c:v>
                </c:pt>
                <c:pt idx="994">
                  <c:v>45734</c:v>
                </c:pt>
                <c:pt idx="995">
                  <c:v>45735</c:v>
                </c:pt>
                <c:pt idx="996">
                  <c:v>45736</c:v>
                </c:pt>
                <c:pt idx="997">
                  <c:v>45737</c:v>
                </c:pt>
                <c:pt idx="998">
                  <c:v>45740</c:v>
                </c:pt>
                <c:pt idx="999">
                  <c:v>45741</c:v>
                </c:pt>
                <c:pt idx="1000">
                  <c:v>45742</c:v>
                </c:pt>
                <c:pt idx="1001">
                  <c:v>45743</c:v>
                </c:pt>
                <c:pt idx="1002">
                  <c:v>45744</c:v>
                </c:pt>
                <c:pt idx="1003">
                  <c:v>45747</c:v>
                </c:pt>
                <c:pt idx="1004">
                  <c:v>45748</c:v>
                </c:pt>
                <c:pt idx="1005">
                  <c:v>45749</c:v>
                </c:pt>
                <c:pt idx="1006">
                  <c:v>45750</c:v>
                </c:pt>
                <c:pt idx="1007">
                  <c:v>45751</c:v>
                </c:pt>
                <c:pt idx="1008">
                  <c:v>45754</c:v>
                </c:pt>
                <c:pt idx="1009">
                  <c:v>45755</c:v>
                </c:pt>
                <c:pt idx="1010">
                  <c:v>45756</c:v>
                </c:pt>
                <c:pt idx="1011">
                  <c:v>45757</c:v>
                </c:pt>
                <c:pt idx="1012">
                  <c:v>45758</c:v>
                </c:pt>
                <c:pt idx="1013">
                  <c:v>45761</c:v>
                </c:pt>
                <c:pt idx="1014">
                  <c:v>45762</c:v>
                </c:pt>
                <c:pt idx="1015">
                  <c:v>45763</c:v>
                </c:pt>
                <c:pt idx="1016">
                  <c:v>45764</c:v>
                </c:pt>
                <c:pt idx="1017">
                  <c:v>45768</c:v>
                </c:pt>
                <c:pt idx="1018">
                  <c:v>45769</c:v>
                </c:pt>
                <c:pt idx="1019">
                  <c:v>45770</c:v>
                </c:pt>
                <c:pt idx="1020">
                  <c:v>45771</c:v>
                </c:pt>
                <c:pt idx="1021">
                  <c:v>45772</c:v>
                </c:pt>
                <c:pt idx="1022">
                  <c:v>45775</c:v>
                </c:pt>
                <c:pt idx="1023">
                  <c:v>45776</c:v>
                </c:pt>
                <c:pt idx="1024">
                  <c:v>45777</c:v>
                </c:pt>
                <c:pt idx="1025">
                  <c:v>45778</c:v>
                </c:pt>
                <c:pt idx="1026">
                  <c:v>45779</c:v>
                </c:pt>
                <c:pt idx="1027">
                  <c:v>45782</c:v>
                </c:pt>
                <c:pt idx="1028">
                  <c:v>45783</c:v>
                </c:pt>
                <c:pt idx="1029">
                  <c:v>45784</c:v>
                </c:pt>
                <c:pt idx="1030">
                  <c:v>45785</c:v>
                </c:pt>
                <c:pt idx="1031">
                  <c:v>45786</c:v>
                </c:pt>
                <c:pt idx="1032">
                  <c:v>45789</c:v>
                </c:pt>
                <c:pt idx="1033">
                  <c:v>45790</c:v>
                </c:pt>
                <c:pt idx="1034">
                  <c:v>45791</c:v>
                </c:pt>
                <c:pt idx="1035">
                  <c:v>45792</c:v>
                </c:pt>
                <c:pt idx="1036">
                  <c:v>45793</c:v>
                </c:pt>
                <c:pt idx="1037">
                  <c:v>45796</c:v>
                </c:pt>
                <c:pt idx="1038">
                  <c:v>45797</c:v>
                </c:pt>
                <c:pt idx="1039">
                  <c:v>45798</c:v>
                </c:pt>
                <c:pt idx="1040">
                  <c:v>45799</c:v>
                </c:pt>
                <c:pt idx="1041">
                  <c:v>45800</c:v>
                </c:pt>
                <c:pt idx="1042">
                  <c:v>45804</c:v>
                </c:pt>
                <c:pt idx="1043">
                  <c:v>45805</c:v>
                </c:pt>
                <c:pt idx="1044">
                  <c:v>45806</c:v>
                </c:pt>
                <c:pt idx="1045">
                  <c:v>45807</c:v>
                </c:pt>
                <c:pt idx="1046">
                  <c:v>45810</c:v>
                </c:pt>
                <c:pt idx="1047">
                  <c:v>45811</c:v>
                </c:pt>
                <c:pt idx="1048">
                  <c:v>45812</c:v>
                </c:pt>
                <c:pt idx="1049">
                  <c:v>45813</c:v>
                </c:pt>
                <c:pt idx="1050">
                  <c:v>45814</c:v>
                </c:pt>
                <c:pt idx="1051">
                  <c:v>45817</c:v>
                </c:pt>
                <c:pt idx="1052">
                  <c:v>45818</c:v>
                </c:pt>
                <c:pt idx="1053">
                  <c:v>45819</c:v>
                </c:pt>
                <c:pt idx="1054">
                  <c:v>45820</c:v>
                </c:pt>
                <c:pt idx="1055">
                  <c:v>45821</c:v>
                </c:pt>
                <c:pt idx="1056">
                  <c:v>45824</c:v>
                </c:pt>
                <c:pt idx="1057">
                  <c:v>45825</c:v>
                </c:pt>
                <c:pt idx="1058">
                  <c:v>45826</c:v>
                </c:pt>
                <c:pt idx="1059">
                  <c:v>45828</c:v>
                </c:pt>
                <c:pt idx="1060">
                  <c:v>45831</c:v>
                </c:pt>
                <c:pt idx="1061">
                  <c:v>45832</c:v>
                </c:pt>
                <c:pt idx="1062">
                  <c:v>45833</c:v>
                </c:pt>
                <c:pt idx="1063">
                  <c:v>45834</c:v>
                </c:pt>
                <c:pt idx="1064">
                  <c:v>45835</c:v>
                </c:pt>
                <c:pt idx="1065">
                  <c:v>45838</c:v>
                </c:pt>
                <c:pt idx="1066">
                  <c:v>45839</c:v>
                </c:pt>
                <c:pt idx="1067">
                  <c:v>45840</c:v>
                </c:pt>
                <c:pt idx="1068">
                  <c:v>45841</c:v>
                </c:pt>
                <c:pt idx="1069">
                  <c:v>45845</c:v>
                </c:pt>
                <c:pt idx="1070">
                  <c:v>45846</c:v>
                </c:pt>
                <c:pt idx="1071">
                  <c:v>45847</c:v>
                </c:pt>
                <c:pt idx="1072">
                  <c:v>45848</c:v>
                </c:pt>
                <c:pt idx="1073">
                  <c:v>45849</c:v>
                </c:pt>
                <c:pt idx="1074">
                  <c:v>45852</c:v>
                </c:pt>
                <c:pt idx="1075">
                  <c:v>45853</c:v>
                </c:pt>
                <c:pt idx="1076">
                  <c:v>45854</c:v>
                </c:pt>
                <c:pt idx="1077">
                  <c:v>45855</c:v>
                </c:pt>
                <c:pt idx="1078">
                  <c:v>45856</c:v>
                </c:pt>
                <c:pt idx="1079">
                  <c:v>45859</c:v>
                </c:pt>
                <c:pt idx="1080">
                  <c:v>45860</c:v>
                </c:pt>
                <c:pt idx="1081">
                  <c:v>45861</c:v>
                </c:pt>
                <c:pt idx="1082">
                  <c:v>45862</c:v>
                </c:pt>
                <c:pt idx="1083">
                  <c:v>45863</c:v>
                </c:pt>
                <c:pt idx="1084">
                  <c:v>45866</c:v>
                </c:pt>
                <c:pt idx="1085">
                  <c:v>45867</c:v>
                </c:pt>
                <c:pt idx="1086">
                  <c:v>45868</c:v>
                </c:pt>
                <c:pt idx="1087">
                  <c:v>45869</c:v>
                </c:pt>
                <c:pt idx="1088">
                  <c:v>45870</c:v>
                </c:pt>
                <c:pt idx="1089">
                  <c:v>45873</c:v>
                </c:pt>
                <c:pt idx="1090">
                  <c:v>45874</c:v>
                </c:pt>
                <c:pt idx="1091">
                  <c:v>45875</c:v>
                </c:pt>
                <c:pt idx="1092">
                  <c:v>45876</c:v>
                </c:pt>
                <c:pt idx="1093">
                  <c:v>45877</c:v>
                </c:pt>
                <c:pt idx="1094">
                  <c:v>45880</c:v>
                </c:pt>
                <c:pt idx="1095">
                  <c:v>45881</c:v>
                </c:pt>
                <c:pt idx="1096">
                  <c:v>45882</c:v>
                </c:pt>
                <c:pt idx="1097">
                  <c:v>45883</c:v>
                </c:pt>
                <c:pt idx="1098">
                  <c:v>45884</c:v>
                </c:pt>
                <c:pt idx="1099">
                  <c:v>45887</c:v>
                </c:pt>
                <c:pt idx="1100">
                  <c:v>45888</c:v>
                </c:pt>
                <c:pt idx="1101">
                  <c:v>45889</c:v>
                </c:pt>
                <c:pt idx="1102">
                  <c:v>45890</c:v>
                </c:pt>
                <c:pt idx="1103">
                  <c:v>45891</c:v>
                </c:pt>
                <c:pt idx="1104">
                  <c:v>45894</c:v>
                </c:pt>
                <c:pt idx="1105">
                  <c:v>45895</c:v>
                </c:pt>
                <c:pt idx="1106">
                  <c:v>45896</c:v>
                </c:pt>
                <c:pt idx="1107">
                  <c:v>45897</c:v>
                </c:pt>
                <c:pt idx="1108">
                  <c:v>45898</c:v>
                </c:pt>
                <c:pt idx="1109">
                  <c:v>45902</c:v>
                </c:pt>
                <c:pt idx="1110">
                  <c:v>45903</c:v>
                </c:pt>
                <c:pt idx="1111">
                  <c:v>45904</c:v>
                </c:pt>
                <c:pt idx="1112">
                  <c:v>45905</c:v>
                </c:pt>
                <c:pt idx="1113">
                  <c:v>45908</c:v>
                </c:pt>
                <c:pt idx="1114">
                  <c:v>45909</c:v>
                </c:pt>
                <c:pt idx="1115">
                  <c:v>45910</c:v>
                </c:pt>
                <c:pt idx="1116">
                  <c:v>45911</c:v>
                </c:pt>
                <c:pt idx="1117">
                  <c:v>45912</c:v>
                </c:pt>
                <c:pt idx="1118">
                  <c:v>45915</c:v>
                </c:pt>
                <c:pt idx="1119">
                  <c:v>45916</c:v>
                </c:pt>
                <c:pt idx="1120">
                  <c:v>45917</c:v>
                </c:pt>
                <c:pt idx="1121">
                  <c:v>45918</c:v>
                </c:pt>
                <c:pt idx="1122">
                  <c:v>45919</c:v>
                </c:pt>
                <c:pt idx="1123">
                  <c:v>45922</c:v>
                </c:pt>
                <c:pt idx="1124">
                  <c:v>45923</c:v>
                </c:pt>
                <c:pt idx="1125">
                  <c:v>45924</c:v>
                </c:pt>
                <c:pt idx="1126">
                  <c:v>45925</c:v>
                </c:pt>
                <c:pt idx="1127">
                  <c:v>45926</c:v>
                </c:pt>
                <c:pt idx="1128">
                  <c:v>45929</c:v>
                </c:pt>
                <c:pt idx="1129">
                  <c:v>45930</c:v>
                </c:pt>
                <c:pt idx="1130">
                  <c:v>45931</c:v>
                </c:pt>
                <c:pt idx="1131">
                  <c:v>45932</c:v>
                </c:pt>
                <c:pt idx="1132">
                  <c:v>45933</c:v>
                </c:pt>
                <c:pt idx="1133">
                  <c:v>45936</c:v>
                </c:pt>
                <c:pt idx="1134">
                  <c:v>45937</c:v>
                </c:pt>
                <c:pt idx="1135">
                  <c:v>45938</c:v>
                </c:pt>
                <c:pt idx="1136">
                  <c:v>45939</c:v>
                </c:pt>
                <c:pt idx="1137">
                  <c:v>45940</c:v>
                </c:pt>
                <c:pt idx="1138">
                  <c:v>45943</c:v>
                </c:pt>
                <c:pt idx="1139">
                  <c:v>45944</c:v>
                </c:pt>
                <c:pt idx="1140">
                  <c:v>45945</c:v>
                </c:pt>
                <c:pt idx="1141">
                  <c:v>45946</c:v>
                </c:pt>
                <c:pt idx="1142">
                  <c:v>45947</c:v>
                </c:pt>
                <c:pt idx="1143">
                  <c:v>45950</c:v>
                </c:pt>
                <c:pt idx="1144">
                  <c:v>45951</c:v>
                </c:pt>
                <c:pt idx="1145">
                  <c:v>45952</c:v>
                </c:pt>
                <c:pt idx="1146">
                  <c:v>45953</c:v>
                </c:pt>
                <c:pt idx="1147">
                  <c:v>45954</c:v>
                </c:pt>
                <c:pt idx="1148">
                  <c:v>45957</c:v>
                </c:pt>
                <c:pt idx="1149">
                  <c:v>45958</c:v>
                </c:pt>
                <c:pt idx="1150">
                  <c:v>45959</c:v>
                </c:pt>
                <c:pt idx="1151">
                  <c:v>45960</c:v>
                </c:pt>
                <c:pt idx="1152">
                  <c:v>45961</c:v>
                </c:pt>
                <c:pt idx="1153">
                  <c:v>45964</c:v>
                </c:pt>
                <c:pt idx="1154">
                  <c:v>45965</c:v>
                </c:pt>
                <c:pt idx="1155">
                  <c:v>45966</c:v>
                </c:pt>
                <c:pt idx="1156">
                  <c:v>45967</c:v>
                </c:pt>
                <c:pt idx="1157">
                  <c:v>45968</c:v>
                </c:pt>
                <c:pt idx="1158">
                  <c:v>45971</c:v>
                </c:pt>
                <c:pt idx="1159">
                  <c:v>45972</c:v>
                </c:pt>
                <c:pt idx="1160">
                  <c:v>45973</c:v>
                </c:pt>
                <c:pt idx="1161">
                  <c:v>45974</c:v>
                </c:pt>
                <c:pt idx="1162">
                  <c:v>45975</c:v>
                </c:pt>
                <c:pt idx="1163">
                  <c:v>45978</c:v>
                </c:pt>
                <c:pt idx="1164">
                  <c:v>45979</c:v>
                </c:pt>
                <c:pt idx="1165">
                  <c:v>45980</c:v>
                </c:pt>
                <c:pt idx="1166">
                  <c:v>45981</c:v>
                </c:pt>
                <c:pt idx="1167">
                  <c:v>45982</c:v>
                </c:pt>
                <c:pt idx="1168">
                  <c:v>45985</c:v>
                </c:pt>
                <c:pt idx="1169">
                  <c:v>45986</c:v>
                </c:pt>
                <c:pt idx="1170">
                  <c:v>45987</c:v>
                </c:pt>
                <c:pt idx="1171">
                  <c:v>45989</c:v>
                </c:pt>
                <c:pt idx="1172">
                  <c:v>45992</c:v>
                </c:pt>
                <c:pt idx="1173">
                  <c:v>45993</c:v>
                </c:pt>
                <c:pt idx="1174">
                  <c:v>45994</c:v>
                </c:pt>
                <c:pt idx="1175">
                  <c:v>45995</c:v>
                </c:pt>
                <c:pt idx="1176">
                  <c:v>45996</c:v>
                </c:pt>
                <c:pt idx="1177">
                  <c:v>45999</c:v>
                </c:pt>
                <c:pt idx="1178">
                  <c:v>46000</c:v>
                </c:pt>
                <c:pt idx="1179">
                  <c:v>46001</c:v>
                </c:pt>
                <c:pt idx="1180">
                  <c:v>46002</c:v>
                </c:pt>
                <c:pt idx="1181">
                  <c:v>46003</c:v>
                </c:pt>
                <c:pt idx="1182">
                  <c:v>46006</c:v>
                </c:pt>
                <c:pt idx="1183">
                  <c:v>46007</c:v>
                </c:pt>
                <c:pt idx="1184">
                  <c:v>46008</c:v>
                </c:pt>
                <c:pt idx="1185">
                  <c:v>46009</c:v>
                </c:pt>
                <c:pt idx="1186">
                  <c:v>46010</c:v>
                </c:pt>
                <c:pt idx="1187">
                  <c:v>46013</c:v>
                </c:pt>
                <c:pt idx="1188">
                  <c:v>46014</c:v>
                </c:pt>
                <c:pt idx="1189">
                  <c:v>46015</c:v>
                </c:pt>
                <c:pt idx="1190">
                  <c:v>46017</c:v>
                </c:pt>
                <c:pt idx="1191">
                  <c:v>46020</c:v>
                </c:pt>
                <c:pt idx="1192">
                  <c:v>46021</c:v>
                </c:pt>
                <c:pt idx="1193">
                  <c:v>46022</c:v>
                </c:pt>
                <c:pt idx="1194">
                  <c:v>46024</c:v>
                </c:pt>
                <c:pt idx="1195">
                  <c:v>46027</c:v>
                </c:pt>
                <c:pt idx="1196">
                  <c:v>46028</c:v>
                </c:pt>
                <c:pt idx="1197">
                  <c:v>46029</c:v>
                </c:pt>
                <c:pt idx="1198">
                  <c:v>46030</c:v>
                </c:pt>
                <c:pt idx="1199">
                  <c:v>46031</c:v>
                </c:pt>
                <c:pt idx="1200">
                  <c:v>46034</c:v>
                </c:pt>
                <c:pt idx="1201">
                  <c:v>46035</c:v>
                </c:pt>
                <c:pt idx="1202">
                  <c:v>46036</c:v>
                </c:pt>
                <c:pt idx="1203">
                  <c:v>46037</c:v>
                </c:pt>
                <c:pt idx="1204">
                  <c:v>46038</c:v>
                </c:pt>
                <c:pt idx="1205">
                  <c:v>46042</c:v>
                </c:pt>
                <c:pt idx="1206">
                  <c:v>46043</c:v>
                </c:pt>
                <c:pt idx="1207">
                  <c:v>46044</c:v>
                </c:pt>
                <c:pt idx="1208">
                  <c:v>46045</c:v>
                </c:pt>
                <c:pt idx="1209">
                  <c:v>46048</c:v>
                </c:pt>
                <c:pt idx="1210">
                  <c:v>46049</c:v>
                </c:pt>
                <c:pt idx="1211">
                  <c:v>46050</c:v>
                </c:pt>
                <c:pt idx="1212">
                  <c:v>46051</c:v>
                </c:pt>
                <c:pt idx="1213">
                  <c:v>46052</c:v>
                </c:pt>
                <c:pt idx="1214">
                  <c:v>46055</c:v>
                </c:pt>
                <c:pt idx="1215">
                  <c:v>46056</c:v>
                </c:pt>
                <c:pt idx="1216">
                  <c:v>46057</c:v>
                </c:pt>
                <c:pt idx="1217">
                  <c:v>46058</c:v>
                </c:pt>
                <c:pt idx="1218">
                  <c:v>46059</c:v>
                </c:pt>
                <c:pt idx="1219">
                  <c:v>46062</c:v>
                </c:pt>
                <c:pt idx="1220">
                  <c:v>46063</c:v>
                </c:pt>
                <c:pt idx="1221">
                  <c:v>46064</c:v>
                </c:pt>
                <c:pt idx="1222">
                  <c:v>46065</c:v>
                </c:pt>
                <c:pt idx="1223">
                  <c:v>46066</c:v>
                </c:pt>
                <c:pt idx="1224">
                  <c:v>46070</c:v>
                </c:pt>
                <c:pt idx="1225">
                  <c:v>46071</c:v>
                </c:pt>
                <c:pt idx="1226">
                  <c:v>46072</c:v>
                </c:pt>
                <c:pt idx="1227">
                  <c:v>46073</c:v>
                </c:pt>
                <c:pt idx="1228">
                  <c:v>46076</c:v>
                </c:pt>
                <c:pt idx="1229">
                  <c:v>46077</c:v>
                </c:pt>
                <c:pt idx="1230">
                  <c:v>46078</c:v>
                </c:pt>
                <c:pt idx="1231">
                  <c:v>46079</c:v>
                </c:pt>
                <c:pt idx="1232">
                  <c:v>46080</c:v>
                </c:pt>
                <c:pt idx="1233">
                  <c:v>46083</c:v>
                </c:pt>
                <c:pt idx="1234">
                  <c:v>46084</c:v>
                </c:pt>
                <c:pt idx="1235">
                  <c:v>46085</c:v>
                </c:pt>
                <c:pt idx="1236">
                  <c:v>46086</c:v>
                </c:pt>
                <c:pt idx="1237">
                  <c:v>46087</c:v>
                </c:pt>
                <c:pt idx="1238">
                  <c:v>46090</c:v>
                </c:pt>
                <c:pt idx="1239">
                  <c:v>46091</c:v>
                </c:pt>
                <c:pt idx="1240">
                  <c:v>46092</c:v>
                </c:pt>
                <c:pt idx="1241">
                  <c:v>46093</c:v>
                </c:pt>
                <c:pt idx="1242">
                  <c:v>46094</c:v>
                </c:pt>
                <c:pt idx="1243">
                  <c:v>46097</c:v>
                </c:pt>
                <c:pt idx="1244">
                  <c:v>46098</c:v>
                </c:pt>
                <c:pt idx="1245">
                  <c:v>46099</c:v>
                </c:pt>
                <c:pt idx="1246">
                  <c:v>46100</c:v>
                </c:pt>
                <c:pt idx="1247">
                  <c:v>46101</c:v>
                </c:pt>
                <c:pt idx="1248">
                  <c:v>46104</c:v>
                </c:pt>
                <c:pt idx="1249">
                  <c:v>46105</c:v>
                </c:pt>
                <c:pt idx="1250">
                  <c:v>46106</c:v>
                </c:pt>
                <c:pt idx="1251">
                  <c:v>46107</c:v>
                </c:pt>
                <c:pt idx="1252">
                  <c:v>46108</c:v>
                </c:pt>
                <c:pt idx="1253">
                  <c:v>46111</c:v>
                </c:pt>
              </c:numCache>
            </c:numRef>
          </c:cat>
          <c:val>
            <c:numRef>
              <c:f>'Share Price'!$C$3:$C$1256</c:f>
              <c:numCache>
                <c:formatCode>0.00</c:formatCode>
                <c:ptCount val="1254"/>
                <c:pt idx="0">
                  <c:v>16.37508392333984</c:v>
                </c:pt>
                <c:pt idx="1">
                  <c:v>16.685182571411129</c:v>
                </c:pt>
                <c:pt idx="2">
                  <c:v>16.65933990478516</c:v>
                </c:pt>
                <c:pt idx="3">
                  <c:v>16.547359466552731</c:v>
                </c:pt>
                <c:pt idx="4">
                  <c:v>16.64211273193359</c:v>
                </c:pt>
                <c:pt idx="5">
                  <c:v>16.831619262695309</c:v>
                </c:pt>
                <c:pt idx="6">
                  <c:v>16.469833374023441</c:v>
                </c:pt>
                <c:pt idx="7">
                  <c:v>15.85824584960938</c:v>
                </c:pt>
                <c:pt idx="8">
                  <c:v>14.91071224212646</c:v>
                </c:pt>
                <c:pt idx="9">
                  <c:v>15.50507164001465</c:v>
                </c:pt>
                <c:pt idx="10">
                  <c:v>15.660122871398929</c:v>
                </c:pt>
                <c:pt idx="11">
                  <c:v>15.729039192199711</c:v>
                </c:pt>
                <c:pt idx="12">
                  <c:v>15.530917167663571</c:v>
                </c:pt>
                <c:pt idx="13">
                  <c:v>15.591213226318359</c:v>
                </c:pt>
                <c:pt idx="14">
                  <c:v>15.3758659362793</c:v>
                </c:pt>
                <c:pt idx="15">
                  <c:v>15.41032028198242</c:v>
                </c:pt>
                <c:pt idx="16">
                  <c:v>15.513689041137701</c:v>
                </c:pt>
                <c:pt idx="17">
                  <c:v>15.599825859069821</c:v>
                </c:pt>
                <c:pt idx="18">
                  <c:v>15.70319175720215</c:v>
                </c:pt>
                <c:pt idx="19">
                  <c:v>15.90131282806396</c:v>
                </c:pt>
                <c:pt idx="20">
                  <c:v>15.57398796081543</c:v>
                </c:pt>
                <c:pt idx="21">
                  <c:v>15.67735481262207</c:v>
                </c:pt>
                <c:pt idx="22">
                  <c:v>15.599825859069821</c:v>
                </c:pt>
                <c:pt idx="23">
                  <c:v>15.754875183105471</c:v>
                </c:pt>
                <c:pt idx="24">
                  <c:v>16.021907806396481</c:v>
                </c:pt>
                <c:pt idx="25">
                  <c:v>0</c:v>
                </c:pt>
                <c:pt idx="26">
                  <c:v>15.81517505645752</c:v>
                </c:pt>
                <c:pt idx="27">
                  <c:v>15.66873931884766</c:v>
                </c:pt>
                <c:pt idx="28">
                  <c:v>15.367250442504879</c:v>
                </c:pt>
                <c:pt idx="29">
                  <c:v>15.401706695556641</c:v>
                </c:pt>
                <c:pt idx="30">
                  <c:v>15.642898559570311</c:v>
                </c:pt>
                <c:pt idx="31">
                  <c:v>15.651510238647459</c:v>
                </c:pt>
                <c:pt idx="32">
                  <c:v>15.729039192199711</c:v>
                </c:pt>
                <c:pt idx="33">
                  <c:v>15.88408756256104</c:v>
                </c:pt>
                <c:pt idx="34">
                  <c:v>16.06497955322266</c:v>
                </c:pt>
                <c:pt idx="35">
                  <c:v>16.125276565551761</c:v>
                </c:pt>
                <c:pt idx="36">
                  <c:v>16.082206726074219</c:v>
                </c:pt>
                <c:pt idx="37">
                  <c:v>16.13388633728027</c:v>
                </c:pt>
                <c:pt idx="38">
                  <c:v>16.59042930603027</c:v>
                </c:pt>
                <c:pt idx="39">
                  <c:v>16.685182571411129</c:v>
                </c:pt>
                <c:pt idx="40">
                  <c:v>16.833147048950199</c:v>
                </c:pt>
                <c:pt idx="41">
                  <c:v>16.772218704223629</c:v>
                </c:pt>
                <c:pt idx="42">
                  <c:v>16.789630889892582</c:v>
                </c:pt>
                <c:pt idx="43">
                  <c:v>16.6590690612793</c:v>
                </c:pt>
                <c:pt idx="44">
                  <c:v>16.789630889892582</c:v>
                </c:pt>
                <c:pt idx="45">
                  <c:v>16.885368347167969</c:v>
                </c:pt>
                <c:pt idx="46">
                  <c:v>16.972406387329102</c:v>
                </c:pt>
                <c:pt idx="47">
                  <c:v>17.11166954040527</c:v>
                </c:pt>
                <c:pt idx="48">
                  <c:v>17.31185340881348</c:v>
                </c:pt>
                <c:pt idx="49">
                  <c:v>17.877603530883789</c:v>
                </c:pt>
                <c:pt idx="50">
                  <c:v>17.79926872253418</c:v>
                </c:pt>
                <c:pt idx="51">
                  <c:v>17.607782363891602</c:v>
                </c:pt>
                <c:pt idx="52">
                  <c:v>17.738338470458981</c:v>
                </c:pt>
                <c:pt idx="53">
                  <c:v>17.990753173828121</c:v>
                </c:pt>
                <c:pt idx="54">
                  <c:v>17.572971343994141</c:v>
                </c:pt>
                <c:pt idx="55">
                  <c:v>17.868898391723629</c:v>
                </c:pt>
                <c:pt idx="56">
                  <c:v>18.069086074829102</c:v>
                </c:pt>
                <c:pt idx="57">
                  <c:v>18.008161544799801</c:v>
                </c:pt>
                <c:pt idx="58">
                  <c:v>18.443349838256839</c:v>
                </c:pt>
                <c:pt idx="59">
                  <c:v>18.495573043823239</c:v>
                </c:pt>
                <c:pt idx="60">
                  <c:v>18.530389785766602</c:v>
                </c:pt>
                <c:pt idx="61">
                  <c:v>18.669651031494141</c:v>
                </c:pt>
                <c:pt idx="62">
                  <c:v>18.443349838256839</c:v>
                </c:pt>
                <c:pt idx="63">
                  <c:v>18.243160247802731</c:v>
                </c:pt>
                <c:pt idx="64">
                  <c:v>18.33890342712402</c:v>
                </c:pt>
                <c:pt idx="65">
                  <c:v>18.373722076416019</c:v>
                </c:pt>
                <c:pt idx="66">
                  <c:v>18.43464469909668</c:v>
                </c:pt>
                <c:pt idx="67">
                  <c:v>18.23445892333984</c:v>
                </c:pt>
                <c:pt idx="68">
                  <c:v>18.573907852172852</c:v>
                </c:pt>
                <c:pt idx="69">
                  <c:v>18.32149505615234</c:v>
                </c:pt>
                <c:pt idx="70">
                  <c:v>18.32149505615234</c:v>
                </c:pt>
                <c:pt idx="71">
                  <c:v>18.617425918579102</c:v>
                </c:pt>
                <c:pt idx="72">
                  <c:v>18.39112663269043</c:v>
                </c:pt>
                <c:pt idx="73">
                  <c:v>18.156126022338871</c:v>
                </c:pt>
                <c:pt idx="74">
                  <c:v>17.96463775634766</c:v>
                </c:pt>
                <c:pt idx="75">
                  <c:v>18.225753784179691</c:v>
                </c:pt>
                <c:pt idx="76">
                  <c:v>18.547792434692379</c:v>
                </c:pt>
                <c:pt idx="77">
                  <c:v>18.565202713012699</c:v>
                </c:pt>
                <c:pt idx="78">
                  <c:v>18.91335296630859</c:v>
                </c:pt>
                <c:pt idx="79">
                  <c:v>18.89594650268555</c:v>
                </c:pt>
                <c:pt idx="80">
                  <c:v>18.89594650268555</c:v>
                </c:pt>
                <c:pt idx="81">
                  <c:v>19.017801284790039</c:v>
                </c:pt>
                <c:pt idx="82">
                  <c:v>19.078727722167969</c:v>
                </c:pt>
                <c:pt idx="83">
                  <c:v>19.252801895141602</c:v>
                </c:pt>
                <c:pt idx="84">
                  <c:v>19.383359909057621</c:v>
                </c:pt>
                <c:pt idx="85">
                  <c:v>19.9142951965332</c:v>
                </c:pt>
                <c:pt idx="86">
                  <c:v>19.705400466918949</c:v>
                </c:pt>
                <c:pt idx="87">
                  <c:v>19.653179168701168</c:v>
                </c:pt>
                <c:pt idx="88">
                  <c:v>19.853364944458011</c:v>
                </c:pt>
                <c:pt idx="89">
                  <c:v>19.9142951965332</c:v>
                </c:pt>
                <c:pt idx="90">
                  <c:v>19.827255249023441</c:v>
                </c:pt>
                <c:pt idx="91">
                  <c:v>20.01003456115723</c:v>
                </c:pt>
                <c:pt idx="92">
                  <c:v>20.297256469726559</c:v>
                </c:pt>
                <c:pt idx="93">
                  <c:v>20.567075729370121</c:v>
                </c:pt>
                <c:pt idx="94">
                  <c:v>20.366888046264648</c:v>
                </c:pt>
                <c:pt idx="95">
                  <c:v>20.50615119934082</c:v>
                </c:pt>
                <c:pt idx="96">
                  <c:v>20.436517715454102</c:v>
                </c:pt>
                <c:pt idx="97">
                  <c:v>20.4974479675293</c:v>
                </c:pt>
                <c:pt idx="98">
                  <c:v>20.784671783447269</c:v>
                </c:pt>
                <c:pt idx="99">
                  <c:v>20.97616004943848</c:v>
                </c:pt>
                <c:pt idx="100">
                  <c:v>20.784671783447269</c:v>
                </c:pt>
                <c:pt idx="101">
                  <c:v>20.871707916259769</c:v>
                </c:pt>
                <c:pt idx="102">
                  <c:v>20.59318733215332</c:v>
                </c:pt>
                <c:pt idx="103">
                  <c:v>20.654115676879879</c:v>
                </c:pt>
                <c:pt idx="104">
                  <c:v>20.645412445068359</c:v>
                </c:pt>
                <c:pt idx="105">
                  <c:v>20.73244476318359</c:v>
                </c:pt>
                <c:pt idx="106">
                  <c:v>20.4974479675293</c:v>
                </c:pt>
                <c:pt idx="107">
                  <c:v>20.628005981445309</c:v>
                </c:pt>
                <c:pt idx="108">
                  <c:v>20.915227890014648</c:v>
                </c:pt>
                <c:pt idx="109">
                  <c:v>20.393001556396481</c:v>
                </c:pt>
                <c:pt idx="110">
                  <c:v>20.184112548828121</c:v>
                </c:pt>
                <c:pt idx="111">
                  <c:v>19.95781135559082</c:v>
                </c:pt>
                <c:pt idx="112">
                  <c:v>20.01003456115723</c:v>
                </c:pt>
                <c:pt idx="113">
                  <c:v>19.983921051025391</c:v>
                </c:pt>
                <c:pt idx="114">
                  <c:v>20.02744102478027</c:v>
                </c:pt>
                <c:pt idx="115">
                  <c:v>20.340778350830082</c:v>
                </c:pt>
                <c:pt idx="116">
                  <c:v>20.09707069396973</c:v>
                </c:pt>
                <c:pt idx="117">
                  <c:v>19.888181686401371</c:v>
                </c:pt>
                <c:pt idx="118">
                  <c:v>19.809844970703121</c:v>
                </c:pt>
                <c:pt idx="119">
                  <c:v>20.12318229675293</c:v>
                </c:pt>
                <c:pt idx="120">
                  <c:v>20.253738403320309</c:v>
                </c:pt>
                <c:pt idx="121">
                  <c:v>20.654115676879879</c:v>
                </c:pt>
                <c:pt idx="122">
                  <c:v>20.610595703125</c:v>
                </c:pt>
                <c:pt idx="123">
                  <c:v>19.931699752807621</c:v>
                </c:pt>
                <c:pt idx="124">
                  <c:v>19.226692199707031</c:v>
                </c:pt>
                <c:pt idx="125">
                  <c:v>19.56613922119141</c:v>
                </c:pt>
                <c:pt idx="126">
                  <c:v>19.36595344543457</c:v>
                </c:pt>
                <c:pt idx="127">
                  <c:v>19.43558311462402</c:v>
                </c:pt>
                <c:pt idx="128">
                  <c:v>19.278913497924801</c:v>
                </c:pt>
                <c:pt idx="129">
                  <c:v>19.801143646240231</c:v>
                </c:pt>
                <c:pt idx="130">
                  <c:v>19.5400276184082</c:v>
                </c:pt>
                <c:pt idx="131">
                  <c:v>19.818550109863281</c:v>
                </c:pt>
                <c:pt idx="132">
                  <c:v>19.087432861328121</c:v>
                </c:pt>
                <c:pt idx="133">
                  <c:v>18.991689682006839</c:v>
                </c:pt>
                <c:pt idx="134">
                  <c:v>19.043910980224609</c:v>
                </c:pt>
                <c:pt idx="135">
                  <c:v>19.714105606079102</c:v>
                </c:pt>
                <c:pt idx="136">
                  <c:v>19.766324996948239</c:v>
                </c:pt>
                <c:pt idx="137">
                  <c:v>20.349479675292969</c:v>
                </c:pt>
                <c:pt idx="138">
                  <c:v>20.697635650634769</c:v>
                </c:pt>
                <c:pt idx="139">
                  <c:v>21.080598831176761</c:v>
                </c:pt>
                <c:pt idx="140">
                  <c:v>21.002265930175781</c:v>
                </c:pt>
                <c:pt idx="141">
                  <c:v>20.375591278076168</c:v>
                </c:pt>
                <c:pt idx="142">
                  <c:v>20.02744102478027</c:v>
                </c:pt>
                <c:pt idx="143">
                  <c:v>19.95781135559082</c:v>
                </c:pt>
                <c:pt idx="144">
                  <c:v>19.921812057495121</c:v>
                </c:pt>
                <c:pt idx="145">
                  <c:v>19.798892974853519</c:v>
                </c:pt>
                <c:pt idx="146">
                  <c:v>19.807674407958981</c:v>
                </c:pt>
                <c:pt idx="147">
                  <c:v>19.561836242675781</c:v>
                </c:pt>
                <c:pt idx="148">
                  <c:v>19.728652954101559</c:v>
                </c:pt>
                <c:pt idx="149">
                  <c:v>19.89547157287598</c:v>
                </c:pt>
                <c:pt idx="150">
                  <c:v>19.939371109008789</c:v>
                </c:pt>
                <c:pt idx="151">
                  <c:v>19.939371109008789</c:v>
                </c:pt>
                <c:pt idx="152">
                  <c:v>20.009613037109379</c:v>
                </c:pt>
                <c:pt idx="153">
                  <c:v>20.580312728881839</c:v>
                </c:pt>
                <c:pt idx="154">
                  <c:v>20.457391738891602</c:v>
                </c:pt>
                <c:pt idx="155">
                  <c:v>20.15887451171875</c:v>
                </c:pt>
                <c:pt idx="156">
                  <c:v>20.36959266662598</c:v>
                </c:pt>
                <c:pt idx="157">
                  <c:v>20.808595657348629</c:v>
                </c:pt>
                <c:pt idx="158">
                  <c:v>20.74713134765625</c:v>
                </c:pt>
                <c:pt idx="159">
                  <c:v>21.098335266113281</c:v>
                </c:pt>
                <c:pt idx="160">
                  <c:v>20.84371185302734</c:v>
                </c:pt>
                <c:pt idx="161">
                  <c:v>20.764694213867191</c:v>
                </c:pt>
                <c:pt idx="162">
                  <c:v>20.712015151977539</c:v>
                </c:pt>
                <c:pt idx="163">
                  <c:v>19.992055892944339</c:v>
                </c:pt>
                <c:pt idx="164">
                  <c:v>20.097410202026371</c:v>
                </c:pt>
                <c:pt idx="165">
                  <c:v>19.8515739440918</c:v>
                </c:pt>
                <c:pt idx="166">
                  <c:v>19.491594314575199</c:v>
                </c:pt>
                <c:pt idx="167">
                  <c:v>19.860353469848629</c:v>
                </c:pt>
                <c:pt idx="168">
                  <c:v>19.82523345947266</c:v>
                </c:pt>
                <c:pt idx="169">
                  <c:v>19.702314376831051</c:v>
                </c:pt>
                <c:pt idx="170">
                  <c:v>20.580312728881839</c:v>
                </c:pt>
                <c:pt idx="171">
                  <c:v>20.088632583618161</c:v>
                </c:pt>
                <c:pt idx="172">
                  <c:v>19.535495758056641</c:v>
                </c:pt>
                <c:pt idx="173">
                  <c:v>20.246673583984379</c:v>
                </c:pt>
                <c:pt idx="174">
                  <c:v>20.580312728881839</c:v>
                </c:pt>
                <c:pt idx="175">
                  <c:v>20.41349029541016</c:v>
                </c:pt>
                <c:pt idx="176">
                  <c:v>20.360813140869141</c:v>
                </c:pt>
                <c:pt idx="177">
                  <c:v>19.8515739440918</c:v>
                </c:pt>
                <c:pt idx="178">
                  <c:v>20.097410202026371</c:v>
                </c:pt>
                <c:pt idx="179">
                  <c:v>20.422271728515621</c:v>
                </c:pt>
                <c:pt idx="180">
                  <c:v>21.168575286865231</c:v>
                </c:pt>
                <c:pt idx="181">
                  <c:v>21.107114791870121</c:v>
                </c:pt>
                <c:pt idx="182">
                  <c:v>20.799814224243161</c:v>
                </c:pt>
                <c:pt idx="183">
                  <c:v>21.265151977539059</c:v>
                </c:pt>
                <c:pt idx="184">
                  <c:v>21.537332534790039</c:v>
                </c:pt>
                <c:pt idx="185">
                  <c:v>21.712932586669918</c:v>
                </c:pt>
                <c:pt idx="186">
                  <c:v>22.2397346496582</c:v>
                </c:pt>
                <c:pt idx="187">
                  <c:v>22.2133903503418</c:v>
                </c:pt>
                <c:pt idx="188">
                  <c:v>22.283632278442379</c:v>
                </c:pt>
                <c:pt idx="189">
                  <c:v>22.309970855712891</c:v>
                </c:pt>
                <c:pt idx="190">
                  <c:v>22.222169876098629</c:v>
                </c:pt>
                <c:pt idx="191">
                  <c:v>22.17827224731445</c:v>
                </c:pt>
                <c:pt idx="192">
                  <c:v>22.046575546264648</c:v>
                </c:pt>
                <c:pt idx="193">
                  <c:v>21.335391998291019</c:v>
                </c:pt>
                <c:pt idx="194">
                  <c:v>21.168575286865231</c:v>
                </c:pt>
                <c:pt idx="195">
                  <c:v>21.247592926025391</c:v>
                </c:pt>
                <c:pt idx="196">
                  <c:v>21.748054504394531</c:v>
                </c:pt>
                <c:pt idx="197">
                  <c:v>21.96755218505859</c:v>
                </c:pt>
                <c:pt idx="198">
                  <c:v>22.608493804931641</c:v>
                </c:pt>
                <c:pt idx="199">
                  <c:v>22.47679328918457</c:v>
                </c:pt>
                <c:pt idx="200">
                  <c:v>23.003593444824219</c:v>
                </c:pt>
                <c:pt idx="201">
                  <c:v>22.397773742675781</c:v>
                </c:pt>
                <c:pt idx="202">
                  <c:v>21.484651565551761</c:v>
                </c:pt>
                <c:pt idx="203">
                  <c:v>20.791032791137699</c:v>
                </c:pt>
                <c:pt idx="204">
                  <c:v>20.553970336914059</c:v>
                </c:pt>
                <c:pt idx="205">
                  <c:v>20.141313552856449</c:v>
                </c:pt>
                <c:pt idx="206">
                  <c:v>19.737432479858398</c:v>
                </c:pt>
                <c:pt idx="207">
                  <c:v>19.658416748046879</c:v>
                </c:pt>
                <c:pt idx="208">
                  <c:v>19.149171829223629</c:v>
                </c:pt>
                <c:pt idx="209">
                  <c:v>19.89547157287598</c:v>
                </c:pt>
                <c:pt idx="210">
                  <c:v>20.694452285766602</c:v>
                </c:pt>
                <c:pt idx="211">
                  <c:v>20.650552749633789</c:v>
                </c:pt>
                <c:pt idx="212">
                  <c:v>20.870054244995121</c:v>
                </c:pt>
                <c:pt idx="213">
                  <c:v>19.983272552490231</c:v>
                </c:pt>
                <c:pt idx="214">
                  <c:v>20.097410202026371</c:v>
                </c:pt>
                <c:pt idx="215">
                  <c:v>19.728652954101559</c:v>
                </c:pt>
                <c:pt idx="216">
                  <c:v>20.097410202026371</c:v>
                </c:pt>
                <c:pt idx="217">
                  <c:v>20.553970336914059</c:v>
                </c:pt>
                <c:pt idx="218">
                  <c:v>20.141313552856449</c:v>
                </c:pt>
                <c:pt idx="219">
                  <c:v>19.553054809570309</c:v>
                </c:pt>
                <c:pt idx="220">
                  <c:v>19.48281288146973</c:v>
                </c:pt>
                <c:pt idx="221">
                  <c:v>20.097410202026371</c:v>
                </c:pt>
                <c:pt idx="222">
                  <c:v>20.053512573242191</c:v>
                </c:pt>
                <c:pt idx="223">
                  <c:v>19.693534851074219</c:v>
                </c:pt>
                <c:pt idx="224">
                  <c:v>19.76377105712891</c:v>
                </c:pt>
                <c:pt idx="225">
                  <c:v>20.23789215087891</c:v>
                </c:pt>
                <c:pt idx="226">
                  <c:v>19.948150634765621</c:v>
                </c:pt>
                <c:pt idx="227">
                  <c:v>19.526716232299801</c:v>
                </c:pt>
                <c:pt idx="228">
                  <c:v>20.053512573242191</c:v>
                </c:pt>
                <c:pt idx="229">
                  <c:v>19.71987152099609</c:v>
                </c:pt>
                <c:pt idx="230">
                  <c:v>19.456472396850589</c:v>
                </c:pt>
                <c:pt idx="231">
                  <c:v>19.834014892578121</c:v>
                </c:pt>
                <c:pt idx="232">
                  <c:v>19.772552490234379</c:v>
                </c:pt>
                <c:pt idx="233">
                  <c:v>19.71987152099609</c:v>
                </c:pt>
                <c:pt idx="234">
                  <c:v>19.82523345947266</c:v>
                </c:pt>
                <c:pt idx="235">
                  <c:v>20.483732223510739</c:v>
                </c:pt>
                <c:pt idx="236">
                  <c:v>20.98419189453125</c:v>
                </c:pt>
                <c:pt idx="237">
                  <c:v>20.931512832641602</c:v>
                </c:pt>
                <c:pt idx="238">
                  <c:v>21.08077430725098</c:v>
                </c:pt>
                <c:pt idx="239">
                  <c:v>21.677816390991211</c:v>
                </c:pt>
                <c:pt idx="240">
                  <c:v>21.238811492919918</c:v>
                </c:pt>
                <c:pt idx="241">
                  <c:v>22.046575546264648</c:v>
                </c:pt>
                <c:pt idx="242">
                  <c:v>21.502214431762699</c:v>
                </c:pt>
                <c:pt idx="243">
                  <c:v>21.985113143920898</c:v>
                </c:pt>
                <c:pt idx="244">
                  <c:v>21.25637054443359</c:v>
                </c:pt>
                <c:pt idx="245">
                  <c:v>21.76561164855957</c:v>
                </c:pt>
                <c:pt idx="246">
                  <c:v>21.344173431396481</c:v>
                </c:pt>
                <c:pt idx="247">
                  <c:v>21.66025352478027</c:v>
                </c:pt>
                <c:pt idx="248">
                  <c:v>21.712932586669918</c:v>
                </c:pt>
                <c:pt idx="249">
                  <c:v>21.70415115356445</c:v>
                </c:pt>
                <c:pt idx="250">
                  <c:v>22.046575546264648</c:v>
                </c:pt>
                <c:pt idx="251">
                  <c:v>21.923652648925781</c:v>
                </c:pt>
                <c:pt idx="252">
                  <c:v>21.853410720825199</c:v>
                </c:pt>
                <c:pt idx="253">
                  <c:v>21.607572555541989</c:v>
                </c:pt>
                <c:pt idx="254">
                  <c:v>21.721710205078121</c:v>
                </c:pt>
                <c:pt idx="255">
                  <c:v>21.405632019042969</c:v>
                </c:pt>
                <c:pt idx="256">
                  <c:v>21.045654296875</c:v>
                </c:pt>
                <c:pt idx="257">
                  <c:v>20.91395378112793</c:v>
                </c:pt>
                <c:pt idx="258">
                  <c:v>20.808595657348629</c:v>
                </c:pt>
                <c:pt idx="259">
                  <c:v>20.23789215087891</c:v>
                </c:pt>
                <c:pt idx="260">
                  <c:v>19.81645393371582</c:v>
                </c:pt>
                <c:pt idx="261">
                  <c:v>18.604812622070309</c:v>
                </c:pt>
                <c:pt idx="262">
                  <c:v>17.963872909545898</c:v>
                </c:pt>
                <c:pt idx="263">
                  <c:v>18.05167388916016</c:v>
                </c:pt>
                <c:pt idx="264">
                  <c:v>17.928754806518551</c:v>
                </c:pt>
                <c:pt idx="265">
                  <c:v>18.060455322265621</c:v>
                </c:pt>
                <c:pt idx="266">
                  <c:v>18.157033920288089</c:v>
                </c:pt>
                <c:pt idx="267">
                  <c:v>17.788274765014648</c:v>
                </c:pt>
                <c:pt idx="268">
                  <c:v>17.919973373413089</c:v>
                </c:pt>
                <c:pt idx="269">
                  <c:v>17.665353775024411</c:v>
                </c:pt>
                <c:pt idx="270">
                  <c:v>17.665353775024411</c:v>
                </c:pt>
                <c:pt idx="271">
                  <c:v>17.998996734619141</c:v>
                </c:pt>
                <c:pt idx="272">
                  <c:v>17.445854187011719</c:v>
                </c:pt>
                <c:pt idx="273">
                  <c:v>17.691694259643551</c:v>
                </c:pt>
                <c:pt idx="274">
                  <c:v>17.753154754638668</c:v>
                </c:pt>
                <c:pt idx="275">
                  <c:v>18.095573425292969</c:v>
                </c:pt>
                <c:pt idx="276">
                  <c:v>17.832174301147461</c:v>
                </c:pt>
                <c:pt idx="277">
                  <c:v>17.42829513549805</c:v>
                </c:pt>
                <c:pt idx="278">
                  <c:v>17.40195274353027</c:v>
                </c:pt>
                <c:pt idx="279">
                  <c:v>17.349271774291989</c:v>
                </c:pt>
                <c:pt idx="280">
                  <c:v>17.041971206665039</c:v>
                </c:pt>
                <c:pt idx="281">
                  <c:v>17.147335052490231</c:v>
                </c:pt>
                <c:pt idx="282">
                  <c:v>17.077096939086911</c:v>
                </c:pt>
                <c:pt idx="283">
                  <c:v>16.629312515258789</c:v>
                </c:pt>
                <c:pt idx="284">
                  <c:v>17.217575073242191</c:v>
                </c:pt>
                <c:pt idx="285">
                  <c:v>16.488836288452148</c:v>
                </c:pt>
                <c:pt idx="286">
                  <c:v>16.357133865356449</c:v>
                </c:pt>
                <c:pt idx="287">
                  <c:v>16.418598175048832</c:v>
                </c:pt>
                <c:pt idx="288">
                  <c:v>16.58541297912598</c:v>
                </c:pt>
                <c:pt idx="289">
                  <c:v>16.155195236206051</c:v>
                </c:pt>
                <c:pt idx="290">
                  <c:v>15.926913261413571</c:v>
                </c:pt>
                <c:pt idx="291">
                  <c:v>16.199094772338871</c:v>
                </c:pt>
                <c:pt idx="292">
                  <c:v>16.68199348449707</c:v>
                </c:pt>
                <c:pt idx="293">
                  <c:v>16.744140625</c:v>
                </c:pt>
                <c:pt idx="294">
                  <c:v>16.89506912231445</c:v>
                </c:pt>
                <c:pt idx="295">
                  <c:v>17.321218490600589</c:v>
                </c:pt>
                <c:pt idx="296">
                  <c:v>17.205802917480469</c:v>
                </c:pt>
                <c:pt idx="297">
                  <c:v>17.250192642211911</c:v>
                </c:pt>
                <c:pt idx="298">
                  <c:v>17.205802917480469</c:v>
                </c:pt>
                <c:pt idx="299">
                  <c:v>17.0104866027832</c:v>
                </c:pt>
                <c:pt idx="300">
                  <c:v>16.761896133422852</c:v>
                </c:pt>
                <c:pt idx="301">
                  <c:v>16.273601531982418</c:v>
                </c:pt>
                <c:pt idx="302">
                  <c:v>15.847451210021971</c:v>
                </c:pt>
                <c:pt idx="303">
                  <c:v>16.193698883056641</c:v>
                </c:pt>
                <c:pt idx="304">
                  <c:v>16.238088607788089</c:v>
                </c:pt>
                <c:pt idx="305">
                  <c:v>15.68764495849609</c:v>
                </c:pt>
                <c:pt idx="306">
                  <c:v>15.76754760742188</c:v>
                </c:pt>
                <c:pt idx="307">
                  <c:v>16.664236068725589</c:v>
                </c:pt>
                <c:pt idx="308">
                  <c:v>16.26472282409668</c:v>
                </c:pt>
                <c:pt idx="309">
                  <c:v>16.37126350402832</c:v>
                </c:pt>
                <c:pt idx="310">
                  <c:v>16.575456619262699</c:v>
                </c:pt>
                <c:pt idx="311">
                  <c:v>16.655363082885739</c:v>
                </c:pt>
                <c:pt idx="312">
                  <c:v>16.38901519775391</c:v>
                </c:pt>
                <c:pt idx="313">
                  <c:v>16.522190093994141</c:v>
                </c:pt>
                <c:pt idx="314">
                  <c:v>16.433406829833981</c:v>
                </c:pt>
                <c:pt idx="315">
                  <c:v>16.735263824462891</c:v>
                </c:pt>
                <c:pt idx="316">
                  <c:v>16.575456619262699</c:v>
                </c:pt>
                <c:pt idx="317">
                  <c:v>16.806289672851559</c:v>
                </c:pt>
                <c:pt idx="318">
                  <c:v>17.0104866027832</c:v>
                </c:pt>
                <c:pt idx="319">
                  <c:v>16.921701431274411</c:v>
                </c:pt>
                <c:pt idx="320">
                  <c:v>16.38901519775391</c:v>
                </c:pt>
                <c:pt idx="321">
                  <c:v>16.167062759399411</c:v>
                </c:pt>
                <c:pt idx="322">
                  <c:v>16.07828330993652</c:v>
                </c:pt>
                <c:pt idx="323">
                  <c:v>15.8918399810791</c:v>
                </c:pt>
                <c:pt idx="324">
                  <c:v>16.131551742553711</c:v>
                </c:pt>
                <c:pt idx="325">
                  <c:v>16.37126350402832</c:v>
                </c:pt>
                <c:pt idx="326">
                  <c:v>16.610967636108398</c:v>
                </c:pt>
                <c:pt idx="327">
                  <c:v>16.619846343994141</c:v>
                </c:pt>
                <c:pt idx="328">
                  <c:v>17.054874420166019</c:v>
                </c:pt>
                <c:pt idx="329">
                  <c:v>16.761896133422852</c:v>
                </c:pt>
                <c:pt idx="330">
                  <c:v>16.47779655456543</c:v>
                </c:pt>
                <c:pt idx="331">
                  <c:v>15.900717735290529</c:v>
                </c:pt>
                <c:pt idx="332">
                  <c:v>16.610967636108398</c:v>
                </c:pt>
                <c:pt idx="333">
                  <c:v>17.001605987548832</c:v>
                </c:pt>
                <c:pt idx="334">
                  <c:v>17.303464889526371</c:v>
                </c:pt>
                <c:pt idx="335">
                  <c:v>17.418880462646481</c:v>
                </c:pt>
                <c:pt idx="336">
                  <c:v>17.303464889526371</c:v>
                </c:pt>
                <c:pt idx="337">
                  <c:v>17.845029830932621</c:v>
                </c:pt>
                <c:pt idx="338">
                  <c:v>17.8894157409668</c:v>
                </c:pt>
                <c:pt idx="339">
                  <c:v>18.031467437744141</c:v>
                </c:pt>
                <c:pt idx="340">
                  <c:v>17.995956420898441</c:v>
                </c:pt>
                <c:pt idx="341">
                  <c:v>17.91605377197266</c:v>
                </c:pt>
                <c:pt idx="342">
                  <c:v>18.093612670898441</c:v>
                </c:pt>
                <c:pt idx="343">
                  <c:v>17.8894157409668</c:v>
                </c:pt>
                <c:pt idx="344">
                  <c:v>17.85390663146973</c:v>
                </c:pt>
                <c:pt idx="345">
                  <c:v>17.85390663146973</c:v>
                </c:pt>
                <c:pt idx="346">
                  <c:v>17.8894157409668</c:v>
                </c:pt>
                <c:pt idx="347">
                  <c:v>17.836151123046879</c:v>
                </c:pt>
                <c:pt idx="348">
                  <c:v>17.729612350463871</c:v>
                </c:pt>
                <c:pt idx="349">
                  <c:v>17.560932159423832</c:v>
                </c:pt>
                <c:pt idx="350">
                  <c:v>17.330099105834961</c:v>
                </c:pt>
                <c:pt idx="351">
                  <c:v>17.090387344360352</c:v>
                </c:pt>
                <c:pt idx="352">
                  <c:v>17.090387344360352</c:v>
                </c:pt>
                <c:pt idx="353">
                  <c:v>17.028240203857418</c:v>
                </c:pt>
                <c:pt idx="354">
                  <c:v>16.548820495605469</c:v>
                </c:pt>
                <c:pt idx="355">
                  <c:v>16.32686805725098</c:v>
                </c:pt>
                <c:pt idx="356">
                  <c:v>16.362380981445309</c:v>
                </c:pt>
                <c:pt idx="357">
                  <c:v>16.246963500976559</c:v>
                </c:pt>
                <c:pt idx="358">
                  <c:v>16.353506088256839</c:v>
                </c:pt>
                <c:pt idx="359">
                  <c:v>16.060525894165039</c:v>
                </c:pt>
                <c:pt idx="360">
                  <c:v>15.96286678314209</c:v>
                </c:pt>
                <c:pt idx="361">
                  <c:v>16.362380981445309</c:v>
                </c:pt>
                <c:pt idx="362">
                  <c:v>16.451164245605469</c:v>
                </c:pt>
                <c:pt idx="363">
                  <c:v>16.921701431274411</c:v>
                </c:pt>
                <c:pt idx="364">
                  <c:v>17.081508636474609</c:v>
                </c:pt>
                <c:pt idx="365">
                  <c:v>16.47779655456543</c:v>
                </c:pt>
                <c:pt idx="366">
                  <c:v>16.0516471862793</c:v>
                </c:pt>
                <c:pt idx="367">
                  <c:v>15.794180870056151</c:v>
                </c:pt>
                <c:pt idx="368">
                  <c:v>15.430178642272949</c:v>
                </c:pt>
                <c:pt idx="369">
                  <c:v>15.456812858581539</c:v>
                </c:pt>
                <c:pt idx="370">
                  <c:v>15.11056518554688</c:v>
                </c:pt>
                <c:pt idx="371">
                  <c:v>15.11056518554688</c:v>
                </c:pt>
                <c:pt idx="372">
                  <c:v>14.8087100982666</c:v>
                </c:pt>
                <c:pt idx="373">
                  <c:v>14.746564865112299</c:v>
                </c:pt>
                <c:pt idx="374">
                  <c:v>14.81758880615234</c:v>
                </c:pt>
                <c:pt idx="375">
                  <c:v>14.90637111663818</c:v>
                </c:pt>
                <c:pt idx="376">
                  <c:v>15.190469741821291</c:v>
                </c:pt>
                <c:pt idx="377">
                  <c:v>15.0040283203125</c:v>
                </c:pt>
                <c:pt idx="378">
                  <c:v>15.06617546081543</c:v>
                </c:pt>
                <c:pt idx="379">
                  <c:v>15.137199401855471</c:v>
                </c:pt>
                <c:pt idx="380">
                  <c:v>15.714277267456049</c:v>
                </c:pt>
                <c:pt idx="381">
                  <c:v>15.66100978851318</c:v>
                </c:pt>
                <c:pt idx="382">
                  <c:v>15.51895904541016</c:v>
                </c:pt>
                <c:pt idx="383">
                  <c:v>15.146078109741209</c:v>
                </c:pt>
                <c:pt idx="384">
                  <c:v>15.58998394012451</c:v>
                </c:pt>
                <c:pt idx="385">
                  <c:v>15.208226203918461</c:v>
                </c:pt>
                <c:pt idx="386">
                  <c:v>15.18159294128418</c:v>
                </c:pt>
                <c:pt idx="387">
                  <c:v>16.02501106262207</c:v>
                </c:pt>
                <c:pt idx="388">
                  <c:v>15.81194019317627</c:v>
                </c:pt>
                <c:pt idx="389">
                  <c:v>16.1226692199707</c:v>
                </c:pt>
                <c:pt idx="390">
                  <c:v>16.042766571044918</c:v>
                </c:pt>
                <c:pt idx="391">
                  <c:v>15.82969284057617</c:v>
                </c:pt>
                <c:pt idx="392">
                  <c:v>15.882962226867679</c:v>
                </c:pt>
                <c:pt idx="393">
                  <c:v>16.246963500976559</c:v>
                </c:pt>
                <c:pt idx="394">
                  <c:v>16.37126350402832</c:v>
                </c:pt>
                <c:pt idx="395">
                  <c:v>16.53106689453125</c:v>
                </c:pt>
                <c:pt idx="396">
                  <c:v>16.584335327148441</c:v>
                </c:pt>
                <c:pt idx="397">
                  <c:v>16.612155914306641</c:v>
                </c:pt>
                <c:pt idx="398">
                  <c:v>16.863447189331051</c:v>
                </c:pt>
                <c:pt idx="399">
                  <c:v>16.809598922729489</c:v>
                </c:pt>
                <c:pt idx="400">
                  <c:v>16.97114181518555</c:v>
                </c:pt>
                <c:pt idx="401">
                  <c:v>16.522407531738281</c:v>
                </c:pt>
                <c:pt idx="402">
                  <c:v>16.324966430664059</c:v>
                </c:pt>
                <c:pt idx="403">
                  <c:v>16.45061111450195</c:v>
                </c:pt>
                <c:pt idx="404">
                  <c:v>16.67497634887695</c:v>
                </c:pt>
                <c:pt idx="405">
                  <c:v>16.818572998046879</c:v>
                </c:pt>
                <c:pt idx="406">
                  <c:v>16.585233688354489</c:v>
                </c:pt>
                <c:pt idx="407">
                  <c:v>17.231410980224609</c:v>
                </c:pt>
                <c:pt idx="408">
                  <c:v>17.725019454956051</c:v>
                </c:pt>
                <c:pt idx="409">
                  <c:v>17.545524597167969</c:v>
                </c:pt>
                <c:pt idx="410">
                  <c:v>17.733993530273441</c:v>
                </c:pt>
                <c:pt idx="411">
                  <c:v>17.671169281005859</c:v>
                </c:pt>
                <c:pt idx="412">
                  <c:v>17.48270225524902</c:v>
                </c:pt>
                <c:pt idx="413">
                  <c:v>17.473726272583011</c:v>
                </c:pt>
                <c:pt idx="414">
                  <c:v>17.321157455444339</c:v>
                </c:pt>
                <c:pt idx="415">
                  <c:v>17.383977890014648</c:v>
                </c:pt>
                <c:pt idx="416">
                  <c:v>17.5275764465332</c:v>
                </c:pt>
                <c:pt idx="417">
                  <c:v>17.87758827209473</c:v>
                </c:pt>
                <c:pt idx="418">
                  <c:v>17.6173210144043</c:v>
                </c:pt>
                <c:pt idx="419">
                  <c:v>17.689119338989261</c:v>
                </c:pt>
                <c:pt idx="420">
                  <c:v>18.26350021362305</c:v>
                </c:pt>
                <c:pt idx="421">
                  <c:v>18.407096862792969</c:v>
                </c:pt>
                <c:pt idx="422">
                  <c:v>18.119905471801761</c:v>
                </c:pt>
                <c:pt idx="423">
                  <c:v>17.725019454956051</c:v>
                </c:pt>
                <c:pt idx="424">
                  <c:v>17.419878005981449</c:v>
                </c:pt>
                <c:pt idx="425">
                  <c:v>17.40192985534668</c:v>
                </c:pt>
                <c:pt idx="426">
                  <c:v>17.572446823120121</c:v>
                </c:pt>
                <c:pt idx="427">
                  <c:v>16.594205856323239</c:v>
                </c:pt>
                <c:pt idx="428">
                  <c:v>16.522407531738281</c:v>
                </c:pt>
                <c:pt idx="429">
                  <c:v>16.809598922729489</c:v>
                </c:pt>
                <c:pt idx="430">
                  <c:v>16.80062294006348</c:v>
                </c:pt>
                <c:pt idx="431">
                  <c:v>16.3070182800293</c:v>
                </c:pt>
                <c:pt idx="432">
                  <c:v>15.912129402160639</c:v>
                </c:pt>
                <c:pt idx="433">
                  <c:v>16.046751022338871</c:v>
                </c:pt>
                <c:pt idx="434">
                  <c:v>16.208293914794918</c:v>
                </c:pt>
                <c:pt idx="435">
                  <c:v>16.351886749267582</c:v>
                </c:pt>
                <c:pt idx="436">
                  <c:v>16.09162521362305</c:v>
                </c:pt>
                <c:pt idx="437">
                  <c:v>16.082651138305661</c:v>
                </c:pt>
                <c:pt idx="438">
                  <c:v>16.18137168884277</c:v>
                </c:pt>
                <c:pt idx="439">
                  <c:v>16.118549346923832</c:v>
                </c:pt>
                <c:pt idx="440">
                  <c:v>16.369840621948239</c:v>
                </c:pt>
                <c:pt idx="441">
                  <c:v>16.163421630859379</c:v>
                </c:pt>
                <c:pt idx="442">
                  <c:v>16.36086463928223</c:v>
                </c:pt>
                <c:pt idx="443">
                  <c:v>16.244194030761719</c:v>
                </c:pt>
                <c:pt idx="444">
                  <c:v>15.867258071899411</c:v>
                </c:pt>
                <c:pt idx="445">
                  <c:v>15.98392868041992</c:v>
                </c:pt>
                <c:pt idx="446">
                  <c:v>16.154447555541989</c:v>
                </c:pt>
                <c:pt idx="447">
                  <c:v>16.00187873840332</c:v>
                </c:pt>
                <c:pt idx="448">
                  <c:v>16.262144088745121</c:v>
                </c:pt>
                <c:pt idx="449">
                  <c:v>16.513431549072269</c:v>
                </c:pt>
                <c:pt idx="450">
                  <c:v>16.62113189697266</c:v>
                </c:pt>
                <c:pt idx="451">
                  <c:v>16.75575065612793</c:v>
                </c:pt>
                <c:pt idx="452">
                  <c:v>16.82755088806152</c:v>
                </c:pt>
                <c:pt idx="453">
                  <c:v>16.88139533996582</c:v>
                </c:pt>
                <c:pt idx="454">
                  <c:v>16.854475021362301</c:v>
                </c:pt>
                <c:pt idx="455">
                  <c:v>17.09678840637207</c:v>
                </c:pt>
                <c:pt idx="456">
                  <c:v>16.9621696472168</c:v>
                </c:pt>
                <c:pt idx="457">
                  <c:v>16.71087646484375</c:v>
                </c:pt>
                <c:pt idx="458">
                  <c:v>16.998067855834961</c:v>
                </c:pt>
                <c:pt idx="459">
                  <c:v>16.74677658081055</c:v>
                </c:pt>
                <c:pt idx="460">
                  <c:v>16.773700714111332</c:v>
                </c:pt>
                <c:pt idx="461">
                  <c:v>16.872421264648441</c:v>
                </c:pt>
                <c:pt idx="462">
                  <c:v>17.069866180419918</c:v>
                </c:pt>
                <c:pt idx="463">
                  <c:v>17.509628295898441</c:v>
                </c:pt>
                <c:pt idx="464">
                  <c:v>17.30320930480957</c:v>
                </c:pt>
                <c:pt idx="465">
                  <c:v>16.8903694152832</c:v>
                </c:pt>
                <c:pt idx="466">
                  <c:v>17.078842163085941</c:v>
                </c:pt>
                <c:pt idx="467">
                  <c:v>17.19550895690918</c:v>
                </c:pt>
                <c:pt idx="468">
                  <c:v>17.357053756713871</c:v>
                </c:pt>
                <c:pt idx="469">
                  <c:v>17.19550895690918</c:v>
                </c:pt>
                <c:pt idx="470">
                  <c:v>17.069866180419918</c:v>
                </c:pt>
                <c:pt idx="471">
                  <c:v>17.159612655639648</c:v>
                </c:pt>
                <c:pt idx="472">
                  <c:v>17.258333206176761</c:v>
                </c:pt>
                <c:pt idx="473">
                  <c:v>17.159612655639648</c:v>
                </c:pt>
                <c:pt idx="474">
                  <c:v>17.123712539672852</c:v>
                </c:pt>
                <c:pt idx="475">
                  <c:v>16.863447189331051</c:v>
                </c:pt>
                <c:pt idx="476">
                  <c:v>16.71087646484375</c:v>
                </c:pt>
                <c:pt idx="477">
                  <c:v>16.782674789428711</c:v>
                </c:pt>
                <c:pt idx="478">
                  <c:v>16.45061111450195</c:v>
                </c:pt>
                <c:pt idx="479">
                  <c:v>16.298040390014648</c:v>
                </c:pt>
                <c:pt idx="480">
                  <c:v>16.100601196289059</c:v>
                </c:pt>
                <c:pt idx="481">
                  <c:v>16.172397613525391</c:v>
                </c:pt>
                <c:pt idx="482">
                  <c:v>16.2352180480957</c:v>
                </c:pt>
                <c:pt idx="483">
                  <c:v>16.31599044799805</c:v>
                </c:pt>
                <c:pt idx="484">
                  <c:v>16.387790679931641</c:v>
                </c:pt>
                <c:pt idx="485">
                  <c:v>16.351886749267582</c:v>
                </c:pt>
                <c:pt idx="486">
                  <c:v>16.298040390014648</c:v>
                </c:pt>
                <c:pt idx="487">
                  <c:v>15.90315628051758</c:v>
                </c:pt>
                <c:pt idx="488">
                  <c:v>15.867258071899411</c:v>
                </c:pt>
                <c:pt idx="489">
                  <c:v>15.499295234680179</c:v>
                </c:pt>
                <c:pt idx="490">
                  <c:v>15.553140640258791</c:v>
                </c:pt>
                <c:pt idx="491">
                  <c:v>15.194156646728519</c:v>
                </c:pt>
                <c:pt idx="492">
                  <c:v>15.427497863769529</c:v>
                </c:pt>
                <c:pt idx="493">
                  <c:v>15.15825366973877</c:v>
                </c:pt>
                <c:pt idx="494">
                  <c:v>15.194156646728519</c:v>
                </c:pt>
                <c:pt idx="495">
                  <c:v>15.15825366973877</c:v>
                </c:pt>
                <c:pt idx="496">
                  <c:v>14.89799118041992</c:v>
                </c:pt>
                <c:pt idx="497">
                  <c:v>15.20313167572021</c:v>
                </c:pt>
                <c:pt idx="498">
                  <c:v>15.07748222351074</c:v>
                </c:pt>
                <c:pt idx="499">
                  <c:v>15.274928092956539</c:v>
                </c:pt>
                <c:pt idx="500">
                  <c:v>15.05056190490723</c:v>
                </c:pt>
                <c:pt idx="501">
                  <c:v>15.22107982635498</c:v>
                </c:pt>
                <c:pt idx="502">
                  <c:v>15.38262271881104</c:v>
                </c:pt>
                <c:pt idx="503">
                  <c:v>15.651864051818849</c:v>
                </c:pt>
                <c:pt idx="504">
                  <c:v>15.633914947509769</c:v>
                </c:pt>
                <c:pt idx="505">
                  <c:v>15.589042663574221</c:v>
                </c:pt>
                <c:pt idx="506">
                  <c:v>15.553140640258791</c:v>
                </c:pt>
                <c:pt idx="507">
                  <c:v>15.481344223022459</c:v>
                </c:pt>
                <c:pt idx="508">
                  <c:v>15.606990814208981</c:v>
                </c:pt>
                <c:pt idx="509">
                  <c:v>15.66084098815918</c:v>
                </c:pt>
                <c:pt idx="510">
                  <c:v>15.31980037689209</c:v>
                </c:pt>
                <c:pt idx="511">
                  <c:v>13.821027755737299</c:v>
                </c:pt>
                <c:pt idx="512">
                  <c:v>13.62358474731445</c:v>
                </c:pt>
                <c:pt idx="513">
                  <c:v>13.632558822631839</c:v>
                </c:pt>
                <c:pt idx="514">
                  <c:v>13.42614078521729</c:v>
                </c:pt>
                <c:pt idx="515">
                  <c:v>13.30049419403076</c:v>
                </c:pt>
                <c:pt idx="516">
                  <c:v>13.327419281005859</c:v>
                </c:pt>
                <c:pt idx="517">
                  <c:v>13.34536743164062</c:v>
                </c:pt>
                <c:pt idx="518">
                  <c:v>13.30049419403076</c:v>
                </c:pt>
                <c:pt idx="519">
                  <c:v>13.27357006072998</c:v>
                </c:pt>
                <c:pt idx="520">
                  <c:v>13.327419281005859</c:v>
                </c:pt>
                <c:pt idx="521">
                  <c:v>13.740256309509279</c:v>
                </c:pt>
                <c:pt idx="522">
                  <c:v>13.946672439575201</c:v>
                </c:pt>
                <c:pt idx="523">
                  <c:v>13.90180015563965</c:v>
                </c:pt>
                <c:pt idx="524">
                  <c:v>13.946672439575201</c:v>
                </c:pt>
                <c:pt idx="525">
                  <c:v>13.803078651428221</c:v>
                </c:pt>
                <c:pt idx="526">
                  <c:v>13.73128128051758</c:v>
                </c:pt>
                <c:pt idx="527">
                  <c:v>13.6864070892334</c:v>
                </c:pt>
                <c:pt idx="528">
                  <c:v>13.695381164550779</c:v>
                </c:pt>
                <c:pt idx="529">
                  <c:v>13.7043571472168</c:v>
                </c:pt>
                <c:pt idx="530">
                  <c:v>13.73128128051758</c:v>
                </c:pt>
                <c:pt idx="531">
                  <c:v>13.488962173461911</c:v>
                </c:pt>
                <c:pt idx="532">
                  <c:v>13.53383731842041</c:v>
                </c:pt>
                <c:pt idx="533">
                  <c:v>13.767178535461429</c:v>
                </c:pt>
                <c:pt idx="534">
                  <c:v>13.56076049804688</c:v>
                </c:pt>
                <c:pt idx="535">
                  <c:v>13.632558822631839</c:v>
                </c:pt>
                <c:pt idx="536">
                  <c:v>13.596658706665041</c:v>
                </c:pt>
                <c:pt idx="537">
                  <c:v>13.6864070892334</c:v>
                </c:pt>
                <c:pt idx="538">
                  <c:v>14.045393943786619</c:v>
                </c:pt>
                <c:pt idx="539">
                  <c:v>13.9376974105835</c:v>
                </c:pt>
                <c:pt idx="540">
                  <c:v>13.96462249755859</c:v>
                </c:pt>
                <c:pt idx="541">
                  <c:v>14.05436992645264</c:v>
                </c:pt>
                <c:pt idx="542">
                  <c:v>14.242836952209471</c:v>
                </c:pt>
                <c:pt idx="543">
                  <c:v>14.26976203918457</c:v>
                </c:pt>
                <c:pt idx="544">
                  <c:v>14.323610305786129</c:v>
                </c:pt>
                <c:pt idx="545">
                  <c:v>14.399106025695801</c:v>
                </c:pt>
                <c:pt idx="546">
                  <c:v>14.37181949615479</c:v>
                </c:pt>
                <c:pt idx="547">
                  <c:v>14.007975578308111</c:v>
                </c:pt>
                <c:pt idx="548">
                  <c:v>14.22628116607666</c:v>
                </c:pt>
                <c:pt idx="549">
                  <c:v>14.22628116607666</c:v>
                </c:pt>
                <c:pt idx="550">
                  <c:v>14.044358253479</c:v>
                </c:pt>
                <c:pt idx="551">
                  <c:v>14.05345630645752</c:v>
                </c:pt>
                <c:pt idx="552">
                  <c:v>14.38091564178467</c:v>
                </c:pt>
                <c:pt idx="553">
                  <c:v>14.417299270629879</c:v>
                </c:pt>
                <c:pt idx="554">
                  <c:v>14.153512954711911</c:v>
                </c:pt>
                <c:pt idx="555">
                  <c:v>14.208088874816889</c:v>
                </c:pt>
                <c:pt idx="556">
                  <c:v>14.399106025695801</c:v>
                </c:pt>
                <c:pt idx="557">
                  <c:v>14.22628116607666</c:v>
                </c:pt>
                <c:pt idx="558">
                  <c:v>13.998879432678221</c:v>
                </c:pt>
                <c:pt idx="559">
                  <c:v>14.07164859771729</c:v>
                </c:pt>
                <c:pt idx="560">
                  <c:v>13.826052665710449</c:v>
                </c:pt>
                <c:pt idx="561">
                  <c:v>14.098936080932621</c:v>
                </c:pt>
                <c:pt idx="562">
                  <c:v>14.208088874816889</c:v>
                </c:pt>
                <c:pt idx="563">
                  <c:v>14.326337814331049</c:v>
                </c:pt>
                <c:pt idx="564">
                  <c:v>14.46277904510498</c:v>
                </c:pt>
                <c:pt idx="565">
                  <c:v>14.61741352081299</c:v>
                </c:pt>
                <c:pt idx="566">
                  <c:v>14.68108654022217</c:v>
                </c:pt>
                <c:pt idx="567">
                  <c:v>14.790239334106451</c:v>
                </c:pt>
                <c:pt idx="568">
                  <c:v>14.61741352081299</c:v>
                </c:pt>
                <c:pt idx="569">
                  <c:v>14.599221229553221</c:v>
                </c:pt>
                <c:pt idx="570">
                  <c:v>14.56283664703369</c:v>
                </c:pt>
                <c:pt idx="571">
                  <c:v>14.77204608917236</c:v>
                </c:pt>
                <c:pt idx="572">
                  <c:v>14.61741352081299</c:v>
                </c:pt>
                <c:pt idx="573">
                  <c:v>15.27233219146729</c:v>
                </c:pt>
                <c:pt idx="574">
                  <c:v>15.499733924865721</c:v>
                </c:pt>
                <c:pt idx="575">
                  <c:v>15.72713565826416</c:v>
                </c:pt>
                <c:pt idx="576">
                  <c:v>16.263803482055661</c:v>
                </c:pt>
                <c:pt idx="577">
                  <c:v>16.109170913696289</c:v>
                </c:pt>
                <c:pt idx="578">
                  <c:v>14.753854751586911</c:v>
                </c:pt>
                <c:pt idx="579">
                  <c:v>14.82662391662598</c:v>
                </c:pt>
                <c:pt idx="580">
                  <c:v>14.753854751586911</c:v>
                </c:pt>
                <c:pt idx="581">
                  <c:v>14.89939117431641</c:v>
                </c:pt>
                <c:pt idx="582">
                  <c:v>15.11769962310791</c:v>
                </c:pt>
                <c:pt idx="583">
                  <c:v>15.12679290771484</c:v>
                </c:pt>
                <c:pt idx="584">
                  <c:v>14.972159385681151</c:v>
                </c:pt>
                <c:pt idx="585">
                  <c:v>15.15408229827881</c:v>
                </c:pt>
                <c:pt idx="586">
                  <c:v>15.28142642974854</c:v>
                </c:pt>
                <c:pt idx="587">
                  <c:v>15.026737213134769</c:v>
                </c:pt>
                <c:pt idx="588">
                  <c:v>15.017641067504879</c:v>
                </c:pt>
                <c:pt idx="589">
                  <c:v>15.19956207275391</c:v>
                </c:pt>
                <c:pt idx="590">
                  <c:v>15.263235092163089</c:v>
                </c:pt>
                <c:pt idx="591">
                  <c:v>15.25413990020752</c:v>
                </c:pt>
                <c:pt idx="592">
                  <c:v>15.19956207275391</c:v>
                </c:pt>
                <c:pt idx="593">
                  <c:v>15.34509944915771</c:v>
                </c:pt>
                <c:pt idx="594">
                  <c:v>15.172275543212891</c:v>
                </c:pt>
                <c:pt idx="595">
                  <c:v>15.33600425720215</c:v>
                </c:pt>
                <c:pt idx="596">
                  <c:v>15.58159828186035</c:v>
                </c:pt>
                <c:pt idx="597">
                  <c:v>15.58159828186035</c:v>
                </c:pt>
                <c:pt idx="598">
                  <c:v>15.436060905456539</c:v>
                </c:pt>
                <c:pt idx="599">
                  <c:v>15.208658218383791</c:v>
                </c:pt>
                <c:pt idx="600">
                  <c:v>15.354195594787599</c:v>
                </c:pt>
                <c:pt idx="601">
                  <c:v>15.45425510406494</c:v>
                </c:pt>
                <c:pt idx="602">
                  <c:v>15.708945274353029</c:v>
                </c:pt>
                <c:pt idx="603">
                  <c:v>15.58159828186035</c:v>
                </c:pt>
                <c:pt idx="604">
                  <c:v>15.690750122070311</c:v>
                </c:pt>
                <c:pt idx="605">
                  <c:v>15.76351737976074</c:v>
                </c:pt>
                <c:pt idx="606">
                  <c:v>15.84538745880127</c:v>
                </c:pt>
                <c:pt idx="607">
                  <c:v>15.963631629943849</c:v>
                </c:pt>
                <c:pt idx="608">
                  <c:v>15.799904823303221</c:v>
                </c:pt>
                <c:pt idx="609">
                  <c:v>15.93634605407715</c:v>
                </c:pt>
                <c:pt idx="610">
                  <c:v>16.163749694824219</c:v>
                </c:pt>
                <c:pt idx="611">
                  <c:v>15.990921974182131</c:v>
                </c:pt>
                <c:pt idx="612">
                  <c:v>15.93634605407715</c:v>
                </c:pt>
                <c:pt idx="613">
                  <c:v>16.14555740356445</c:v>
                </c:pt>
                <c:pt idx="614">
                  <c:v>16.32747840881348</c:v>
                </c:pt>
                <c:pt idx="615">
                  <c:v>16.427534103393551</c:v>
                </c:pt>
                <c:pt idx="616">
                  <c:v>16.372957229614261</c:v>
                </c:pt>
                <c:pt idx="617">
                  <c:v>16.473016738891602</c:v>
                </c:pt>
                <c:pt idx="618">
                  <c:v>16.14555740356445</c:v>
                </c:pt>
                <c:pt idx="619">
                  <c:v>16.154653549194339</c:v>
                </c:pt>
                <c:pt idx="620">
                  <c:v>16.181940078735352</c:v>
                </c:pt>
                <c:pt idx="621">
                  <c:v>16.27290153503418</c:v>
                </c:pt>
                <c:pt idx="622">
                  <c:v>16.136459350585941</c:v>
                </c:pt>
                <c:pt idx="623">
                  <c:v>16.172843933105469</c:v>
                </c:pt>
                <c:pt idx="624">
                  <c:v>16.01821136474609</c:v>
                </c:pt>
                <c:pt idx="625">
                  <c:v>15.708945274353029</c:v>
                </c:pt>
                <c:pt idx="626">
                  <c:v>15.863576889038089</c:v>
                </c:pt>
                <c:pt idx="627">
                  <c:v>15.42696571350098</c:v>
                </c:pt>
                <c:pt idx="628">
                  <c:v>15.563406944274901</c:v>
                </c:pt>
                <c:pt idx="629">
                  <c:v>15.627079010009769</c:v>
                </c:pt>
                <c:pt idx="630">
                  <c:v>15.46334934234619</c:v>
                </c:pt>
                <c:pt idx="631">
                  <c:v>15.863576889038089</c:v>
                </c:pt>
                <c:pt idx="632">
                  <c:v>16.01821136474609</c:v>
                </c:pt>
                <c:pt idx="633">
                  <c:v>16.181940078735352</c:v>
                </c:pt>
                <c:pt idx="634">
                  <c:v>16.14555740356445</c:v>
                </c:pt>
                <c:pt idx="635">
                  <c:v>16.236516952514648</c:v>
                </c:pt>
                <c:pt idx="636">
                  <c:v>16.01821136474609</c:v>
                </c:pt>
                <c:pt idx="637">
                  <c:v>14.972159385681151</c:v>
                </c:pt>
                <c:pt idx="638">
                  <c:v>15.37238693237305</c:v>
                </c:pt>
                <c:pt idx="639">
                  <c:v>15.654365539550779</c:v>
                </c:pt>
                <c:pt idx="640">
                  <c:v>15.78171348571777</c:v>
                </c:pt>
                <c:pt idx="641">
                  <c:v>15.590695381164551</c:v>
                </c:pt>
                <c:pt idx="642">
                  <c:v>15.54521656036377</c:v>
                </c:pt>
                <c:pt idx="643">
                  <c:v>15.436060905456539</c:v>
                </c:pt>
                <c:pt idx="644">
                  <c:v>15.263235092163089</c:v>
                </c:pt>
                <c:pt idx="645">
                  <c:v>15.462272644042971</c:v>
                </c:pt>
                <c:pt idx="646">
                  <c:v>15.09368324279785</c:v>
                </c:pt>
                <c:pt idx="647">
                  <c:v>15.03839683532715</c:v>
                </c:pt>
                <c:pt idx="648">
                  <c:v>15.14897441864014</c:v>
                </c:pt>
                <c:pt idx="649">
                  <c:v>15.20426082611084</c:v>
                </c:pt>
                <c:pt idx="650">
                  <c:v>15.13054370880127</c:v>
                </c:pt>
                <c:pt idx="651">
                  <c:v>15.112112998962401</c:v>
                </c:pt>
                <c:pt idx="652">
                  <c:v>15.379341125488279</c:v>
                </c:pt>
                <c:pt idx="653">
                  <c:v>15.370125770568849</c:v>
                </c:pt>
                <c:pt idx="654">
                  <c:v>15.53599166870117</c:v>
                </c:pt>
                <c:pt idx="655">
                  <c:v>15.471487998962401</c:v>
                </c:pt>
                <c:pt idx="656">
                  <c:v>15.36091136932373</c:v>
                </c:pt>
                <c:pt idx="657">
                  <c:v>15.07525539398193</c:v>
                </c:pt>
                <c:pt idx="658">
                  <c:v>15.324050903320311</c:v>
                </c:pt>
                <c:pt idx="659">
                  <c:v>15.250332832336429</c:v>
                </c:pt>
                <c:pt idx="660">
                  <c:v>15.59127902984619</c:v>
                </c:pt>
                <c:pt idx="661">
                  <c:v>15.996725082397459</c:v>
                </c:pt>
                <c:pt idx="662">
                  <c:v>15.91379547119141</c:v>
                </c:pt>
                <c:pt idx="663">
                  <c:v>16.134946823120121</c:v>
                </c:pt>
                <c:pt idx="664">
                  <c:v>16.162590026855469</c:v>
                </c:pt>
                <c:pt idx="665">
                  <c:v>16.070444107055661</c:v>
                </c:pt>
                <c:pt idx="666">
                  <c:v>16.19944953918457</c:v>
                </c:pt>
                <c:pt idx="667">
                  <c:v>16.098087310791019</c:v>
                </c:pt>
                <c:pt idx="668">
                  <c:v>16.005941390991211</c:v>
                </c:pt>
                <c:pt idx="669">
                  <c:v>16.24552154541016</c:v>
                </c:pt>
                <c:pt idx="670">
                  <c:v>16.236309051513668</c:v>
                </c:pt>
                <c:pt idx="671">
                  <c:v>16.17180252075195</c:v>
                </c:pt>
                <c:pt idx="672">
                  <c:v>16.33766937255859</c:v>
                </c:pt>
                <c:pt idx="673">
                  <c:v>16.300809860229489</c:v>
                </c:pt>
                <c:pt idx="674">
                  <c:v>16.088871002197269</c:v>
                </c:pt>
                <c:pt idx="675">
                  <c:v>16.300809860229489</c:v>
                </c:pt>
                <c:pt idx="676">
                  <c:v>16.25473594665527</c:v>
                </c:pt>
                <c:pt idx="677">
                  <c:v>16.485103607177731</c:v>
                </c:pt>
                <c:pt idx="678">
                  <c:v>16.04279708862305</c:v>
                </c:pt>
                <c:pt idx="679">
                  <c:v>16.17180252075195</c:v>
                </c:pt>
                <c:pt idx="680">
                  <c:v>16.098087310791019</c:v>
                </c:pt>
                <c:pt idx="681">
                  <c:v>16.927410125732418</c:v>
                </c:pt>
                <c:pt idx="682">
                  <c:v>17.203851699829102</c:v>
                </c:pt>
                <c:pt idx="683">
                  <c:v>17.323640823364261</c:v>
                </c:pt>
                <c:pt idx="684">
                  <c:v>17.31442832946777</c:v>
                </c:pt>
                <c:pt idx="685">
                  <c:v>16.97348594665527</c:v>
                </c:pt>
                <c:pt idx="686">
                  <c:v>16.964267730712891</c:v>
                </c:pt>
                <c:pt idx="687">
                  <c:v>17.286787033081051</c:v>
                </c:pt>
                <c:pt idx="688">
                  <c:v>17.001129150390621</c:v>
                </c:pt>
                <c:pt idx="689">
                  <c:v>17.139348983764648</c:v>
                </c:pt>
                <c:pt idx="690">
                  <c:v>17.102487564086911</c:v>
                </c:pt>
                <c:pt idx="691">
                  <c:v>16.936624526977539</c:v>
                </c:pt>
                <c:pt idx="692">
                  <c:v>16.660182952880859</c:v>
                </c:pt>
                <c:pt idx="693">
                  <c:v>16.623325347900391</c:v>
                </c:pt>
                <c:pt idx="694">
                  <c:v>16.650966644287109</c:v>
                </c:pt>
                <c:pt idx="695">
                  <c:v>16.67861366271973</c:v>
                </c:pt>
                <c:pt idx="696">
                  <c:v>16.95505332946777</c:v>
                </c:pt>
                <c:pt idx="697">
                  <c:v>16.816835403442379</c:v>
                </c:pt>
                <c:pt idx="698">
                  <c:v>16.67861366271973</c:v>
                </c:pt>
                <c:pt idx="699">
                  <c:v>17.342071533203121</c:v>
                </c:pt>
                <c:pt idx="700">
                  <c:v>18.060819625854489</c:v>
                </c:pt>
                <c:pt idx="701">
                  <c:v>17.94102668762207</c:v>
                </c:pt>
                <c:pt idx="702">
                  <c:v>18.005533218383789</c:v>
                </c:pt>
                <c:pt idx="703">
                  <c:v>18.272756576538089</c:v>
                </c:pt>
                <c:pt idx="704">
                  <c:v>18.420192718505859</c:v>
                </c:pt>
                <c:pt idx="705">
                  <c:v>18.309616088867191</c:v>
                </c:pt>
                <c:pt idx="706">
                  <c:v>18.23590087890625</c:v>
                </c:pt>
                <c:pt idx="707">
                  <c:v>18.420192718505859</c:v>
                </c:pt>
                <c:pt idx="708">
                  <c:v>18.5123405456543</c:v>
                </c:pt>
                <c:pt idx="709">
                  <c:v>18.63212966918945</c:v>
                </c:pt>
                <c:pt idx="710">
                  <c:v>18.586057662963871</c:v>
                </c:pt>
                <c:pt idx="711">
                  <c:v>18.383335113525391</c:v>
                </c:pt>
                <c:pt idx="712">
                  <c:v>18.30040168762207</c:v>
                </c:pt>
                <c:pt idx="713">
                  <c:v>18.604486465454102</c:v>
                </c:pt>
                <c:pt idx="714">
                  <c:v>18.751920700073239</c:v>
                </c:pt>
                <c:pt idx="715">
                  <c:v>18.70584869384766</c:v>
                </c:pt>
                <c:pt idx="716">
                  <c:v>18.99150466918945</c:v>
                </c:pt>
                <c:pt idx="717">
                  <c:v>18.825641632080082</c:v>
                </c:pt>
                <c:pt idx="718">
                  <c:v>18.604486465454102</c:v>
                </c:pt>
                <c:pt idx="719">
                  <c:v>18.521554946899411</c:v>
                </c:pt>
                <c:pt idx="720">
                  <c:v>18.55841064453125</c:v>
                </c:pt>
                <c:pt idx="721">
                  <c:v>18.30040168762207</c:v>
                </c:pt>
                <c:pt idx="722">
                  <c:v>18.595272064208981</c:v>
                </c:pt>
                <c:pt idx="723">
                  <c:v>18.715061187744141</c:v>
                </c:pt>
                <c:pt idx="724">
                  <c:v>18.86249923706055</c:v>
                </c:pt>
                <c:pt idx="725">
                  <c:v>18.44783782958984</c:v>
                </c:pt>
                <c:pt idx="726">
                  <c:v>18.2266845703125</c:v>
                </c:pt>
                <c:pt idx="727">
                  <c:v>18.715061187744141</c:v>
                </c:pt>
                <c:pt idx="728">
                  <c:v>18.530769348144531</c:v>
                </c:pt>
                <c:pt idx="729">
                  <c:v>18.420192718505859</c:v>
                </c:pt>
                <c:pt idx="730">
                  <c:v>18.429409027099609</c:v>
                </c:pt>
                <c:pt idx="731">
                  <c:v>18.383335113525391</c:v>
                </c:pt>
                <c:pt idx="732">
                  <c:v>18.392547607421879</c:v>
                </c:pt>
                <c:pt idx="733">
                  <c:v>18.272756576538089</c:v>
                </c:pt>
                <c:pt idx="734">
                  <c:v>18.245113372802731</c:v>
                </c:pt>
                <c:pt idx="735">
                  <c:v>17.775165557861332</c:v>
                </c:pt>
                <c:pt idx="736">
                  <c:v>17.8120231628418</c:v>
                </c:pt>
                <c:pt idx="737">
                  <c:v>17.867307662963871</c:v>
                </c:pt>
                <c:pt idx="738">
                  <c:v>17.74752044677734</c:v>
                </c:pt>
                <c:pt idx="739">
                  <c:v>17.710659027099609</c:v>
                </c:pt>
                <c:pt idx="740">
                  <c:v>17.894954681396481</c:v>
                </c:pt>
                <c:pt idx="741">
                  <c:v>17.867307662963871</c:v>
                </c:pt>
                <c:pt idx="742">
                  <c:v>18.116107940673832</c:v>
                </c:pt>
                <c:pt idx="743">
                  <c:v>17.71987342834473</c:v>
                </c:pt>
                <c:pt idx="744">
                  <c:v>17.66458702087402</c:v>
                </c:pt>
                <c:pt idx="745">
                  <c:v>17.36971473693848</c:v>
                </c:pt>
                <c:pt idx="746">
                  <c:v>17.443435668945309</c:v>
                </c:pt>
                <c:pt idx="747">
                  <c:v>16.779973983764648</c:v>
                </c:pt>
                <c:pt idx="748">
                  <c:v>16.32845306396484</c:v>
                </c:pt>
                <c:pt idx="749">
                  <c:v>16.24552154541016</c:v>
                </c:pt>
                <c:pt idx="750">
                  <c:v>16.35610198974609</c:v>
                </c:pt>
                <c:pt idx="751">
                  <c:v>16.392959594726559</c:v>
                </c:pt>
                <c:pt idx="752">
                  <c:v>16.521965026855469</c:v>
                </c:pt>
                <c:pt idx="753">
                  <c:v>16.19944953918457</c:v>
                </c:pt>
                <c:pt idx="754">
                  <c:v>16.19944953918457</c:v>
                </c:pt>
                <c:pt idx="755">
                  <c:v>16.32845306396484</c:v>
                </c:pt>
                <c:pt idx="756">
                  <c:v>16.35610198974609</c:v>
                </c:pt>
                <c:pt idx="757">
                  <c:v>16.429817199707031</c:v>
                </c:pt>
                <c:pt idx="758">
                  <c:v>16.457460403442379</c:v>
                </c:pt>
                <c:pt idx="759">
                  <c:v>16.76154708862305</c:v>
                </c:pt>
                <c:pt idx="760">
                  <c:v>16.586467742919918</c:v>
                </c:pt>
                <c:pt idx="761">
                  <c:v>16.531181335449219</c:v>
                </c:pt>
                <c:pt idx="762">
                  <c:v>16.32845306396484</c:v>
                </c:pt>
                <c:pt idx="763">
                  <c:v>15.91379547119141</c:v>
                </c:pt>
                <c:pt idx="764">
                  <c:v>15.711067199707029</c:v>
                </c:pt>
                <c:pt idx="765">
                  <c:v>15.618924140930179</c:v>
                </c:pt>
                <c:pt idx="766">
                  <c:v>15.213475227355961</c:v>
                </c:pt>
                <c:pt idx="767">
                  <c:v>15.48991584777832</c:v>
                </c:pt>
                <c:pt idx="768">
                  <c:v>15.94143676757812</c:v>
                </c:pt>
                <c:pt idx="769">
                  <c:v>15.81243228912354</c:v>
                </c:pt>
                <c:pt idx="770">
                  <c:v>15.70185470581055</c:v>
                </c:pt>
                <c:pt idx="771">
                  <c:v>15.674211502075201</c:v>
                </c:pt>
                <c:pt idx="772">
                  <c:v>15.60971069335938</c:v>
                </c:pt>
                <c:pt idx="773">
                  <c:v>15.637351036071779</c:v>
                </c:pt>
                <c:pt idx="774">
                  <c:v>15.397768974304199</c:v>
                </c:pt>
                <c:pt idx="775">
                  <c:v>15.453060150146481</c:v>
                </c:pt>
                <c:pt idx="776">
                  <c:v>15.545205116271971</c:v>
                </c:pt>
                <c:pt idx="777">
                  <c:v>15.60049438476562</c:v>
                </c:pt>
                <c:pt idx="778">
                  <c:v>15.637351036071779</c:v>
                </c:pt>
                <c:pt idx="779">
                  <c:v>15.784786224365231</c:v>
                </c:pt>
                <c:pt idx="780">
                  <c:v>15.74792957305908</c:v>
                </c:pt>
                <c:pt idx="781">
                  <c:v>15.637351036071779</c:v>
                </c:pt>
                <c:pt idx="782">
                  <c:v>15.545205116271971</c:v>
                </c:pt>
                <c:pt idx="783">
                  <c:v>15.59127902984619</c:v>
                </c:pt>
                <c:pt idx="784">
                  <c:v>15.618924140930179</c:v>
                </c:pt>
                <c:pt idx="785">
                  <c:v>15.711067199707029</c:v>
                </c:pt>
                <c:pt idx="786">
                  <c:v>15.886149406433111</c:v>
                </c:pt>
                <c:pt idx="787">
                  <c:v>15.784786224365231</c:v>
                </c:pt>
                <c:pt idx="788">
                  <c:v>15.784786224365231</c:v>
                </c:pt>
                <c:pt idx="789">
                  <c:v>15.674211502075201</c:v>
                </c:pt>
                <c:pt idx="790">
                  <c:v>15.91379547119141</c:v>
                </c:pt>
                <c:pt idx="791">
                  <c:v>16.03358268737793</c:v>
                </c:pt>
                <c:pt idx="792">
                  <c:v>15.996725082397459</c:v>
                </c:pt>
                <c:pt idx="793">
                  <c:v>15.959866523742679</c:v>
                </c:pt>
                <c:pt idx="794">
                  <c:v>15.69264030456543</c:v>
                </c:pt>
                <c:pt idx="795">
                  <c:v>15.545205116271971</c:v>
                </c:pt>
                <c:pt idx="796">
                  <c:v>15.74733734130859</c:v>
                </c:pt>
                <c:pt idx="797">
                  <c:v>15.841349601745611</c:v>
                </c:pt>
                <c:pt idx="798">
                  <c:v>15.79434108734131</c:v>
                </c:pt>
                <c:pt idx="799">
                  <c:v>16.12339019775391</c:v>
                </c:pt>
                <c:pt idx="800">
                  <c:v>16.490045547485352</c:v>
                </c:pt>
                <c:pt idx="801">
                  <c:v>16.931911468505859</c:v>
                </c:pt>
                <c:pt idx="802">
                  <c:v>16.772087097167969</c:v>
                </c:pt>
                <c:pt idx="803">
                  <c:v>16.725082397460941</c:v>
                </c:pt>
                <c:pt idx="804">
                  <c:v>16.790889739990231</c:v>
                </c:pt>
                <c:pt idx="805">
                  <c:v>16.74388313293457</c:v>
                </c:pt>
                <c:pt idx="806">
                  <c:v>16.725082397460941</c:v>
                </c:pt>
                <c:pt idx="807">
                  <c:v>16.866104125976559</c:v>
                </c:pt>
                <c:pt idx="808">
                  <c:v>16.837896347045898</c:v>
                </c:pt>
                <c:pt idx="809">
                  <c:v>17.176349639892582</c:v>
                </c:pt>
                <c:pt idx="810">
                  <c:v>16.978916168212891</c:v>
                </c:pt>
                <c:pt idx="811">
                  <c:v>17.054128646850589</c:v>
                </c:pt>
                <c:pt idx="812">
                  <c:v>17.242156982421879</c:v>
                </c:pt>
                <c:pt idx="813">
                  <c:v>17.129339218139648</c:v>
                </c:pt>
                <c:pt idx="814">
                  <c:v>17.514797210693359</c:v>
                </c:pt>
                <c:pt idx="815">
                  <c:v>17.50539588928223</c:v>
                </c:pt>
                <c:pt idx="816">
                  <c:v>17.637018203735352</c:v>
                </c:pt>
                <c:pt idx="817">
                  <c:v>18.07888031005859</c:v>
                </c:pt>
                <c:pt idx="818">
                  <c:v>18.210500717163089</c:v>
                </c:pt>
                <c:pt idx="819">
                  <c:v>18.266910552978519</c:v>
                </c:pt>
                <c:pt idx="820">
                  <c:v>18.332719802856449</c:v>
                </c:pt>
                <c:pt idx="821">
                  <c:v>18.14468955993652</c:v>
                </c:pt>
                <c:pt idx="822">
                  <c:v>18.210500717163089</c:v>
                </c:pt>
                <c:pt idx="823">
                  <c:v>18.699371337890621</c:v>
                </c:pt>
                <c:pt idx="824">
                  <c:v>19.178842544555661</c:v>
                </c:pt>
                <c:pt idx="825">
                  <c:v>19.094230651855469</c:v>
                </c:pt>
                <c:pt idx="826">
                  <c:v>19.423280715942379</c:v>
                </c:pt>
                <c:pt idx="827">
                  <c:v>19.30106353759766</c:v>
                </c:pt>
                <c:pt idx="828">
                  <c:v>20.918100357055661</c:v>
                </c:pt>
                <c:pt idx="829">
                  <c:v>20.382223129272461</c:v>
                </c:pt>
                <c:pt idx="830">
                  <c:v>20.485639572143551</c:v>
                </c:pt>
                <c:pt idx="831">
                  <c:v>20.75827598571777</c:v>
                </c:pt>
                <c:pt idx="832">
                  <c:v>20.551448822021481</c:v>
                </c:pt>
                <c:pt idx="833">
                  <c:v>20.692470550537109</c:v>
                </c:pt>
                <c:pt idx="834">
                  <c:v>21.425779342651371</c:v>
                </c:pt>
                <c:pt idx="835">
                  <c:v>21.247152328491211</c:v>
                </c:pt>
                <c:pt idx="836">
                  <c:v>21.256551742553711</c:v>
                </c:pt>
                <c:pt idx="837">
                  <c:v>20.80528450012207</c:v>
                </c:pt>
                <c:pt idx="838">
                  <c:v>20.965108871459961</c:v>
                </c:pt>
                <c:pt idx="839">
                  <c:v>20.466836929321289</c:v>
                </c:pt>
                <c:pt idx="840">
                  <c:v>19.554901123046879</c:v>
                </c:pt>
                <c:pt idx="841">
                  <c:v>19.733526229858398</c:v>
                </c:pt>
                <c:pt idx="842">
                  <c:v>19.714723587036129</c:v>
                </c:pt>
                <c:pt idx="843">
                  <c:v>19.87454795837402</c:v>
                </c:pt>
                <c:pt idx="844">
                  <c:v>20.024969100952148</c:v>
                </c:pt>
                <c:pt idx="845">
                  <c:v>20.034372329711911</c:v>
                </c:pt>
                <c:pt idx="846">
                  <c:v>20.297611236572269</c:v>
                </c:pt>
                <c:pt idx="847">
                  <c:v>20.44803428649902</c:v>
                </c:pt>
                <c:pt idx="848">
                  <c:v>20.52324295043945</c:v>
                </c:pt>
                <c:pt idx="849">
                  <c:v>20.692470550537109</c:v>
                </c:pt>
                <c:pt idx="850">
                  <c:v>20.927505493164059</c:v>
                </c:pt>
                <c:pt idx="851">
                  <c:v>20.97451019287109</c:v>
                </c:pt>
                <c:pt idx="852">
                  <c:v>21.21894645690918</c:v>
                </c:pt>
                <c:pt idx="853">
                  <c:v>21.002714157104489</c:v>
                </c:pt>
                <c:pt idx="854">
                  <c:v>21.002714157104489</c:v>
                </c:pt>
                <c:pt idx="855">
                  <c:v>21.09672927856445</c:v>
                </c:pt>
                <c:pt idx="856">
                  <c:v>21.435178756713871</c:v>
                </c:pt>
                <c:pt idx="857">
                  <c:v>21.62320709228516</c:v>
                </c:pt>
                <c:pt idx="858">
                  <c:v>21.811235427856449</c:v>
                </c:pt>
                <c:pt idx="859">
                  <c:v>21.886445999145511</c:v>
                </c:pt>
                <c:pt idx="860">
                  <c:v>21.604404449462891</c:v>
                </c:pt>
                <c:pt idx="861">
                  <c:v>21.67961502075195</c:v>
                </c:pt>
                <c:pt idx="862">
                  <c:v>21.529191970825199</c:v>
                </c:pt>
                <c:pt idx="863">
                  <c:v>21.190744400024411</c:v>
                </c:pt>
                <c:pt idx="864">
                  <c:v>21.26595497131348</c:v>
                </c:pt>
                <c:pt idx="865">
                  <c:v>21.55739784240723</c:v>
                </c:pt>
                <c:pt idx="866">
                  <c:v>21.54799652099609</c:v>
                </c:pt>
                <c:pt idx="867">
                  <c:v>21.858242034912109</c:v>
                </c:pt>
                <c:pt idx="868">
                  <c:v>21.811235427856449</c:v>
                </c:pt>
                <c:pt idx="869">
                  <c:v>21.801834106445309</c:v>
                </c:pt>
                <c:pt idx="870">
                  <c:v>21.595001220703121</c:v>
                </c:pt>
                <c:pt idx="871">
                  <c:v>21.134332656860352</c:v>
                </c:pt>
                <c:pt idx="872">
                  <c:v>21.33176231384277</c:v>
                </c:pt>
                <c:pt idx="873">
                  <c:v>21.482185363769531</c:v>
                </c:pt>
                <c:pt idx="874">
                  <c:v>21.33176231384277</c:v>
                </c:pt>
                <c:pt idx="875">
                  <c:v>21.228347778320309</c:v>
                </c:pt>
                <c:pt idx="876">
                  <c:v>21.20954513549805</c:v>
                </c:pt>
                <c:pt idx="877">
                  <c:v>21.585601806640621</c:v>
                </c:pt>
                <c:pt idx="878">
                  <c:v>21.04972076416016</c:v>
                </c:pt>
                <c:pt idx="879">
                  <c:v>20.936906814575199</c:v>
                </c:pt>
                <c:pt idx="880">
                  <c:v>21.04972076416016</c:v>
                </c:pt>
                <c:pt idx="881">
                  <c:v>20.983913421630859</c:v>
                </c:pt>
                <c:pt idx="882">
                  <c:v>21.068523406982418</c:v>
                </c:pt>
                <c:pt idx="883">
                  <c:v>21.425779342651371</c:v>
                </c:pt>
                <c:pt idx="884">
                  <c:v>21.538593292236332</c:v>
                </c:pt>
                <c:pt idx="885">
                  <c:v>21.924053192138668</c:v>
                </c:pt>
                <c:pt idx="886">
                  <c:v>21.877046585083011</c:v>
                </c:pt>
                <c:pt idx="887">
                  <c:v>21.294157028198239</c:v>
                </c:pt>
                <c:pt idx="888">
                  <c:v>21.55739784240723</c:v>
                </c:pt>
                <c:pt idx="889">
                  <c:v>21.96165657043457</c:v>
                </c:pt>
                <c:pt idx="890">
                  <c:v>21.642011642456051</c:v>
                </c:pt>
                <c:pt idx="891">
                  <c:v>21.529191970825199</c:v>
                </c:pt>
                <c:pt idx="892">
                  <c:v>21.303560256958011</c:v>
                </c:pt>
                <c:pt idx="893">
                  <c:v>21.162538528442379</c:v>
                </c:pt>
                <c:pt idx="894">
                  <c:v>20.871095657348629</c:v>
                </c:pt>
                <c:pt idx="895">
                  <c:v>20.833490371704102</c:v>
                </c:pt>
                <c:pt idx="896">
                  <c:v>20.880495071411129</c:v>
                </c:pt>
                <c:pt idx="897">
                  <c:v>20.730073928833011</c:v>
                </c:pt>
                <c:pt idx="898">
                  <c:v>20.579648971557621</c:v>
                </c:pt>
                <c:pt idx="899">
                  <c:v>20.74887657165527</c:v>
                </c:pt>
                <c:pt idx="900">
                  <c:v>20.701333999633789</c:v>
                </c:pt>
                <c:pt idx="901">
                  <c:v>20.0832405090332</c:v>
                </c:pt>
                <c:pt idx="902">
                  <c:v>19.883546829223629</c:v>
                </c:pt>
                <c:pt idx="903">
                  <c:v>19.740913391113281</c:v>
                </c:pt>
                <c:pt idx="904">
                  <c:v>19.702875137329102</c:v>
                </c:pt>
                <c:pt idx="905">
                  <c:v>19.693365097045898</c:v>
                </c:pt>
                <c:pt idx="906">
                  <c:v>20.349493026733398</c:v>
                </c:pt>
                <c:pt idx="907">
                  <c:v>20.587223052978519</c:v>
                </c:pt>
                <c:pt idx="908">
                  <c:v>20.682315826416019</c:v>
                </c:pt>
                <c:pt idx="909">
                  <c:v>20.95808029174805</c:v>
                </c:pt>
                <c:pt idx="910">
                  <c:v>20.939060211181641</c:v>
                </c:pt>
                <c:pt idx="911">
                  <c:v>20.95808029174805</c:v>
                </c:pt>
                <c:pt idx="912">
                  <c:v>20.74887657165527</c:v>
                </c:pt>
                <c:pt idx="913">
                  <c:v>20.473114013671879</c:v>
                </c:pt>
                <c:pt idx="914">
                  <c:v>20.539678573608398</c:v>
                </c:pt>
                <c:pt idx="915">
                  <c:v>20.663295745849609</c:v>
                </c:pt>
                <c:pt idx="916">
                  <c:v>20.9105339050293</c:v>
                </c:pt>
                <c:pt idx="917">
                  <c:v>20.88200569152832</c:v>
                </c:pt>
                <c:pt idx="918">
                  <c:v>21.671262741088871</c:v>
                </c:pt>
                <c:pt idx="919">
                  <c:v>21.718807220458981</c:v>
                </c:pt>
                <c:pt idx="920">
                  <c:v>22.042116165161129</c:v>
                </c:pt>
                <c:pt idx="921">
                  <c:v>21.623714447021481</c:v>
                </c:pt>
                <c:pt idx="922">
                  <c:v>20.986604690551761</c:v>
                </c:pt>
                <c:pt idx="923">
                  <c:v>21.110223770141602</c:v>
                </c:pt>
                <c:pt idx="924">
                  <c:v>21.034151077270511</c:v>
                </c:pt>
                <c:pt idx="925">
                  <c:v>21.414516448974609</c:v>
                </c:pt>
                <c:pt idx="926">
                  <c:v>21.737825393676761</c:v>
                </c:pt>
                <c:pt idx="927">
                  <c:v>21.737825393676761</c:v>
                </c:pt>
                <c:pt idx="928">
                  <c:v>22.023097991943359</c:v>
                </c:pt>
                <c:pt idx="929">
                  <c:v>22.09917068481445</c:v>
                </c:pt>
                <c:pt idx="930">
                  <c:v>22.21327972412109</c:v>
                </c:pt>
                <c:pt idx="931">
                  <c:v>22.10868072509766</c:v>
                </c:pt>
                <c:pt idx="932">
                  <c:v>22.251316070556641</c:v>
                </c:pt>
                <c:pt idx="933">
                  <c:v>22.20377159118652</c:v>
                </c:pt>
                <c:pt idx="934">
                  <c:v>21.994569778442379</c:v>
                </c:pt>
                <c:pt idx="935">
                  <c:v>21.53813362121582</c:v>
                </c:pt>
                <c:pt idx="936">
                  <c:v>22.27033615112305</c:v>
                </c:pt>
                <c:pt idx="937">
                  <c:v>21.614206314086911</c:v>
                </c:pt>
                <c:pt idx="938">
                  <c:v>21.6617546081543</c:v>
                </c:pt>
                <c:pt idx="939">
                  <c:v>21.65224456787109</c:v>
                </c:pt>
                <c:pt idx="940">
                  <c:v>21.528623580932621</c:v>
                </c:pt>
                <c:pt idx="941">
                  <c:v>21.37647819519043</c:v>
                </c:pt>
                <c:pt idx="942">
                  <c:v>21.015132904052731</c:v>
                </c:pt>
                <c:pt idx="943">
                  <c:v>20.84396934509277</c:v>
                </c:pt>
                <c:pt idx="944">
                  <c:v>21.50960731506348</c:v>
                </c:pt>
                <c:pt idx="945">
                  <c:v>21.51911544799805</c:v>
                </c:pt>
                <c:pt idx="946">
                  <c:v>21.63322639465332</c:v>
                </c:pt>
                <c:pt idx="947">
                  <c:v>21.50009727478027</c:v>
                </c:pt>
                <c:pt idx="948">
                  <c:v>21.6617546081543</c:v>
                </c:pt>
                <c:pt idx="949">
                  <c:v>21.58568000793457</c:v>
                </c:pt>
                <c:pt idx="950">
                  <c:v>21.576169967651371</c:v>
                </c:pt>
                <c:pt idx="951">
                  <c:v>21.40500640869141</c:v>
                </c:pt>
                <c:pt idx="952">
                  <c:v>21.766351699829102</c:v>
                </c:pt>
                <c:pt idx="953">
                  <c:v>20.511148452758789</c:v>
                </c:pt>
                <c:pt idx="954">
                  <c:v>20.14980506896973</c:v>
                </c:pt>
                <c:pt idx="955">
                  <c:v>20.11176681518555</c:v>
                </c:pt>
                <c:pt idx="956">
                  <c:v>20.549186706542969</c:v>
                </c:pt>
                <c:pt idx="957">
                  <c:v>20.710844039916989</c:v>
                </c:pt>
                <c:pt idx="958">
                  <c:v>20.615751266479489</c:v>
                </c:pt>
                <c:pt idx="959">
                  <c:v>20.482624053955082</c:v>
                </c:pt>
                <c:pt idx="960">
                  <c:v>20.473114013671879</c:v>
                </c:pt>
                <c:pt idx="961">
                  <c:v>20.634769439697269</c:v>
                </c:pt>
                <c:pt idx="962">
                  <c:v>20.74887657165527</c:v>
                </c:pt>
                <c:pt idx="963">
                  <c:v>20.87249755859375</c:v>
                </c:pt>
                <c:pt idx="964">
                  <c:v>20.9105339050293</c:v>
                </c:pt>
                <c:pt idx="965">
                  <c:v>21.28138542175293</c:v>
                </c:pt>
                <c:pt idx="966">
                  <c:v>21.214824676513668</c:v>
                </c:pt>
                <c:pt idx="967">
                  <c:v>21.148260116577148</c:v>
                </c:pt>
                <c:pt idx="968">
                  <c:v>20.75838661193848</c:v>
                </c:pt>
                <c:pt idx="969">
                  <c:v>20.79642295837402</c:v>
                </c:pt>
                <c:pt idx="970">
                  <c:v>20.891513824462891</c:v>
                </c:pt>
                <c:pt idx="971">
                  <c:v>20.682315826416019</c:v>
                </c:pt>
                <c:pt idx="972">
                  <c:v>20.67280387878418</c:v>
                </c:pt>
                <c:pt idx="973">
                  <c:v>20.511148452758789</c:v>
                </c:pt>
                <c:pt idx="974">
                  <c:v>20.359003067016602</c:v>
                </c:pt>
                <c:pt idx="975">
                  <c:v>20.168821334838871</c:v>
                </c:pt>
                <c:pt idx="976">
                  <c:v>20.301948547363281</c:v>
                </c:pt>
                <c:pt idx="977">
                  <c:v>20.13078498840332</c:v>
                </c:pt>
                <c:pt idx="978">
                  <c:v>19.807476043701168</c:v>
                </c:pt>
                <c:pt idx="979">
                  <c:v>19.750423431396481</c:v>
                </c:pt>
                <c:pt idx="980">
                  <c:v>19.750423431396481</c:v>
                </c:pt>
                <c:pt idx="981">
                  <c:v>19.49367523193359</c:v>
                </c:pt>
                <c:pt idx="982">
                  <c:v>19.113311767578121</c:v>
                </c:pt>
                <c:pt idx="983">
                  <c:v>18.856563568115231</c:v>
                </c:pt>
                <c:pt idx="984">
                  <c:v>18.74245452880859</c:v>
                </c:pt>
                <c:pt idx="985">
                  <c:v>19.075271606445309</c:v>
                </c:pt>
                <c:pt idx="986">
                  <c:v>18.78049278259277</c:v>
                </c:pt>
                <c:pt idx="987">
                  <c:v>18.885091781616211</c:v>
                </c:pt>
                <c:pt idx="988">
                  <c:v>18.485710144042969</c:v>
                </c:pt>
                <c:pt idx="989">
                  <c:v>18.03878211975098</c:v>
                </c:pt>
                <c:pt idx="990">
                  <c:v>17.591854095458981</c:v>
                </c:pt>
                <c:pt idx="991">
                  <c:v>17.39216232299805</c:v>
                </c:pt>
                <c:pt idx="992">
                  <c:v>17.496761322021481</c:v>
                </c:pt>
                <c:pt idx="993">
                  <c:v>17.658414840698239</c:v>
                </c:pt>
                <c:pt idx="994">
                  <c:v>17.544309616088871</c:v>
                </c:pt>
                <c:pt idx="995">
                  <c:v>17.658414840698239</c:v>
                </c:pt>
                <c:pt idx="996">
                  <c:v>17.1734504699707</c:v>
                </c:pt>
                <c:pt idx="997">
                  <c:v>17.420688629150391</c:v>
                </c:pt>
                <c:pt idx="998">
                  <c:v>17.677434921264648</c:v>
                </c:pt>
                <c:pt idx="999">
                  <c:v>17.90565299987793</c:v>
                </c:pt>
                <c:pt idx="1000">
                  <c:v>17.743999481201168</c:v>
                </c:pt>
                <c:pt idx="1001">
                  <c:v>17.753507614135739</c:v>
                </c:pt>
                <c:pt idx="1002">
                  <c:v>17.27805328369141</c:v>
                </c:pt>
                <c:pt idx="1003">
                  <c:v>17.3541259765625</c:v>
                </c:pt>
                <c:pt idx="1004">
                  <c:v>17.306581497192379</c:v>
                </c:pt>
                <c:pt idx="1005">
                  <c:v>17.487251281738281</c:v>
                </c:pt>
                <c:pt idx="1006">
                  <c:v>16.498306274414059</c:v>
                </c:pt>
                <c:pt idx="1007">
                  <c:v>15.766103744506839</c:v>
                </c:pt>
                <c:pt idx="1008">
                  <c:v>15.95628643035889</c:v>
                </c:pt>
                <c:pt idx="1009">
                  <c:v>15.61395931243896</c:v>
                </c:pt>
                <c:pt idx="1010">
                  <c:v>16.793088912963871</c:v>
                </c:pt>
                <c:pt idx="1011">
                  <c:v>16.146469116210941</c:v>
                </c:pt>
                <c:pt idx="1012">
                  <c:v>16.051376342773441</c:v>
                </c:pt>
                <c:pt idx="1013">
                  <c:v>16.174997329711911</c:v>
                </c:pt>
                <c:pt idx="1014">
                  <c:v>16.194013595581051</c:v>
                </c:pt>
                <c:pt idx="1015">
                  <c:v>15.766103744506839</c:v>
                </c:pt>
                <c:pt idx="1016">
                  <c:v>15.3477029800415</c:v>
                </c:pt>
                <c:pt idx="1017">
                  <c:v>15.766103744506839</c:v>
                </c:pt>
                <c:pt idx="1018">
                  <c:v>16.0323600769043</c:v>
                </c:pt>
                <c:pt idx="1019">
                  <c:v>16.384195327758789</c:v>
                </c:pt>
                <c:pt idx="1020">
                  <c:v>16.507814407348629</c:v>
                </c:pt>
                <c:pt idx="1021">
                  <c:v>16.54585075378418</c:v>
                </c:pt>
                <c:pt idx="1022">
                  <c:v>16.47928619384766</c:v>
                </c:pt>
                <c:pt idx="1023">
                  <c:v>16.707504272460941</c:v>
                </c:pt>
                <c:pt idx="1024">
                  <c:v>16.73603439331055</c:v>
                </c:pt>
                <c:pt idx="1025">
                  <c:v>16.73603439331055</c:v>
                </c:pt>
                <c:pt idx="1026">
                  <c:v>17.002286911010739</c:v>
                </c:pt>
                <c:pt idx="1027">
                  <c:v>16.973760604858398</c:v>
                </c:pt>
                <c:pt idx="1028">
                  <c:v>16.897689819335941</c:v>
                </c:pt>
                <c:pt idx="1029">
                  <c:v>16.840633392333981</c:v>
                </c:pt>
                <c:pt idx="1030">
                  <c:v>16.63143348693848</c:v>
                </c:pt>
                <c:pt idx="1031">
                  <c:v>16.63143348693848</c:v>
                </c:pt>
                <c:pt idx="1032">
                  <c:v>17.734489440917969</c:v>
                </c:pt>
                <c:pt idx="1033">
                  <c:v>17.477743148803711</c:v>
                </c:pt>
                <c:pt idx="1034">
                  <c:v>17.553817749023441</c:v>
                </c:pt>
                <c:pt idx="1035">
                  <c:v>17.801052093505859</c:v>
                </c:pt>
                <c:pt idx="1036">
                  <c:v>17.411178588867191</c:v>
                </c:pt>
                <c:pt idx="1037">
                  <c:v>17.43019866943359</c:v>
                </c:pt>
                <c:pt idx="1038">
                  <c:v>17.3446159362793</c:v>
                </c:pt>
                <c:pt idx="1039">
                  <c:v>17.2685432434082</c:v>
                </c:pt>
                <c:pt idx="1040">
                  <c:v>17.154434204101559</c:v>
                </c:pt>
                <c:pt idx="1041">
                  <c:v>17.220998764038089</c:v>
                </c:pt>
                <c:pt idx="1042">
                  <c:v>17.582344055175781</c:v>
                </c:pt>
                <c:pt idx="1043">
                  <c:v>17.458724975585941</c:v>
                </c:pt>
                <c:pt idx="1044">
                  <c:v>17.553817749023441</c:v>
                </c:pt>
                <c:pt idx="1045">
                  <c:v>17.541280746459961</c:v>
                </c:pt>
                <c:pt idx="1046">
                  <c:v>17.541280746459961</c:v>
                </c:pt>
                <c:pt idx="1047">
                  <c:v>17.39662933349609</c:v>
                </c:pt>
                <c:pt idx="1048">
                  <c:v>17.213405609130859</c:v>
                </c:pt>
                <c:pt idx="1049">
                  <c:v>17.290554046630859</c:v>
                </c:pt>
                <c:pt idx="1050">
                  <c:v>17.550924301147461</c:v>
                </c:pt>
                <c:pt idx="1051">
                  <c:v>17.637714385986332</c:v>
                </c:pt>
                <c:pt idx="1052">
                  <c:v>17.849868774414059</c:v>
                </c:pt>
                <c:pt idx="1053">
                  <c:v>17.94630241394043</c:v>
                </c:pt>
                <c:pt idx="1054">
                  <c:v>17.8980827331543</c:v>
                </c:pt>
                <c:pt idx="1055">
                  <c:v>17.763078689575199</c:v>
                </c:pt>
                <c:pt idx="1056">
                  <c:v>18.0813102722168</c:v>
                </c:pt>
                <c:pt idx="1057">
                  <c:v>18.0041618347168</c:v>
                </c:pt>
                <c:pt idx="1058">
                  <c:v>17.772722244262699</c:v>
                </c:pt>
                <c:pt idx="1059">
                  <c:v>17.049468994140621</c:v>
                </c:pt>
                <c:pt idx="1060">
                  <c:v>17.45449066162109</c:v>
                </c:pt>
                <c:pt idx="1061">
                  <c:v>17.647356033325199</c:v>
                </c:pt>
                <c:pt idx="1062">
                  <c:v>17.849868774414059</c:v>
                </c:pt>
                <c:pt idx="1063">
                  <c:v>17.93665885925293</c:v>
                </c:pt>
                <c:pt idx="1064">
                  <c:v>17.859512329101559</c:v>
                </c:pt>
                <c:pt idx="1065">
                  <c:v>17.869155883789059</c:v>
                </c:pt>
                <c:pt idx="1066">
                  <c:v>18.225957870483398</c:v>
                </c:pt>
                <c:pt idx="1067">
                  <c:v>18.206670761108398</c:v>
                </c:pt>
                <c:pt idx="1068">
                  <c:v>18.283819198608398</c:v>
                </c:pt>
                <c:pt idx="1069">
                  <c:v>18.148811340332031</c:v>
                </c:pt>
                <c:pt idx="1070">
                  <c:v>18.216314315795898</c:v>
                </c:pt>
                <c:pt idx="1071">
                  <c:v>18.148811340332031</c:v>
                </c:pt>
                <c:pt idx="1072">
                  <c:v>17.45449066162109</c:v>
                </c:pt>
                <c:pt idx="1073">
                  <c:v>17.541280746459961</c:v>
                </c:pt>
                <c:pt idx="1074">
                  <c:v>17.36770057678223</c:v>
                </c:pt>
                <c:pt idx="1075">
                  <c:v>17.570209503173832</c:v>
                </c:pt>
                <c:pt idx="1076">
                  <c:v>17.840225219726559</c:v>
                </c:pt>
                <c:pt idx="1077">
                  <c:v>17.811294555664059</c:v>
                </c:pt>
                <c:pt idx="1078">
                  <c:v>17.560565948486332</c:v>
                </c:pt>
                <c:pt idx="1079">
                  <c:v>17.541280746459961</c:v>
                </c:pt>
                <c:pt idx="1080">
                  <c:v>17.608785629272461</c:v>
                </c:pt>
                <c:pt idx="1081">
                  <c:v>17.792009353637699</c:v>
                </c:pt>
                <c:pt idx="1082">
                  <c:v>17.049468994140621</c:v>
                </c:pt>
                <c:pt idx="1083">
                  <c:v>16.75052452087402</c:v>
                </c:pt>
                <c:pt idx="1084">
                  <c:v>16.548013687133789</c:v>
                </c:pt>
                <c:pt idx="1085">
                  <c:v>16.59622955322266</c:v>
                </c:pt>
                <c:pt idx="1086">
                  <c:v>16.345504760742191</c:v>
                </c:pt>
                <c:pt idx="1087">
                  <c:v>16.12370491027832</c:v>
                </c:pt>
                <c:pt idx="1088">
                  <c:v>15.824760437011721</c:v>
                </c:pt>
                <c:pt idx="1089">
                  <c:v>15.892264366149901</c:v>
                </c:pt>
                <c:pt idx="1090">
                  <c:v>15.622251510620121</c:v>
                </c:pt>
                <c:pt idx="1091">
                  <c:v>15.49688720703125</c:v>
                </c:pt>
                <c:pt idx="1092">
                  <c:v>15.44867038726807</c:v>
                </c:pt>
                <c:pt idx="1093">
                  <c:v>15.41973972320557</c:v>
                </c:pt>
                <c:pt idx="1094">
                  <c:v>15.41009616851807</c:v>
                </c:pt>
                <c:pt idx="1095">
                  <c:v>15.49688720703125</c:v>
                </c:pt>
                <c:pt idx="1096">
                  <c:v>15.795829772949221</c:v>
                </c:pt>
                <c:pt idx="1097">
                  <c:v>15.77654457092285</c:v>
                </c:pt>
                <c:pt idx="1098">
                  <c:v>15.96941089630127</c:v>
                </c:pt>
                <c:pt idx="1099">
                  <c:v>15.824760437011721</c:v>
                </c:pt>
                <c:pt idx="1100">
                  <c:v>16.007986068725589</c:v>
                </c:pt>
                <c:pt idx="1101">
                  <c:v>16.403364181518551</c:v>
                </c:pt>
                <c:pt idx="1102">
                  <c:v>16.441934585571289</c:v>
                </c:pt>
                <c:pt idx="1103">
                  <c:v>16.72159385681152</c:v>
                </c:pt>
                <c:pt idx="1104">
                  <c:v>16.71195030212402</c:v>
                </c:pt>
                <c:pt idx="1105">
                  <c:v>16.60587310791016</c:v>
                </c:pt>
                <c:pt idx="1106">
                  <c:v>16.74088096618652</c:v>
                </c:pt>
                <c:pt idx="1107">
                  <c:v>16.393720626831051</c:v>
                </c:pt>
                <c:pt idx="1108">
                  <c:v>16.220138549804691</c:v>
                </c:pt>
                <c:pt idx="1109">
                  <c:v>16.287641525268551</c:v>
                </c:pt>
                <c:pt idx="1110">
                  <c:v>16.04655838012695</c:v>
                </c:pt>
                <c:pt idx="1111">
                  <c:v>15.998342514038089</c:v>
                </c:pt>
                <c:pt idx="1112">
                  <c:v>15.795829772949221</c:v>
                </c:pt>
                <c:pt idx="1113">
                  <c:v>16.19120979309082</c:v>
                </c:pt>
                <c:pt idx="1114">
                  <c:v>16.403364181518551</c:v>
                </c:pt>
                <c:pt idx="1115">
                  <c:v>16.374433517456051</c:v>
                </c:pt>
                <c:pt idx="1116">
                  <c:v>16.461221694946289</c:v>
                </c:pt>
                <c:pt idx="1117">
                  <c:v>16.355146408081051</c:v>
                </c:pt>
                <c:pt idx="1118">
                  <c:v>16.316574096679691</c:v>
                </c:pt>
                <c:pt idx="1119">
                  <c:v>16.451578140258789</c:v>
                </c:pt>
                <c:pt idx="1120">
                  <c:v>17.049468994140621</c:v>
                </c:pt>
                <c:pt idx="1121">
                  <c:v>16.943389892578121</c:v>
                </c:pt>
                <c:pt idx="1122">
                  <c:v>16.364789962768551</c:v>
                </c:pt>
                <c:pt idx="1123">
                  <c:v>16.538370132446289</c:v>
                </c:pt>
                <c:pt idx="1124">
                  <c:v>16.277997970581051</c:v>
                </c:pt>
                <c:pt idx="1125">
                  <c:v>16.422649383544918</c:v>
                </c:pt>
                <c:pt idx="1126">
                  <c:v>15.950125694274901</c:v>
                </c:pt>
                <c:pt idx="1127">
                  <c:v>15.930838584899901</c:v>
                </c:pt>
                <c:pt idx="1128">
                  <c:v>15.73797130584717</c:v>
                </c:pt>
                <c:pt idx="1129">
                  <c:v>15.689754486083981</c:v>
                </c:pt>
                <c:pt idx="1130">
                  <c:v>15.78618812561035</c:v>
                </c:pt>
                <c:pt idx="1131">
                  <c:v>15.574033737182621</c:v>
                </c:pt>
                <c:pt idx="1132">
                  <c:v>15.651180267333981</c:v>
                </c:pt>
                <c:pt idx="1133">
                  <c:v>16.09477615356445</c:v>
                </c:pt>
                <c:pt idx="1134">
                  <c:v>15.805473327636721</c:v>
                </c:pt>
                <c:pt idx="1135">
                  <c:v>16.14299201965332</c:v>
                </c:pt>
                <c:pt idx="1136">
                  <c:v>16.451578140258789</c:v>
                </c:pt>
                <c:pt idx="1137">
                  <c:v>15.98869800567627</c:v>
                </c:pt>
                <c:pt idx="1138">
                  <c:v>16.18156623840332</c:v>
                </c:pt>
                <c:pt idx="1139">
                  <c:v>15.892264366149901</c:v>
                </c:pt>
                <c:pt idx="1140">
                  <c:v>15.85369300842285</c:v>
                </c:pt>
                <c:pt idx="1141">
                  <c:v>15.49688720703125</c:v>
                </c:pt>
                <c:pt idx="1142">
                  <c:v>15.74761486053467</c:v>
                </c:pt>
                <c:pt idx="1143">
                  <c:v>16.306928634643551</c:v>
                </c:pt>
                <c:pt idx="1144">
                  <c:v>16.789096832275391</c:v>
                </c:pt>
                <c:pt idx="1145">
                  <c:v>16.846958160400391</c:v>
                </c:pt>
                <c:pt idx="1146">
                  <c:v>16.904817581176761</c:v>
                </c:pt>
                <c:pt idx="1147">
                  <c:v>16.856601715087891</c:v>
                </c:pt>
                <c:pt idx="1148">
                  <c:v>16.6794319152832</c:v>
                </c:pt>
                <c:pt idx="1149">
                  <c:v>16.5326042175293</c:v>
                </c:pt>
                <c:pt idx="1150">
                  <c:v>16.5228157043457</c:v>
                </c:pt>
                <c:pt idx="1151">
                  <c:v>16.287895202636719</c:v>
                </c:pt>
                <c:pt idx="1152">
                  <c:v>16.219375610351559</c:v>
                </c:pt>
                <c:pt idx="1153">
                  <c:v>16.062761306762699</c:v>
                </c:pt>
                <c:pt idx="1154">
                  <c:v>15.9550895690918</c:v>
                </c:pt>
                <c:pt idx="1155">
                  <c:v>16.072551727294918</c:v>
                </c:pt>
                <c:pt idx="1156">
                  <c:v>15.837629318237299</c:v>
                </c:pt>
                <c:pt idx="1157">
                  <c:v>16.150857925415039</c:v>
                </c:pt>
                <c:pt idx="1158">
                  <c:v>16.40535736083984</c:v>
                </c:pt>
                <c:pt idx="1159">
                  <c:v>16.650066375732418</c:v>
                </c:pt>
                <c:pt idx="1160">
                  <c:v>16.728374481201168</c:v>
                </c:pt>
                <c:pt idx="1161">
                  <c:v>16.60112380981445</c:v>
                </c:pt>
                <c:pt idx="1162">
                  <c:v>16.297683715820309</c:v>
                </c:pt>
                <c:pt idx="1163">
                  <c:v>16.415145874023441</c:v>
                </c:pt>
                <c:pt idx="1164">
                  <c:v>16.591337203979489</c:v>
                </c:pt>
                <c:pt idx="1165">
                  <c:v>16.943717956542969</c:v>
                </c:pt>
                <c:pt idx="1166">
                  <c:v>16.767526626586911</c:v>
                </c:pt>
                <c:pt idx="1167">
                  <c:v>17.325466156005859</c:v>
                </c:pt>
                <c:pt idx="1168">
                  <c:v>16.90456581115723</c:v>
                </c:pt>
                <c:pt idx="1169">
                  <c:v>16.91435432434082</c:v>
                </c:pt>
                <c:pt idx="1170">
                  <c:v>17.0513916015625</c:v>
                </c:pt>
                <c:pt idx="1171">
                  <c:v>17.11012077331543</c:v>
                </c:pt>
                <c:pt idx="1172">
                  <c:v>17.080757141113281</c:v>
                </c:pt>
                <c:pt idx="1173">
                  <c:v>17.04160118103027</c:v>
                </c:pt>
                <c:pt idx="1174">
                  <c:v>17.286312103271481</c:v>
                </c:pt>
                <c:pt idx="1175">
                  <c:v>17.902982711791989</c:v>
                </c:pt>
                <c:pt idx="1176">
                  <c:v>17.68763542175293</c:v>
                </c:pt>
                <c:pt idx="1177">
                  <c:v>17.345041275024411</c:v>
                </c:pt>
                <c:pt idx="1178">
                  <c:v>17.374408721923832</c:v>
                </c:pt>
                <c:pt idx="1179">
                  <c:v>17.68763542175293</c:v>
                </c:pt>
                <c:pt idx="1180">
                  <c:v>17.423349380493161</c:v>
                </c:pt>
                <c:pt idx="1181">
                  <c:v>17.403774261474609</c:v>
                </c:pt>
                <c:pt idx="1182">
                  <c:v>17.403774261474609</c:v>
                </c:pt>
                <c:pt idx="1183">
                  <c:v>17.393985748291019</c:v>
                </c:pt>
                <c:pt idx="1184">
                  <c:v>17.8344612121582</c:v>
                </c:pt>
                <c:pt idx="1185">
                  <c:v>18.774148941040039</c:v>
                </c:pt>
                <c:pt idx="1186">
                  <c:v>19.792140960693359</c:v>
                </c:pt>
                <c:pt idx="1187">
                  <c:v>18.754571914672852</c:v>
                </c:pt>
                <c:pt idx="1188">
                  <c:v>18.177055358886719</c:v>
                </c:pt>
                <c:pt idx="1189">
                  <c:v>18.27494049072266</c:v>
                </c:pt>
                <c:pt idx="1190">
                  <c:v>18.392402648925781</c:v>
                </c:pt>
                <c:pt idx="1191">
                  <c:v>18.040019989013668</c:v>
                </c:pt>
                <c:pt idx="1192">
                  <c:v>17.658271789550781</c:v>
                </c:pt>
                <c:pt idx="1193">
                  <c:v>17.442926406860352</c:v>
                </c:pt>
                <c:pt idx="1194">
                  <c:v>17.76594352722168</c:v>
                </c:pt>
                <c:pt idx="1195">
                  <c:v>17.305889129638668</c:v>
                </c:pt>
                <c:pt idx="1196">
                  <c:v>17.71700286865234</c:v>
                </c:pt>
                <c:pt idx="1197">
                  <c:v>17.8442497253418</c:v>
                </c:pt>
                <c:pt idx="1198">
                  <c:v>17.658271789550781</c:v>
                </c:pt>
                <c:pt idx="1199">
                  <c:v>17.452714920043949</c:v>
                </c:pt>
                <c:pt idx="1200">
                  <c:v>17.423349380493161</c:v>
                </c:pt>
                <c:pt idx="1201">
                  <c:v>17.149274826049801</c:v>
                </c:pt>
                <c:pt idx="1202">
                  <c:v>18.9405517578125</c:v>
                </c:pt>
                <c:pt idx="1203">
                  <c:v>18.42176628112793</c:v>
                </c:pt>
                <c:pt idx="1204">
                  <c:v>18.235786437988281</c:v>
                </c:pt>
                <c:pt idx="1205">
                  <c:v>17.824672698974609</c:v>
                </c:pt>
                <c:pt idx="1206">
                  <c:v>17.92255783081055</c:v>
                </c:pt>
                <c:pt idx="1207">
                  <c:v>17.902982711791989</c:v>
                </c:pt>
                <c:pt idx="1208">
                  <c:v>17.854038238525391</c:v>
                </c:pt>
                <c:pt idx="1209">
                  <c:v>18.157478332519531</c:v>
                </c:pt>
                <c:pt idx="1210">
                  <c:v>17.863826751708981</c:v>
                </c:pt>
                <c:pt idx="1211">
                  <c:v>17.550600051879879</c:v>
                </c:pt>
                <c:pt idx="1212">
                  <c:v>17.374408721923832</c:v>
                </c:pt>
                <c:pt idx="1213">
                  <c:v>17.208003997802731</c:v>
                </c:pt>
                <c:pt idx="1214">
                  <c:v>17.951923370361332</c:v>
                </c:pt>
                <c:pt idx="1215">
                  <c:v>16.953506469726559</c:v>
                </c:pt>
                <c:pt idx="1216">
                  <c:v>16.38577842712402</c:v>
                </c:pt>
                <c:pt idx="1217">
                  <c:v>16.444509506225589</c:v>
                </c:pt>
                <c:pt idx="1218">
                  <c:v>16.483663558959961</c:v>
                </c:pt>
                <c:pt idx="1219">
                  <c:v>15.964878082275391</c:v>
                </c:pt>
                <c:pt idx="1220">
                  <c:v>16.25853157043457</c:v>
                </c:pt>
                <c:pt idx="1221">
                  <c:v>15.426516532897949</c:v>
                </c:pt>
                <c:pt idx="1222">
                  <c:v>13.90931510925293</c:v>
                </c:pt>
                <c:pt idx="1223">
                  <c:v>14.408523559570311</c:v>
                </c:pt>
                <c:pt idx="1224">
                  <c:v>14.437888145446779</c:v>
                </c:pt>
                <c:pt idx="1225">
                  <c:v>14.731540679931641</c:v>
                </c:pt>
                <c:pt idx="1226">
                  <c:v>14.24212074279785</c:v>
                </c:pt>
                <c:pt idx="1227">
                  <c:v>14.34000396728516</c:v>
                </c:pt>
                <c:pt idx="1228">
                  <c:v>13.61566257476807</c:v>
                </c:pt>
                <c:pt idx="1229">
                  <c:v>13.54714393615723</c:v>
                </c:pt>
                <c:pt idx="1230">
                  <c:v>13.938679695129389</c:v>
                </c:pt>
                <c:pt idx="1231">
                  <c:v>14.38894557952881</c:v>
                </c:pt>
                <c:pt idx="1232">
                  <c:v>14.13444709777832</c:v>
                </c:pt>
                <c:pt idx="1233">
                  <c:v>13.889737129211429</c:v>
                </c:pt>
                <c:pt idx="1234">
                  <c:v>13.91910362243652</c:v>
                </c:pt>
                <c:pt idx="1235">
                  <c:v>14.02677536010742</c:v>
                </c:pt>
                <c:pt idx="1236">
                  <c:v>14.09529399871826</c:v>
                </c:pt>
                <c:pt idx="1237">
                  <c:v>14.13444709777832</c:v>
                </c:pt>
                <c:pt idx="1238">
                  <c:v>14.114871025085449</c:v>
                </c:pt>
                <c:pt idx="1239">
                  <c:v>13.742911338806151</c:v>
                </c:pt>
                <c:pt idx="1240">
                  <c:v>13.57650852203369</c:v>
                </c:pt>
                <c:pt idx="1241">
                  <c:v>13.15560722351074</c:v>
                </c:pt>
                <c:pt idx="1242">
                  <c:v>12.989205360412599</c:v>
                </c:pt>
                <c:pt idx="1243">
                  <c:v>12.979416847229</c:v>
                </c:pt>
                <c:pt idx="1244">
                  <c:v>12.92068576812744</c:v>
                </c:pt>
                <c:pt idx="1245">
                  <c:v>12.64661121368408</c:v>
                </c:pt>
                <c:pt idx="1246">
                  <c:v>12.773860931396481</c:v>
                </c:pt>
                <c:pt idx="1247">
                  <c:v>12.84237861633301</c:v>
                </c:pt>
                <c:pt idx="1248">
                  <c:v>13.018570899963381</c:v>
                </c:pt>
                <c:pt idx="1249">
                  <c:v>12.803225517272949</c:v>
                </c:pt>
                <c:pt idx="1250">
                  <c:v>12.89132118225098</c:v>
                </c:pt>
                <c:pt idx="1251">
                  <c:v>12.881532669067379</c:v>
                </c:pt>
                <c:pt idx="1252">
                  <c:v>12.558515548706049</c:v>
                </c:pt>
                <c:pt idx="1253">
                  <c:v>12.96962833404541</c:v>
                </c:pt>
              </c:numCache>
            </c:numRef>
          </c:val>
          <c:smooth val="0"/>
          <c:extLst>
            <c:ext xmlns:c16="http://schemas.microsoft.com/office/drawing/2014/chart" uri="{C3380CC4-5D6E-409C-BE32-E72D297353CC}">
              <c16:uniqueId val="{00000000-BCEF-4C09-86A8-A1DFC46D0CB9}"/>
            </c:ext>
          </c:extLst>
        </c:ser>
        <c:dLbls>
          <c:showLegendKey val="0"/>
          <c:showVal val="0"/>
          <c:showCatName val="0"/>
          <c:showSerName val="0"/>
          <c:showPercent val="0"/>
          <c:showBubbleSize val="0"/>
        </c:dLbls>
        <c:smooth val="0"/>
        <c:axId val="894290255"/>
        <c:axId val="894295663"/>
      </c:lineChart>
      <c:dateAx>
        <c:axId val="8942902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5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95663"/>
        <c:crosses val="autoZero"/>
        <c:auto val="1"/>
        <c:lblOffset val="100"/>
        <c:baseTimeUnit val="days"/>
      </c:dateAx>
      <c:valAx>
        <c:axId val="89429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29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'Share Price'!$D$2</c:f>
              <c:strCache>
                <c:ptCount val="1"/>
                <c:pt idx="0">
                  <c:v>Volumn</c:v>
                </c:pt>
              </c:strCache>
            </c:strRef>
          </c:tx>
          <c:spPr>
            <a:solidFill>
              <a:srgbClr val="0070C0"/>
            </a:solidFill>
            <a:ln w="9525" cap="flat" cmpd="sng" algn="ctr">
              <a:solidFill>
                <a:schemeClr val="bg1">
                  <a:lumMod val="65000"/>
                </a:schemeClr>
              </a:solidFill>
              <a:round/>
            </a:ln>
            <a:effectLst/>
          </c:spPr>
          <c:invertIfNegative val="0"/>
          <c:cat>
            <c:numRef>
              <c:f>'Share Price'!$B$3:$B$1256</c:f>
              <c:numCache>
                <c:formatCode>m/d/yyyy</c:formatCode>
                <c:ptCount val="1254"/>
                <c:pt idx="0">
                  <c:v>44287</c:v>
                </c:pt>
                <c:pt idx="1">
                  <c:v>44291</c:v>
                </c:pt>
                <c:pt idx="2">
                  <c:v>44292</c:v>
                </c:pt>
                <c:pt idx="3">
                  <c:v>44293</c:v>
                </c:pt>
                <c:pt idx="4">
                  <c:v>44294</c:v>
                </c:pt>
                <c:pt idx="5">
                  <c:v>44295</c:v>
                </c:pt>
                <c:pt idx="6">
                  <c:v>44298</c:v>
                </c:pt>
                <c:pt idx="7">
                  <c:v>44299</c:v>
                </c:pt>
                <c:pt idx="8">
                  <c:v>44300</c:v>
                </c:pt>
                <c:pt idx="9">
                  <c:v>44301</c:v>
                </c:pt>
                <c:pt idx="10">
                  <c:v>44302</c:v>
                </c:pt>
                <c:pt idx="11">
                  <c:v>44305</c:v>
                </c:pt>
                <c:pt idx="12">
                  <c:v>44306</c:v>
                </c:pt>
                <c:pt idx="13">
                  <c:v>44307</c:v>
                </c:pt>
                <c:pt idx="14">
                  <c:v>44308</c:v>
                </c:pt>
                <c:pt idx="15">
                  <c:v>44309</c:v>
                </c:pt>
                <c:pt idx="16">
                  <c:v>44312</c:v>
                </c:pt>
                <c:pt idx="17">
                  <c:v>44313</c:v>
                </c:pt>
                <c:pt idx="18">
                  <c:v>44314</c:v>
                </c:pt>
                <c:pt idx="19">
                  <c:v>44315</c:v>
                </c:pt>
                <c:pt idx="20">
                  <c:v>44316</c:v>
                </c:pt>
                <c:pt idx="21">
                  <c:v>44319</c:v>
                </c:pt>
                <c:pt idx="22">
                  <c:v>44320</c:v>
                </c:pt>
                <c:pt idx="23">
                  <c:v>44321</c:v>
                </c:pt>
                <c:pt idx="24">
                  <c:v>44322</c:v>
                </c:pt>
                <c:pt idx="25">
                  <c:v>44323</c:v>
                </c:pt>
                <c:pt idx="26">
                  <c:v>44326</c:v>
                </c:pt>
                <c:pt idx="27">
                  <c:v>44327</c:v>
                </c:pt>
                <c:pt idx="28">
                  <c:v>44328</c:v>
                </c:pt>
                <c:pt idx="29">
                  <c:v>44329</c:v>
                </c:pt>
                <c:pt idx="30">
                  <c:v>44330</c:v>
                </c:pt>
                <c:pt idx="31">
                  <c:v>44333</c:v>
                </c:pt>
                <c:pt idx="32">
                  <c:v>44334</c:v>
                </c:pt>
                <c:pt idx="33">
                  <c:v>44335</c:v>
                </c:pt>
                <c:pt idx="34">
                  <c:v>44336</c:v>
                </c:pt>
                <c:pt idx="35">
                  <c:v>44337</c:v>
                </c:pt>
                <c:pt idx="36">
                  <c:v>44340</c:v>
                </c:pt>
                <c:pt idx="37">
                  <c:v>44341</c:v>
                </c:pt>
                <c:pt idx="38">
                  <c:v>44342</c:v>
                </c:pt>
                <c:pt idx="39">
                  <c:v>44343</c:v>
                </c:pt>
                <c:pt idx="40">
                  <c:v>44344</c:v>
                </c:pt>
                <c:pt idx="41">
                  <c:v>44348</c:v>
                </c:pt>
                <c:pt idx="42">
                  <c:v>44349</c:v>
                </c:pt>
                <c:pt idx="43">
                  <c:v>44350</c:v>
                </c:pt>
                <c:pt idx="44">
                  <c:v>44351</c:v>
                </c:pt>
                <c:pt idx="45">
                  <c:v>44354</c:v>
                </c:pt>
                <c:pt idx="46">
                  <c:v>44355</c:v>
                </c:pt>
                <c:pt idx="47">
                  <c:v>44356</c:v>
                </c:pt>
                <c:pt idx="48">
                  <c:v>44357</c:v>
                </c:pt>
                <c:pt idx="49">
                  <c:v>44358</c:v>
                </c:pt>
                <c:pt idx="50">
                  <c:v>44361</c:v>
                </c:pt>
                <c:pt idx="51">
                  <c:v>44362</c:v>
                </c:pt>
                <c:pt idx="52">
                  <c:v>44363</c:v>
                </c:pt>
                <c:pt idx="53">
                  <c:v>44364</c:v>
                </c:pt>
                <c:pt idx="54">
                  <c:v>44365</c:v>
                </c:pt>
                <c:pt idx="55">
                  <c:v>44368</c:v>
                </c:pt>
                <c:pt idx="56">
                  <c:v>44369</c:v>
                </c:pt>
                <c:pt idx="57">
                  <c:v>44370</c:v>
                </c:pt>
                <c:pt idx="58">
                  <c:v>44371</c:v>
                </c:pt>
                <c:pt idx="59">
                  <c:v>44372</c:v>
                </c:pt>
                <c:pt idx="60">
                  <c:v>44375</c:v>
                </c:pt>
                <c:pt idx="61">
                  <c:v>44376</c:v>
                </c:pt>
                <c:pt idx="62">
                  <c:v>44377</c:v>
                </c:pt>
                <c:pt idx="63">
                  <c:v>44378</c:v>
                </c:pt>
                <c:pt idx="64">
                  <c:v>44379</c:v>
                </c:pt>
                <c:pt idx="65">
                  <c:v>44383</c:v>
                </c:pt>
                <c:pt idx="66">
                  <c:v>44384</c:v>
                </c:pt>
                <c:pt idx="67">
                  <c:v>44385</c:v>
                </c:pt>
                <c:pt idx="68">
                  <c:v>44386</c:v>
                </c:pt>
                <c:pt idx="69">
                  <c:v>44389</c:v>
                </c:pt>
                <c:pt idx="70">
                  <c:v>44390</c:v>
                </c:pt>
                <c:pt idx="71">
                  <c:v>44391</c:v>
                </c:pt>
                <c:pt idx="72">
                  <c:v>44392</c:v>
                </c:pt>
                <c:pt idx="73">
                  <c:v>44393</c:v>
                </c:pt>
                <c:pt idx="74">
                  <c:v>44396</c:v>
                </c:pt>
                <c:pt idx="75">
                  <c:v>44397</c:v>
                </c:pt>
                <c:pt idx="76">
                  <c:v>44398</c:v>
                </c:pt>
                <c:pt idx="77">
                  <c:v>44399</c:v>
                </c:pt>
                <c:pt idx="78">
                  <c:v>44400</c:v>
                </c:pt>
                <c:pt idx="79">
                  <c:v>44403</c:v>
                </c:pt>
                <c:pt idx="80">
                  <c:v>44404</c:v>
                </c:pt>
                <c:pt idx="81">
                  <c:v>44405</c:v>
                </c:pt>
                <c:pt idx="82">
                  <c:v>44406</c:v>
                </c:pt>
                <c:pt idx="83">
                  <c:v>44407</c:v>
                </c:pt>
                <c:pt idx="84">
                  <c:v>44410</c:v>
                </c:pt>
                <c:pt idx="85">
                  <c:v>44411</c:v>
                </c:pt>
                <c:pt idx="86">
                  <c:v>44412</c:v>
                </c:pt>
                <c:pt idx="87">
                  <c:v>44413</c:v>
                </c:pt>
                <c:pt idx="88">
                  <c:v>44414</c:v>
                </c:pt>
                <c:pt idx="89">
                  <c:v>44417</c:v>
                </c:pt>
                <c:pt idx="90">
                  <c:v>44418</c:v>
                </c:pt>
                <c:pt idx="91">
                  <c:v>44419</c:v>
                </c:pt>
                <c:pt idx="92">
                  <c:v>44420</c:v>
                </c:pt>
                <c:pt idx="93">
                  <c:v>44421</c:v>
                </c:pt>
                <c:pt idx="94">
                  <c:v>44424</c:v>
                </c:pt>
                <c:pt idx="95">
                  <c:v>44425</c:v>
                </c:pt>
                <c:pt idx="96">
                  <c:v>44426</c:v>
                </c:pt>
                <c:pt idx="97">
                  <c:v>44427</c:v>
                </c:pt>
                <c:pt idx="98">
                  <c:v>44428</c:v>
                </c:pt>
                <c:pt idx="99">
                  <c:v>44431</c:v>
                </c:pt>
                <c:pt idx="100">
                  <c:v>44432</c:v>
                </c:pt>
                <c:pt idx="101">
                  <c:v>44433</c:v>
                </c:pt>
                <c:pt idx="102">
                  <c:v>44434</c:v>
                </c:pt>
                <c:pt idx="103">
                  <c:v>44435</c:v>
                </c:pt>
                <c:pt idx="104">
                  <c:v>44438</c:v>
                </c:pt>
                <c:pt idx="105">
                  <c:v>44439</c:v>
                </c:pt>
                <c:pt idx="106">
                  <c:v>44440</c:v>
                </c:pt>
                <c:pt idx="107">
                  <c:v>44441</c:v>
                </c:pt>
                <c:pt idx="108">
                  <c:v>44442</c:v>
                </c:pt>
                <c:pt idx="109">
                  <c:v>44446</c:v>
                </c:pt>
                <c:pt idx="110">
                  <c:v>44447</c:v>
                </c:pt>
                <c:pt idx="111">
                  <c:v>44448</c:v>
                </c:pt>
                <c:pt idx="112">
                  <c:v>44449</c:v>
                </c:pt>
                <c:pt idx="113">
                  <c:v>44452</c:v>
                </c:pt>
                <c:pt idx="114">
                  <c:v>44453</c:v>
                </c:pt>
                <c:pt idx="115">
                  <c:v>44454</c:v>
                </c:pt>
                <c:pt idx="116">
                  <c:v>44455</c:v>
                </c:pt>
                <c:pt idx="117">
                  <c:v>44456</c:v>
                </c:pt>
                <c:pt idx="118">
                  <c:v>44459</c:v>
                </c:pt>
                <c:pt idx="119">
                  <c:v>44460</c:v>
                </c:pt>
                <c:pt idx="120">
                  <c:v>44461</c:v>
                </c:pt>
                <c:pt idx="121">
                  <c:v>44462</c:v>
                </c:pt>
                <c:pt idx="122">
                  <c:v>44463</c:v>
                </c:pt>
                <c:pt idx="123">
                  <c:v>44466</c:v>
                </c:pt>
                <c:pt idx="124">
                  <c:v>44467</c:v>
                </c:pt>
                <c:pt idx="125">
                  <c:v>44468</c:v>
                </c:pt>
                <c:pt idx="126">
                  <c:v>44469</c:v>
                </c:pt>
                <c:pt idx="127">
                  <c:v>44470</c:v>
                </c:pt>
                <c:pt idx="128">
                  <c:v>44473</c:v>
                </c:pt>
                <c:pt idx="129">
                  <c:v>44474</c:v>
                </c:pt>
                <c:pt idx="130">
                  <c:v>44475</c:v>
                </c:pt>
                <c:pt idx="131">
                  <c:v>44476</c:v>
                </c:pt>
                <c:pt idx="132">
                  <c:v>44477</c:v>
                </c:pt>
                <c:pt idx="133">
                  <c:v>44480</c:v>
                </c:pt>
                <c:pt idx="134">
                  <c:v>44481</c:v>
                </c:pt>
                <c:pt idx="135">
                  <c:v>44482</c:v>
                </c:pt>
                <c:pt idx="136">
                  <c:v>44483</c:v>
                </c:pt>
                <c:pt idx="137">
                  <c:v>44484</c:v>
                </c:pt>
                <c:pt idx="138">
                  <c:v>44487</c:v>
                </c:pt>
                <c:pt idx="139">
                  <c:v>44488</c:v>
                </c:pt>
                <c:pt idx="140">
                  <c:v>44489</c:v>
                </c:pt>
                <c:pt idx="141">
                  <c:v>44490</c:v>
                </c:pt>
                <c:pt idx="142">
                  <c:v>44491</c:v>
                </c:pt>
                <c:pt idx="143">
                  <c:v>44494</c:v>
                </c:pt>
                <c:pt idx="144">
                  <c:v>44495</c:v>
                </c:pt>
                <c:pt idx="145">
                  <c:v>44496</c:v>
                </c:pt>
                <c:pt idx="146">
                  <c:v>44497</c:v>
                </c:pt>
                <c:pt idx="147">
                  <c:v>44498</c:v>
                </c:pt>
                <c:pt idx="148">
                  <c:v>44501</c:v>
                </c:pt>
                <c:pt idx="149">
                  <c:v>44502</c:v>
                </c:pt>
                <c:pt idx="150">
                  <c:v>44503</c:v>
                </c:pt>
                <c:pt idx="151">
                  <c:v>44504</c:v>
                </c:pt>
                <c:pt idx="152">
                  <c:v>44505</c:v>
                </c:pt>
                <c:pt idx="153">
                  <c:v>44508</c:v>
                </c:pt>
                <c:pt idx="154">
                  <c:v>44509</c:v>
                </c:pt>
                <c:pt idx="155">
                  <c:v>44510</c:v>
                </c:pt>
                <c:pt idx="156">
                  <c:v>44511</c:v>
                </c:pt>
                <c:pt idx="157">
                  <c:v>44512</c:v>
                </c:pt>
                <c:pt idx="158">
                  <c:v>44515</c:v>
                </c:pt>
                <c:pt idx="159">
                  <c:v>44516</c:v>
                </c:pt>
                <c:pt idx="160">
                  <c:v>44517</c:v>
                </c:pt>
                <c:pt idx="161">
                  <c:v>44518</c:v>
                </c:pt>
                <c:pt idx="162">
                  <c:v>44519</c:v>
                </c:pt>
                <c:pt idx="163">
                  <c:v>44522</c:v>
                </c:pt>
                <c:pt idx="164">
                  <c:v>44523</c:v>
                </c:pt>
                <c:pt idx="165">
                  <c:v>44524</c:v>
                </c:pt>
                <c:pt idx="166">
                  <c:v>44526</c:v>
                </c:pt>
                <c:pt idx="167">
                  <c:v>44529</c:v>
                </c:pt>
                <c:pt idx="168">
                  <c:v>44530</c:v>
                </c:pt>
                <c:pt idx="169">
                  <c:v>44531</c:v>
                </c:pt>
                <c:pt idx="170">
                  <c:v>44532</c:v>
                </c:pt>
                <c:pt idx="171">
                  <c:v>44533</c:v>
                </c:pt>
                <c:pt idx="172">
                  <c:v>44536</c:v>
                </c:pt>
                <c:pt idx="173">
                  <c:v>44537</c:v>
                </c:pt>
                <c:pt idx="174">
                  <c:v>44538</c:v>
                </c:pt>
                <c:pt idx="175">
                  <c:v>44539</c:v>
                </c:pt>
                <c:pt idx="176">
                  <c:v>44540</c:v>
                </c:pt>
                <c:pt idx="177">
                  <c:v>44543</c:v>
                </c:pt>
                <c:pt idx="178">
                  <c:v>44544</c:v>
                </c:pt>
                <c:pt idx="179">
                  <c:v>44545</c:v>
                </c:pt>
                <c:pt idx="180">
                  <c:v>44546</c:v>
                </c:pt>
                <c:pt idx="181">
                  <c:v>44547</c:v>
                </c:pt>
                <c:pt idx="182">
                  <c:v>44550</c:v>
                </c:pt>
                <c:pt idx="183">
                  <c:v>44551</c:v>
                </c:pt>
                <c:pt idx="184">
                  <c:v>44552</c:v>
                </c:pt>
                <c:pt idx="185">
                  <c:v>44553</c:v>
                </c:pt>
                <c:pt idx="186">
                  <c:v>44557</c:v>
                </c:pt>
                <c:pt idx="187">
                  <c:v>44558</c:v>
                </c:pt>
                <c:pt idx="188">
                  <c:v>44559</c:v>
                </c:pt>
                <c:pt idx="189">
                  <c:v>44560</c:v>
                </c:pt>
                <c:pt idx="190">
                  <c:v>44561</c:v>
                </c:pt>
                <c:pt idx="191">
                  <c:v>44564</c:v>
                </c:pt>
                <c:pt idx="192">
                  <c:v>44565</c:v>
                </c:pt>
                <c:pt idx="193">
                  <c:v>44566</c:v>
                </c:pt>
                <c:pt idx="194">
                  <c:v>44567</c:v>
                </c:pt>
                <c:pt idx="195">
                  <c:v>44568</c:v>
                </c:pt>
                <c:pt idx="196">
                  <c:v>44571</c:v>
                </c:pt>
                <c:pt idx="197">
                  <c:v>44572</c:v>
                </c:pt>
                <c:pt idx="198">
                  <c:v>44573</c:v>
                </c:pt>
                <c:pt idx="199">
                  <c:v>44574</c:v>
                </c:pt>
                <c:pt idx="200">
                  <c:v>44575</c:v>
                </c:pt>
                <c:pt idx="201">
                  <c:v>44579</c:v>
                </c:pt>
                <c:pt idx="202">
                  <c:v>44580</c:v>
                </c:pt>
                <c:pt idx="203">
                  <c:v>44581</c:v>
                </c:pt>
                <c:pt idx="204">
                  <c:v>44582</c:v>
                </c:pt>
                <c:pt idx="205">
                  <c:v>44585</c:v>
                </c:pt>
                <c:pt idx="206">
                  <c:v>44586</c:v>
                </c:pt>
                <c:pt idx="207">
                  <c:v>44587</c:v>
                </c:pt>
                <c:pt idx="208">
                  <c:v>44588</c:v>
                </c:pt>
                <c:pt idx="209">
                  <c:v>44589</c:v>
                </c:pt>
                <c:pt idx="210">
                  <c:v>44592</c:v>
                </c:pt>
                <c:pt idx="211">
                  <c:v>44593</c:v>
                </c:pt>
                <c:pt idx="212">
                  <c:v>44594</c:v>
                </c:pt>
                <c:pt idx="213">
                  <c:v>44595</c:v>
                </c:pt>
                <c:pt idx="214">
                  <c:v>44596</c:v>
                </c:pt>
                <c:pt idx="215">
                  <c:v>44599</c:v>
                </c:pt>
                <c:pt idx="216">
                  <c:v>44600</c:v>
                </c:pt>
                <c:pt idx="217">
                  <c:v>44601</c:v>
                </c:pt>
                <c:pt idx="218">
                  <c:v>44602</c:v>
                </c:pt>
                <c:pt idx="219">
                  <c:v>44603</c:v>
                </c:pt>
                <c:pt idx="220">
                  <c:v>44606</c:v>
                </c:pt>
                <c:pt idx="221">
                  <c:v>44607</c:v>
                </c:pt>
                <c:pt idx="222">
                  <c:v>44608</c:v>
                </c:pt>
                <c:pt idx="223">
                  <c:v>44609</c:v>
                </c:pt>
                <c:pt idx="224">
                  <c:v>44610</c:v>
                </c:pt>
                <c:pt idx="225">
                  <c:v>44614</c:v>
                </c:pt>
                <c:pt idx="226">
                  <c:v>44615</c:v>
                </c:pt>
                <c:pt idx="227">
                  <c:v>44616</c:v>
                </c:pt>
                <c:pt idx="228">
                  <c:v>44617</c:v>
                </c:pt>
                <c:pt idx="229">
                  <c:v>44620</c:v>
                </c:pt>
                <c:pt idx="230">
                  <c:v>44621</c:v>
                </c:pt>
                <c:pt idx="231">
                  <c:v>44622</c:v>
                </c:pt>
                <c:pt idx="232">
                  <c:v>44623</c:v>
                </c:pt>
                <c:pt idx="233">
                  <c:v>44624</c:v>
                </c:pt>
                <c:pt idx="234">
                  <c:v>44627</c:v>
                </c:pt>
                <c:pt idx="235">
                  <c:v>44628</c:v>
                </c:pt>
                <c:pt idx="236">
                  <c:v>44629</c:v>
                </c:pt>
                <c:pt idx="237">
                  <c:v>44630</c:v>
                </c:pt>
                <c:pt idx="238">
                  <c:v>44631</c:v>
                </c:pt>
                <c:pt idx="239">
                  <c:v>44634</c:v>
                </c:pt>
                <c:pt idx="240">
                  <c:v>44635</c:v>
                </c:pt>
                <c:pt idx="241">
                  <c:v>44636</c:v>
                </c:pt>
                <c:pt idx="242">
                  <c:v>44637</c:v>
                </c:pt>
                <c:pt idx="243">
                  <c:v>44638</c:v>
                </c:pt>
                <c:pt idx="244">
                  <c:v>44641</c:v>
                </c:pt>
                <c:pt idx="245">
                  <c:v>44642</c:v>
                </c:pt>
                <c:pt idx="246">
                  <c:v>44643</c:v>
                </c:pt>
                <c:pt idx="247">
                  <c:v>44644</c:v>
                </c:pt>
                <c:pt idx="248">
                  <c:v>44645</c:v>
                </c:pt>
                <c:pt idx="249">
                  <c:v>44648</c:v>
                </c:pt>
                <c:pt idx="250">
                  <c:v>44649</c:v>
                </c:pt>
                <c:pt idx="251">
                  <c:v>44650</c:v>
                </c:pt>
                <c:pt idx="252">
                  <c:v>44651</c:v>
                </c:pt>
                <c:pt idx="253">
                  <c:v>44652</c:v>
                </c:pt>
                <c:pt idx="254">
                  <c:v>44655</c:v>
                </c:pt>
                <c:pt idx="255">
                  <c:v>44656</c:v>
                </c:pt>
                <c:pt idx="256">
                  <c:v>44657</c:v>
                </c:pt>
                <c:pt idx="257">
                  <c:v>44658</c:v>
                </c:pt>
                <c:pt idx="258">
                  <c:v>44659</c:v>
                </c:pt>
                <c:pt idx="259">
                  <c:v>44662</c:v>
                </c:pt>
                <c:pt idx="260">
                  <c:v>44663</c:v>
                </c:pt>
                <c:pt idx="261">
                  <c:v>44664</c:v>
                </c:pt>
                <c:pt idx="262">
                  <c:v>44665</c:v>
                </c:pt>
                <c:pt idx="263">
                  <c:v>44669</c:v>
                </c:pt>
                <c:pt idx="264">
                  <c:v>44670</c:v>
                </c:pt>
                <c:pt idx="265">
                  <c:v>44671</c:v>
                </c:pt>
                <c:pt idx="266">
                  <c:v>44672</c:v>
                </c:pt>
                <c:pt idx="267">
                  <c:v>44673</c:v>
                </c:pt>
                <c:pt idx="268">
                  <c:v>44676</c:v>
                </c:pt>
                <c:pt idx="269">
                  <c:v>44677</c:v>
                </c:pt>
                <c:pt idx="270">
                  <c:v>44678</c:v>
                </c:pt>
                <c:pt idx="271">
                  <c:v>44679</c:v>
                </c:pt>
                <c:pt idx="272">
                  <c:v>44680</c:v>
                </c:pt>
                <c:pt idx="273">
                  <c:v>44683</c:v>
                </c:pt>
                <c:pt idx="274">
                  <c:v>44684</c:v>
                </c:pt>
                <c:pt idx="275">
                  <c:v>44685</c:v>
                </c:pt>
                <c:pt idx="276">
                  <c:v>44686</c:v>
                </c:pt>
                <c:pt idx="277">
                  <c:v>44687</c:v>
                </c:pt>
                <c:pt idx="278">
                  <c:v>44690</c:v>
                </c:pt>
                <c:pt idx="279">
                  <c:v>44691</c:v>
                </c:pt>
                <c:pt idx="280">
                  <c:v>44692</c:v>
                </c:pt>
                <c:pt idx="281">
                  <c:v>44693</c:v>
                </c:pt>
                <c:pt idx="282">
                  <c:v>44694</c:v>
                </c:pt>
                <c:pt idx="283">
                  <c:v>44697</c:v>
                </c:pt>
                <c:pt idx="284">
                  <c:v>44698</c:v>
                </c:pt>
                <c:pt idx="285">
                  <c:v>44699</c:v>
                </c:pt>
                <c:pt idx="286">
                  <c:v>44700</c:v>
                </c:pt>
                <c:pt idx="287">
                  <c:v>44701</c:v>
                </c:pt>
                <c:pt idx="288">
                  <c:v>44704</c:v>
                </c:pt>
                <c:pt idx="289">
                  <c:v>44705</c:v>
                </c:pt>
                <c:pt idx="290">
                  <c:v>44706</c:v>
                </c:pt>
                <c:pt idx="291">
                  <c:v>44707</c:v>
                </c:pt>
                <c:pt idx="292">
                  <c:v>44708</c:v>
                </c:pt>
                <c:pt idx="293">
                  <c:v>44712</c:v>
                </c:pt>
                <c:pt idx="294">
                  <c:v>44713</c:v>
                </c:pt>
                <c:pt idx="295">
                  <c:v>44714</c:v>
                </c:pt>
                <c:pt idx="296">
                  <c:v>44715</c:v>
                </c:pt>
                <c:pt idx="297">
                  <c:v>44718</c:v>
                </c:pt>
                <c:pt idx="298">
                  <c:v>44719</c:v>
                </c:pt>
                <c:pt idx="299">
                  <c:v>44720</c:v>
                </c:pt>
                <c:pt idx="300">
                  <c:v>44721</c:v>
                </c:pt>
                <c:pt idx="301">
                  <c:v>44722</c:v>
                </c:pt>
                <c:pt idx="302">
                  <c:v>44725</c:v>
                </c:pt>
                <c:pt idx="303">
                  <c:v>44726</c:v>
                </c:pt>
                <c:pt idx="304">
                  <c:v>44727</c:v>
                </c:pt>
                <c:pt idx="305">
                  <c:v>44728</c:v>
                </c:pt>
                <c:pt idx="306">
                  <c:v>44729</c:v>
                </c:pt>
                <c:pt idx="307">
                  <c:v>44733</c:v>
                </c:pt>
                <c:pt idx="308">
                  <c:v>44734</c:v>
                </c:pt>
                <c:pt idx="309">
                  <c:v>44735</c:v>
                </c:pt>
                <c:pt idx="310">
                  <c:v>44736</c:v>
                </c:pt>
                <c:pt idx="311">
                  <c:v>44739</c:v>
                </c:pt>
                <c:pt idx="312">
                  <c:v>44740</c:v>
                </c:pt>
                <c:pt idx="313">
                  <c:v>44741</c:v>
                </c:pt>
                <c:pt idx="314">
                  <c:v>44742</c:v>
                </c:pt>
                <c:pt idx="315">
                  <c:v>44743</c:v>
                </c:pt>
                <c:pt idx="316">
                  <c:v>44747</c:v>
                </c:pt>
                <c:pt idx="317">
                  <c:v>44748</c:v>
                </c:pt>
                <c:pt idx="318">
                  <c:v>44749</c:v>
                </c:pt>
                <c:pt idx="319">
                  <c:v>44750</c:v>
                </c:pt>
                <c:pt idx="320">
                  <c:v>44753</c:v>
                </c:pt>
                <c:pt idx="321">
                  <c:v>44754</c:v>
                </c:pt>
                <c:pt idx="322">
                  <c:v>44755</c:v>
                </c:pt>
                <c:pt idx="323">
                  <c:v>44756</c:v>
                </c:pt>
                <c:pt idx="324">
                  <c:v>44757</c:v>
                </c:pt>
                <c:pt idx="325">
                  <c:v>44760</c:v>
                </c:pt>
                <c:pt idx="326">
                  <c:v>44761</c:v>
                </c:pt>
                <c:pt idx="327">
                  <c:v>44762</c:v>
                </c:pt>
                <c:pt idx="328">
                  <c:v>44763</c:v>
                </c:pt>
                <c:pt idx="329">
                  <c:v>44764</c:v>
                </c:pt>
                <c:pt idx="330">
                  <c:v>44767</c:v>
                </c:pt>
                <c:pt idx="331">
                  <c:v>44768</c:v>
                </c:pt>
                <c:pt idx="332">
                  <c:v>44769</c:v>
                </c:pt>
                <c:pt idx="333">
                  <c:v>44770</c:v>
                </c:pt>
                <c:pt idx="334">
                  <c:v>44771</c:v>
                </c:pt>
                <c:pt idx="335">
                  <c:v>44774</c:v>
                </c:pt>
                <c:pt idx="336">
                  <c:v>44775</c:v>
                </c:pt>
                <c:pt idx="337">
                  <c:v>44776</c:v>
                </c:pt>
                <c:pt idx="338">
                  <c:v>44777</c:v>
                </c:pt>
                <c:pt idx="339">
                  <c:v>44778</c:v>
                </c:pt>
                <c:pt idx="340">
                  <c:v>44781</c:v>
                </c:pt>
                <c:pt idx="341">
                  <c:v>44782</c:v>
                </c:pt>
                <c:pt idx="342">
                  <c:v>44783</c:v>
                </c:pt>
                <c:pt idx="343">
                  <c:v>44784</c:v>
                </c:pt>
                <c:pt idx="344">
                  <c:v>44785</c:v>
                </c:pt>
                <c:pt idx="345">
                  <c:v>44788</c:v>
                </c:pt>
                <c:pt idx="346">
                  <c:v>44789</c:v>
                </c:pt>
                <c:pt idx="347">
                  <c:v>44790</c:v>
                </c:pt>
                <c:pt idx="348">
                  <c:v>44791</c:v>
                </c:pt>
                <c:pt idx="349">
                  <c:v>44792</c:v>
                </c:pt>
                <c:pt idx="350">
                  <c:v>44795</c:v>
                </c:pt>
                <c:pt idx="351">
                  <c:v>44796</c:v>
                </c:pt>
                <c:pt idx="352">
                  <c:v>44797</c:v>
                </c:pt>
                <c:pt idx="353">
                  <c:v>44798</c:v>
                </c:pt>
                <c:pt idx="354">
                  <c:v>44799</c:v>
                </c:pt>
                <c:pt idx="355">
                  <c:v>44802</c:v>
                </c:pt>
                <c:pt idx="356">
                  <c:v>44803</c:v>
                </c:pt>
                <c:pt idx="357">
                  <c:v>44804</c:v>
                </c:pt>
                <c:pt idx="358">
                  <c:v>44805</c:v>
                </c:pt>
                <c:pt idx="359">
                  <c:v>44806</c:v>
                </c:pt>
                <c:pt idx="360">
                  <c:v>44810</c:v>
                </c:pt>
                <c:pt idx="361">
                  <c:v>44811</c:v>
                </c:pt>
                <c:pt idx="362">
                  <c:v>44812</c:v>
                </c:pt>
                <c:pt idx="363">
                  <c:v>44813</c:v>
                </c:pt>
                <c:pt idx="364">
                  <c:v>44816</c:v>
                </c:pt>
                <c:pt idx="365">
                  <c:v>44817</c:v>
                </c:pt>
                <c:pt idx="366">
                  <c:v>44818</c:v>
                </c:pt>
                <c:pt idx="367">
                  <c:v>44819</c:v>
                </c:pt>
                <c:pt idx="368">
                  <c:v>44820</c:v>
                </c:pt>
                <c:pt idx="369">
                  <c:v>44823</c:v>
                </c:pt>
                <c:pt idx="370">
                  <c:v>44824</c:v>
                </c:pt>
                <c:pt idx="371">
                  <c:v>44825</c:v>
                </c:pt>
                <c:pt idx="372">
                  <c:v>44826</c:v>
                </c:pt>
                <c:pt idx="373">
                  <c:v>44827</c:v>
                </c:pt>
                <c:pt idx="374">
                  <c:v>44830</c:v>
                </c:pt>
                <c:pt idx="375">
                  <c:v>44831</c:v>
                </c:pt>
                <c:pt idx="376">
                  <c:v>44832</c:v>
                </c:pt>
                <c:pt idx="377">
                  <c:v>44833</c:v>
                </c:pt>
                <c:pt idx="378">
                  <c:v>44834</c:v>
                </c:pt>
                <c:pt idx="379">
                  <c:v>44837</c:v>
                </c:pt>
                <c:pt idx="380">
                  <c:v>44838</c:v>
                </c:pt>
                <c:pt idx="381">
                  <c:v>44839</c:v>
                </c:pt>
                <c:pt idx="382">
                  <c:v>44840</c:v>
                </c:pt>
                <c:pt idx="383">
                  <c:v>44841</c:v>
                </c:pt>
                <c:pt idx="384">
                  <c:v>44844</c:v>
                </c:pt>
                <c:pt idx="385">
                  <c:v>44845</c:v>
                </c:pt>
                <c:pt idx="386">
                  <c:v>44846</c:v>
                </c:pt>
                <c:pt idx="387">
                  <c:v>44847</c:v>
                </c:pt>
                <c:pt idx="388">
                  <c:v>44848</c:v>
                </c:pt>
                <c:pt idx="389">
                  <c:v>44851</c:v>
                </c:pt>
                <c:pt idx="390">
                  <c:v>44852</c:v>
                </c:pt>
                <c:pt idx="391">
                  <c:v>44853</c:v>
                </c:pt>
                <c:pt idx="392">
                  <c:v>44854</c:v>
                </c:pt>
                <c:pt idx="393">
                  <c:v>44855</c:v>
                </c:pt>
                <c:pt idx="394">
                  <c:v>44858</c:v>
                </c:pt>
                <c:pt idx="395">
                  <c:v>44859</c:v>
                </c:pt>
                <c:pt idx="396">
                  <c:v>44860</c:v>
                </c:pt>
                <c:pt idx="397">
                  <c:v>44861</c:v>
                </c:pt>
                <c:pt idx="398">
                  <c:v>44862</c:v>
                </c:pt>
                <c:pt idx="399">
                  <c:v>44865</c:v>
                </c:pt>
                <c:pt idx="400">
                  <c:v>44866</c:v>
                </c:pt>
                <c:pt idx="401">
                  <c:v>44867</c:v>
                </c:pt>
                <c:pt idx="402">
                  <c:v>44868</c:v>
                </c:pt>
                <c:pt idx="403">
                  <c:v>44869</c:v>
                </c:pt>
                <c:pt idx="404">
                  <c:v>44872</c:v>
                </c:pt>
                <c:pt idx="405">
                  <c:v>44873</c:v>
                </c:pt>
                <c:pt idx="406">
                  <c:v>44874</c:v>
                </c:pt>
                <c:pt idx="407">
                  <c:v>44875</c:v>
                </c:pt>
                <c:pt idx="408">
                  <c:v>44876</c:v>
                </c:pt>
                <c:pt idx="409">
                  <c:v>44879</c:v>
                </c:pt>
                <c:pt idx="410">
                  <c:v>44880</c:v>
                </c:pt>
                <c:pt idx="411">
                  <c:v>44881</c:v>
                </c:pt>
                <c:pt idx="412">
                  <c:v>44882</c:v>
                </c:pt>
                <c:pt idx="413">
                  <c:v>44883</c:v>
                </c:pt>
                <c:pt idx="414">
                  <c:v>44886</c:v>
                </c:pt>
                <c:pt idx="415">
                  <c:v>44887</c:v>
                </c:pt>
                <c:pt idx="416">
                  <c:v>44888</c:v>
                </c:pt>
                <c:pt idx="417">
                  <c:v>44890</c:v>
                </c:pt>
                <c:pt idx="418">
                  <c:v>44893</c:v>
                </c:pt>
                <c:pt idx="419">
                  <c:v>44894</c:v>
                </c:pt>
                <c:pt idx="420">
                  <c:v>44895</c:v>
                </c:pt>
                <c:pt idx="421">
                  <c:v>44896</c:v>
                </c:pt>
                <c:pt idx="422">
                  <c:v>44897</c:v>
                </c:pt>
                <c:pt idx="423">
                  <c:v>44900</c:v>
                </c:pt>
                <c:pt idx="424">
                  <c:v>44901</c:v>
                </c:pt>
                <c:pt idx="425">
                  <c:v>44902</c:v>
                </c:pt>
                <c:pt idx="426">
                  <c:v>44903</c:v>
                </c:pt>
                <c:pt idx="427">
                  <c:v>44904</c:v>
                </c:pt>
                <c:pt idx="428">
                  <c:v>44907</c:v>
                </c:pt>
                <c:pt idx="429">
                  <c:v>44908</c:v>
                </c:pt>
                <c:pt idx="430">
                  <c:v>44909</c:v>
                </c:pt>
                <c:pt idx="431">
                  <c:v>44910</c:v>
                </c:pt>
                <c:pt idx="432">
                  <c:v>44911</c:v>
                </c:pt>
                <c:pt idx="433">
                  <c:v>44914</c:v>
                </c:pt>
                <c:pt idx="434">
                  <c:v>44915</c:v>
                </c:pt>
                <c:pt idx="435">
                  <c:v>44916</c:v>
                </c:pt>
                <c:pt idx="436">
                  <c:v>44917</c:v>
                </c:pt>
                <c:pt idx="437">
                  <c:v>44918</c:v>
                </c:pt>
                <c:pt idx="438">
                  <c:v>44922</c:v>
                </c:pt>
                <c:pt idx="439">
                  <c:v>44923</c:v>
                </c:pt>
                <c:pt idx="440">
                  <c:v>44924</c:v>
                </c:pt>
                <c:pt idx="441">
                  <c:v>44925</c:v>
                </c:pt>
                <c:pt idx="442">
                  <c:v>44929</c:v>
                </c:pt>
                <c:pt idx="443">
                  <c:v>44930</c:v>
                </c:pt>
                <c:pt idx="444">
                  <c:v>44931</c:v>
                </c:pt>
                <c:pt idx="445">
                  <c:v>44932</c:v>
                </c:pt>
                <c:pt idx="446">
                  <c:v>44935</c:v>
                </c:pt>
                <c:pt idx="447">
                  <c:v>44936</c:v>
                </c:pt>
                <c:pt idx="448">
                  <c:v>44937</c:v>
                </c:pt>
                <c:pt idx="449">
                  <c:v>44938</c:v>
                </c:pt>
                <c:pt idx="450">
                  <c:v>44939</c:v>
                </c:pt>
                <c:pt idx="451">
                  <c:v>44943</c:v>
                </c:pt>
                <c:pt idx="452">
                  <c:v>44944</c:v>
                </c:pt>
                <c:pt idx="453">
                  <c:v>44945</c:v>
                </c:pt>
                <c:pt idx="454">
                  <c:v>44946</c:v>
                </c:pt>
                <c:pt idx="455">
                  <c:v>44949</c:v>
                </c:pt>
                <c:pt idx="456">
                  <c:v>44950</c:v>
                </c:pt>
                <c:pt idx="457">
                  <c:v>44951</c:v>
                </c:pt>
                <c:pt idx="458">
                  <c:v>44952</c:v>
                </c:pt>
                <c:pt idx="459">
                  <c:v>44953</c:v>
                </c:pt>
                <c:pt idx="460">
                  <c:v>44956</c:v>
                </c:pt>
                <c:pt idx="461">
                  <c:v>44957</c:v>
                </c:pt>
                <c:pt idx="462">
                  <c:v>44958</c:v>
                </c:pt>
                <c:pt idx="463">
                  <c:v>44959</c:v>
                </c:pt>
                <c:pt idx="464">
                  <c:v>44960</c:v>
                </c:pt>
                <c:pt idx="465">
                  <c:v>44963</c:v>
                </c:pt>
                <c:pt idx="466">
                  <c:v>44964</c:v>
                </c:pt>
                <c:pt idx="467">
                  <c:v>44965</c:v>
                </c:pt>
                <c:pt idx="468">
                  <c:v>44966</c:v>
                </c:pt>
                <c:pt idx="469">
                  <c:v>44967</c:v>
                </c:pt>
                <c:pt idx="470">
                  <c:v>44970</c:v>
                </c:pt>
                <c:pt idx="471">
                  <c:v>44971</c:v>
                </c:pt>
                <c:pt idx="472">
                  <c:v>44972</c:v>
                </c:pt>
                <c:pt idx="473">
                  <c:v>44973</c:v>
                </c:pt>
                <c:pt idx="474">
                  <c:v>44974</c:v>
                </c:pt>
                <c:pt idx="475">
                  <c:v>44978</c:v>
                </c:pt>
                <c:pt idx="476">
                  <c:v>44979</c:v>
                </c:pt>
                <c:pt idx="477">
                  <c:v>44980</c:v>
                </c:pt>
                <c:pt idx="478">
                  <c:v>44981</c:v>
                </c:pt>
                <c:pt idx="479">
                  <c:v>44984</c:v>
                </c:pt>
                <c:pt idx="480">
                  <c:v>44985</c:v>
                </c:pt>
                <c:pt idx="481">
                  <c:v>44986</c:v>
                </c:pt>
                <c:pt idx="482">
                  <c:v>44987</c:v>
                </c:pt>
                <c:pt idx="483">
                  <c:v>44988</c:v>
                </c:pt>
                <c:pt idx="484">
                  <c:v>44991</c:v>
                </c:pt>
                <c:pt idx="485">
                  <c:v>44992</c:v>
                </c:pt>
                <c:pt idx="486">
                  <c:v>44993</c:v>
                </c:pt>
                <c:pt idx="487">
                  <c:v>44994</c:v>
                </c:pt>
                <c:pt idx="488">
                  <c:v>44995</c:v>
                </c:pt>
                <c:pt idx="489">
                  <c:v>44998</c:v>
                </c:pt>
                <c:pt idx="490">
                  <c:v>44999</c:v>
                </c:pt>
                <c:pt idx="491">
                  <c:v>45000</c:v>
                </c:pt>
                <c:pt idx="492">
                  <c:v>45001</c:v>
                </c:pt>
                <c:pt idx="493">
                  <c:v>45002</c:v>
                </c:pt>
                <c:pt idx="494">
                  <c:v>45005</c:v>
                </c:pt>
                <c:pt idx="495">
                  <c:v>45006</c:v>
                </c:pt>
                <c:pt idx="496">
                  <c:v>45007</c:v>
                </c:pt>
                <c:pt idx="497">
                  <c:v>45008</c:v>
                </c:pt>
                <c:pt idx="498">
                  <c:v>45009</c:v>
                </c:pt>
                <c:pt idx="499">
                  <c:v>45012</c:v>
                </c:pt>
                <c:pt idx="500">
                  <c:v>45013</c:v>
                </c:pt>
                <c:pt idx="501">
                  <c:v>45014</c:v>
                </c:pt>
                <c:pt idx="502">
                  <c:v>45015</c:v>
                </c:pt>
                <c:pt idx="503">
                  <c:v>45016</c:v>
                </c:pt>
                <c:pt idx="504">
                  <c:v>45019</c:v>
                </c:pt>
                <c:pt idx="505">
                  <c:v>45020</c:v>
                </c:pt>
                <c:pt idx="506">
                  <c:v>45021</c:v>
                </c:pt>
                <c:pt idx="507">
                  <c:v>45022</c:v>
                </c:pt>
                <c:pt idx="508">
                  <c:v>45026</c:v>
                </c:pt>
                <c:pt idx="509">
                  <c:v>45027</c:v>
                </c:pt>
                <c:pt idx="510">
                  <c:v>45028</c:v>
                </c:pt>
                <c:pt idx="511">
                  <c:v>45029</c:v>
                </c:pt>
                <c:pt idx="512">
                  <c:v>45030</c:v>
                </c:pt>
                <c:pt idx="513">
                  <c:v>45033</c:v>
                </c:pt>
                <c:pt idx="514">
                  <c:v>45034</c:v>
                </c:pt>
                <c:pt idx="515">
                  <c:v>45035</c:v>
                </c:pt>
                <c:pt idx="516">
                  <c:v>45036</c:v>
                </c:pt>
                <c:pt idx="517">
                  <c:v>45037</c:v>
                </c:pt>
                <c:pt idx="518">
                  <c:v>45040</c:v>
                </c:pt>
                <c:pt idx="519">
                  <c:v>45041</c:v>
                </c:pt>
                <c:pt idx="520">
                  <c:v>45042</c:v>
                </c:pt>
                <c:pt idx="521">
                  <c:v>45043</c:v>
                </c:pt>
                <c:pt idx="522">
                  <c:v>45044</c:v>
                </c:pt>
                <c:pt idx="523">
                  <c:v>45047</c:v>
                </c:pt>
                <c:pt idx="524">
                  <c:v>45048</c:v>
                </c:pt>
                <c:pt idx="525">
                  <c:v>45049</c:v>
                </c:pt>
                <c:pt idx="526">
                  <c:v>45050</c:v>
                </c:pt>
                <c:pt idx="527">
                  <c:v>45051</c:v>
                </c:pt>
                <c:pt idx="528">
                  <c:v>45054</c:v>
                </c:pt>
                <c:pt idx="529">
                  <c:v>45055</c:v>
                </c:pt>
                <c:pt idx="530">
                  <c:v>45056</c:v>
                </c:pt>
                <c:pt idx="531">
                  <c:v>45057</c:v>
                </c:pt>
                <c:pt idx="532">
                  <c:v>45058</c:v>
                </c:pt>
                <c:pt idx="533">
                  <c:v>45061</c:v>
                </c:pt>
                <c:pt idx="534">
                  <c:v>45062</c:v>
                </c:pt>
                <c:pt idx="535">
                  <c:v>45063</c:v>
                </c:pt>
                <c:pt idx="536">
                  <c:v>45064</c:v>
                </c:pt>
                <c:pt idx="537">
                  <c:v>45065</c:v>
                </c:pt>
                <c:pt idx="538">
                  <c:v>45068</c:v>
                </c:pt>
                <c:pt idx="539">
                  <c:v>45069</c:v>
                </c:pt>
                <c:pt idx="540">
                  <c:v>45070</c:v>
                </c:pt>
                <c:pt idx="541">
                  <c:v>45071</c:v>
                </c:pt>
                <c:pt idx="542">
                  <c:v>45072</c:v>
                </c:pt>
                <c:pt idx="543">
                  <c:v>45076</c:v>
                </c:pt>
                <c:pt idx="544">
                  <c:v>45077</c:v>
                </c:pt>
                <c:pt idx="545">
                  <c:v>45078</c:v>
                </c:pt>
                <c:pt idx="546">
                  <c:v>45079</c:v>
                </c:pt>
                <c:pt idx="547">
                  <c:v>45082</c:v>
                </c:pt>
                <c:pt idx="548">
                  <c:v>45083</c:v>
                </c:pt>
                <c:pt idx="549">
                  <c:v>45084</c:v>
                </c:pt>
                <c:pt idx="550">
                  <c:v>45085</c:v>
                </c:pt>
                <c:pt idx="551">
                  <c:v>45086</c:v>
                </c:pt>
                <c:pt idx="552">
                  <c:v>45089</c:v>
                </c:pt>
                <c:pt idx="553">
                  <c:v>45090</c:v>
                </c:pt>
                <c:pt idx="554">
                  <c:v>45091</c:v>
                </c:pt>
                <c:pt idx="555">
                  <c:v>45092</c:v>
                </c:pt>
                <c:pt idx="556">
                  <c:v>45093</c:v>
                </c:pt>
                <c:pt idx="557">
                  <c:v>45097</c:v>
                </c:pt>
                <c:pt idx="558">
                  <c:v>45098</c:v>
                </c:pt>
                <c:pt idx="559">
                  <c:v>45099</c:v>
                </c:pt>
                <c:pt idx="560">
                  <c:v>45100</c:v>
                </c:pt>
                <c:pt idx="561">
                  <c:v>45103</c:v>
                </c:pt>
                <c:pt idx="562">
                  <c:v>45104</c:v>
                </c:pt>
                <c:pt idx="563">
                  <c:v>45105</c:v>
                </c:pt>
                <c:pt idx="564">
                  <c:v>45106</c:v>
                </c:pt>
                <c:pt idx="565">
                  <c:v>45107</c:v>
                </c:pt>
                <c:pt idx="566">
                  <c:v>45110</c:v>
                </c:pt>
                <c:pt idx="567">
                  <c:v>45112</c:v>
                </c:pt>
                <c:pt idx="568">
                  <c:v>45113</c:v>
                </c:pt>
                <c:pt idx="569">
                  <c:v>45114</c:v>
                </c:pt>
                <c:pt idx="570">
                  <c:v>45117</c:v>
                </c:pt>
                <c:pt idx="571">
                  <c:v>45118</c:v>
                </c:pt>
                <c:pt idx="572">
                  <c:v>45119</c:v>
                </c:pt>
                <c:pt idx="573">
                  <c:v>45120</c:v>
                </c:pt>
                <c:pt idx="574">
                  <c:v>45121</c:v>
                </c:pt>
                <c:pt idx="575">
                  <c:v>45124</c:v>
                </c:pt>
                <c:pt idx="576">
                  <c:v>45125</c:v>
                </c:pt>
                <c:pt idx="577">
                  <c:v>45126</c:v>
                </c:pt>
                <c:pt idx="578">
                  <c:v>45127</c:v>
                </c:pt>
                <c:pt idx="579">
                  <c:v>45128</c:v>
                </c:pt>
                <c:pt idx="580">
                  <c:v>45131</c:v>
                </c:pt>
                <c:pt idx="581">
                  <c:v>45132</c:v>
                </c:pt>
                <c:pt idx="582">
                  <c:v>45133</c:v>
                </c:pt>
                <c:pt idx="583">
                  <c:v>45134</c:v>
                </c:pt>
                <c:pt idx="584">
                  <c:v>45135</c:v>
                </c:pt>
                <c:pt idx="585">
                  <c:v>45138</c:v>
                </c:pt>
                <c:pt idx="586">
                  <c:v>45139</c:v>
                </c:pt>
                <c:pt idx="587">
                  <c:v>45140</c:v>
                </c:pt>
                <c:pt idx="588">
                  <c:v>45141</c:v>
                </c:pt>
                <c:pt idx="589">
                  <c:v>45142</c:v>
                </c:pt>
                <c:pt idx="590">
                  <c:v>45145</c:v>
                </c:pt>
                <c:pt idx="591">
                  <c:v>45146</c:v>
                </c:pt>
                <c:pt idx="592">
                  <c:v>45147</c:v>
                </c:pt>
                <c:pt idx="593">
                  <c:v>45148</c:v>
                </c:pt>
                <c:pt idx="594">
                  <c:v>45149</c:v>
                </c:pt>
                <c:pt idx="595">
                  <c:v>45152</c:v>
                </c:pt>
                <c:pt idx="596">
                  <c:v>45153</c:v>
                </c:pt>
                <c:pt idx="597">
                  <c:v>45154</c:v>
                </c:pt>
                <c:pt idx="598">
                  <c:v>45155</c:v>
                </c:pt>
                <c:pt idx="599">
                  <c:v>45156</c:v>
                </c:pt>
                <c:pt idx="600">
                  <c:v>45159</c:v>
                </c:pt>
                <c:pt idx="601">
                  <c:v>45160</c:v>
                </c:pt>
                <c:pt idx="602">
                  <c:v>45161</c:v>
                </c:pt>
                <c:pt idx="603">
                  <c:v>45162</c:v>
                </c:pt>
                <c:pt idx="604">
                  <c:v>45163</c:v>
                </c:pt>
                <c:pt idx="605">
                  <c:v>45166</c:v>
                </c:pt>
                <c:pt idx="606">
                  <c:v>45167</c:v>
                </c:pt>
                <c:pt idx="607">
                  <c:v>45168</c:v>
                </c:pt>
                <c:pt idx="608">
                  <c:v>45169</c:v>
                </c:pt>
                <c:pt idx="609">
                  <c:v>45170</c:v>
                </c:pt>
                <c:pt idx="610">
                  <c:v>45174</c:v>
                </c:pt>
                <c:pt idx="611">
                  <c:v>45175</c:v>
                </c:pt>
                <c:pt idx="612">
                  <c:v>45176</c:v>
                </c:pt>
                <c:pt idx="613">
                  <c:v>45177</c:v>
                </c:pt>
                <c:pt idx="614">
                  <c:v>45180</c:v>
                </c:pt>
                <c:pt idx="615">
                  <c:v>45181</c:v>
                </c:pt>
                <c:pt idx="616">
                  <c:v>45182</c:v>
                </c:pt>
                <c:pt idx="617">
                  <c:v>45183</c:v>
                </c:pt>
                <c:pt idx="618">
                  <c:v>45184</c:v>
                </c:pt>
                <c:pt idx="619">
                  <c:v>45187</c:v>
                </c:pt>
                <c:pt idx="620">
                  <c:v>45188</c:v>
                </c:pt>
                <c:pt idx="621">
                  <c:v>45189</c:v>
                </c:pt>
                <c:pt idx="622">
                  <c:v>45190</c:v>
                </c:pt>
                <c:pt idx="623">
                  <c:v>45191</c:v>
                </c:pt>
                <c:pt idx="624">
                  <c:v>45194</c:v>
                </c:pt>
                <c:pt idx="625">
                  <c:v>45195</c:v>
                </c:pt>
                <c:pt idx="626">
                  <c:v>45196</c:v>
                </c:pt>
                <c:pt idx="627">
                  <c:v>45197</c:v>
                </c:pt>
                <c:pt idx="628">
                  <c:v>45198</c:v>
                </c:pt>
                <c:pt idx="629">
                  <c:v>45201</c:v>
                </c:pt>
                <c:pt idx="630">
                  <c:v>45202</c:v>
                </c:pt>
                <c:pt idx="631">
                  <c:v>45203</c:v>
                </c:pt>
                <c:pt idx="632">
                  <c:v>45204</c:v>
                </c:pt>
                <c:pt idx="633">
                  <c:v>45205</c:v>
                </c:pt>
                <c:pt idx="634">
                  <c:v>45208</c:v>
                </c:pt>
                <c:pt idx="635">
                  <c:v>45209</c:v>
                </c:pt>
                <c:pt idx="636">
                  <c:v>45210</c:v>
                </c:pt>
                <c:pt idx="637">
                  <c:v>45211</c:v>
                </c:pt>
                <c:pt idx="638">
                  <c:v>45212</c:v>
                </c:pt>
                <c:pt idx="639">
                  <c:v>45215</c:v>
                </c:pt>
                <c:pt idx="640">
                  <c:v>45216</c:v>
                </c:pt>
                <c:pt idx="641">
                  <c:v>45217</c:v>
                </c:pt>
                <c:pt idx="642">
                  <c:v>45218</c:v>
                </c:pt>
                <c:pt idx="643">
                  <c:v>45219</c:v>
                </c:pt>
                <c:pt idx="644">
                  <c:v>45222</c:v>
                </c:pt>
                <c:pt idx="645">
                  <c:v>45223</c:v>
                </c:pt>
                <c:pt idx="646">
                  <c:v>45224</c:v>
                </c:pt>
                <c:pt idx="647">
                  <c:v>45225</c:v>
                </c:pt>
                <c:pt idx="648">
                  <c:v>45226</c:v>
                </c:pt>
                <c:pt idx="649">
                  <c:v>45229</c:v>
                </c:pt>
                <c:pt idx="650">
                  <c:v>45230</c:v>
                </c:pt>
                <c:pt idx="651">
                  <c:v>45231</c:v>
                </c:pt>
                <c:pt idx="652">
                  <c:v>45232</c:v>
                </c:pt>
                <c:pt idx="653">
                  <c:v>45233</c:v>
                </c:pt>
                <c:pt idx="654">
                  <c:v>45236</c:v>
                </c:pt>
                <c:pt idx="655">
                  <c:v>45237</c:v>
                </c:pt>
                <c:pt idx="656">
                  <c:v>45238</c:v>
                </c:pt>
                <c:pt idx="657">
                  <c:v>45239</c:v>
                </c:pt>
                <c:pt idx="658">
                  <c:v>45240</c:v>
                </c:pt>
                <c:pt idx="659">
                  <c:v>45243</c:v>
                </c:pt>
                <c:pt idx="660">
                  <c:v>45244</c:v>
                </c:pt>
                <c:pt idx="661">
                  <c:v>45245</c:v>
                </c:pt>
                <c:pt idx="662">
                  <c:v>45246</c:v>
                </c:pt>
                <c:pt idx="663">
                  <c:v>45247</c:v>
                </c:pt>
                <c:pt idx="664">
                  <c:v>45250</c:v>
                </c:pt>
                <c:pt idx="665">
                  <c:v>45251</c:v>
                </c:pt>
                <c:pt idx="666">
                  <c:v>45252</c:v>
                </c:pt>
                <c:pt idx="667">
                  <c:v>45254</c:v>
                </c:pt>
                <c:pt idx="668">
                  <c:v>45257</c:v>
                </c:pt>
                <c:pt idx="669">
                  <c:v>45258</c:v>
                </c:pt>
                <c:pt idx="670">
                  <c:v>45259</c:v>
                </c:pt>
                <c:pt idx="671">
                  <c:v>45260</c:v>
                </c:pt>
                <c:pt idx="672">
                  <c:v>45261</c:v>
                </c:pt>
                <c:pt idx="673">
                  <c:v>45264</c:v>
                </c:pt>
                <c:pt idx="674">
                  <c:v>45265</c:v>
                </c:pt>
                <c:pt idx="675">
                  <c:v>45266</c:v>
                </c:pt>
                <c:pt idx="676">
                  <c:v>45267</c:v>
                </c:pt>
                <c:pt idx="677">
                  <c:v>45268</c:v>
                </c:pt>
                <c:pt idx="678">
                  <c:v>45271</c:v>
                </c:pt>
                <c:pt idx="679">
                  <c:v>45272</c:v>
                </c:pt>
                <c:pt idx="680">
                  <c:v>45273</c:v>
                </c:pt>
                <c:pt idx="681">
                  <c:v>45274</c:v>
                </c:pt>
                <c:pt idx="682">
                  <c:v>45275</c:v>
                </c:pt>
                <c:pt idx="683">
                  <c:v>45278</c:v>
                </c:pt>
                <c:pt idx="684">
                  <c:v>45279</c:v>
                </c:pt>
                <c:pt idx="685">
                  <c:v>45280</c:v>
                </c:pt>
                <c:pt idx="686">
                  <c:v>45281</c:v>
                </c:pt>
                <c:pt idx="687">
                  <c:v>45282</c:v>
                </c:pt>
                <c:pt idx="688">
                  <c:v>45286</c:v>
                </c:pt>
                <c:pt idx="689">
                  <c:v>45287</c:v>
                </c:pt>
                <c:pt idx="690">
                  <c:v>45288</c:v>
                </c:pt>
                <c:pt idx="691">
                  <c:v>45289</c:v>
                </c:pt>
                <c:pt idx="692">
                  <c:v>45293</c:v>
                </c:pt>
                <c:pt idx="693">
                  <c:v>45294</c:v>
                </c:pt>
                <c:pt idx="694">
                  <c:v>45295</c:v>
                </c:pt>
                <c:pt idx="695">
                  <c:v>45296</c:v>
                </c:pt>
                <c:pt idx="696">
                  <c:v>45299</c:v>
                </c:pt>
                <c:pt idx="697">
                  <c:v>45300</c:v>
                </c:pt>
                <c:pt idx="698">
                  <c:v>45301</c:v>
                </c:pt>
                <c:pt idx="699">
                  <c:v>45302</c:v>
                </c:pt>
                <c:pt idx="700">
                  <c:v>45303</c:v>
                </c:pt>
                <c:pt idx="701">
                  <c:v>45307</c:v>
                </c:pt>
                <c:pt idx="702">
                  <c:v>45308</c:v>
                </c:pt>
                <c:pt idx="703">
                  <c:v>45309</c:v>
                </c:pt>
                <c:pt idx="704">
                  <c:v>45310</c:v>
                </c:pt>
                <c:pt idx="705">
                  <c:v>45313</c:v>
                </c:pt>
                <c:pt idx="706">
                  <c:v>45314</c:v>
                </c:pt>
                <c:pt idx="707">
                  <c:v>45315</c:v>
                </c:pt>
                <c:pt idx="708">
                  <c:v>45316</c:v>
                </c:pt>
                <c:pt idx="709">
                  <c:v>45317</c:v>
                </c:pt>
                <c:pt idx="710">
                  <c:v>45320</c:v>
                </c:pt>
                <c:pt idx="711">
                  <c:v>45321</c:v>
                </c:pt>
                <c:pt idx="712">
                  <c:v>45322</c:v>
                </c:pt>
                <c:pt idx="713">
                  <c:v>45323</c:v>
                </c:pt>
                <c:pt idx="714">
                  <c:v>45324</c:v>
                </c:pt>
                <c:pt idx="715">
                  <c:v>45327</c:v>
                </c:pt>
                <c:pt idx="716">
                  <c:v>45328</c:v>
                </c:pt>
                <c:pt idx="717">
                  <c:v>45329</c:v>
                </c:pt>
                <c:pt idx="718">
                  <c:v>45330</c:v>
                </c:pt>
                <c:pt idx="719">
                  <c:v>45331</c:v>
                </c:pt>
                <c:pt idx="720">
                  <c:v>45334</c:v>
                </c:pt>
                <c:pt idx="721">
                  <c:v>45335</c:v>
                </c:pt>
                <c:pt idx="722">
                  <c:v>45336</c:v>
                </c:pt>
                <c:pt idx="723">
                  <c:v>45337</c:v>
                </c:pt>
                <c:pt idx="724">
                  <c:v>45338</c:v>
                </c:pt>
                <c:pt idx="725">
                  <c:v>45342</c:v>
                </c:pt>
                <c:pt idx="726">
                  <c:v>45343</c:v>
                </c:pt>
                <c:pt idx="727">
                  <c:v>45344</c:v>
                </c:pt>
                <c:pt idx="728">
                  <c:v>45345</c:v>
                </c:pt>
                <c:pt idx="729">
                  <c:v>45348</c:v>
                </c:pt>
                <c:pt idx="730">
                  <c:v>45349</c:v>
                </c:pt>
                <c:pt idx="731">
                  <c:v>45350</c:v>
                </c:pt>
                <c:pt idx="732">
                  <c:v>45351</c:v>
                </c:pt>
                <c:pt idx="733">
                  <c:v>45352</c:v>
                </c:pt>
                <c:pt idx="734">
                  <c:v>45355</c:v>
                </c:pt>
                <c:pt idx="735">
                  <c:v>45356</c:v>
                </c:pt>
                <c:pt idx="736">
                  <c:v>45357</c:v>
                </c:pt>
                <c:pt idx="737">
                  <c:v>45358</c:v>
                </c:pt>
                <c:pt idx="738">
                  <c:v>45359</c:v>
                </c:pt>
                <c:pt idx="739">
                  <c:v>45362</c:v>
                </c:pt>
                <c:pt idx="740">
                  <c:v>45363</c:v>
                </c:pt>
                <c:pt idx="741">
                  <c:v>45364</c:v>
                </c:pt>
                <c:pt idx="742">
                  <c:v>45365</c:v>
                </c:pt>
                <c:pt idx="743">
                  <c:v>45366</c:v>
                </c:pt>
                <c:pt idx="744">
                  <c:v>45369</c:v>
                </c:pt>
                <c:pt idx="745">
                  <c:v>45370</c:v>
                </c:pt>
                <c:pt idx="746">
                  <c:v>45371</c:v>
                </c:pt>
                <c:pt idx="747">
                  <c:v>45372</c:v>
                </c:pt>
                <c:pt idx="748">
                  <c:v>45373</c:v>
                </c:pt>
                <c:pt idx="749">
                  <c:v>45376</c:v>
                </c:pt>
                <c:pt idx="750">
                  <c:v>45377</c:v>
                </c:pt>
                <c:pt idx="751">
                  <c:v>45378</c:v>
                </c:pt>
                <c:pt idx="752">
                  <c:v>45379</c:v>
                </c:pt>
                <c:pt idx="753">
                  <c:v>45383</c:v>
                </c:pt>
                <c:pt idx="754">
                  <c:v>45384</c:v>
                </c:pt>
                <c:pt idx="755">
                  <c:v>45385</c:v>
                </c:pt>
                <c:pt idx="756">
                  <c:v>45386</c:v>
                </c:pt>
                <c:pt idx="757">
                  <c:v>45387</c:v>
                </c:pt>
                <c:pt idx="758">
                  <c:v>45390</c:v>
                </c:pt>
                <c:pt idx="759">
                  <c:v>45391</c:v>
                </c:pt>
                <c:pt idx="760">
                  <c:v>45392</c:v>
                </c:pt>
                <c:pt idx="761">
                  <c:v>45393</c:v>
                </c:pt>
                <c:pt idx="762">
                  <c:v>45394</c:v>
                </c:pt>
                <c:pt idx="763">
                  <c:v>45397</c:v>
                </c:pt>
                <c:pt idx="764">
                  <c:v>45398</c:v>
                </c:pt>
                <c:pt idx="765">
                  <c:v>45399</c:v>
                </c:pt>
                <c:pt idx="766">
                  <c:v>45400</c:v>
                </c:pt>
                <c:pt idx="767">
                  <c:v>45401</c:v>
                </c:pt>
                <c:pt idx="768">
                  <c:v>45404</c:v>
                </c:pt>
                <c:pt idx="769">
                  <c:v>45405</c:v>
                </c:pt>
                <c:pt idx="770">
                  <c:v>45406</c:v>
                </c:pt>
                <c:pt idx="771">
                  <c:v>45407</c:v>
                </c:pt>
                <c:pt idx="772">
                  <c:v>45408</c:v>
                </c:pt>
                <c:pt idx="773">
                  <c:v>45411</c:v>
                </c:pt>
                <c:pt idx="774">
                  <c:v>45412</c:v>
                </c:pt>
                <c:pt idx="775">
                  <c:v>45413</c:v>
                </c:pt>
                <c:pt idx="776">
                  <c:v>45414</c:v>
                </c:pt>
                <c:pt idx="777">
                  <c:v>45415</c:v>
                </c:pt>
                <c:pt idx="778">
                  <c:v>45418</c:v>
                </c:pt>
                <c:pt idx="779">
                  <c:v>45419</c:v>
                </c:pt>
                <c:pt idx="780">
                  <c:v>45420</c:v>
                </c:pt>
                <c:pt idx="781">
                  <c:v>45421</c:v>
                </c:pt>
                <c:pt idx="782">
                  <c:v>45422</c:v>
                </c:pt>
                <c:pt idx="783">
                  <c:v>45425</c:v>
                </c:pt>
                <c:pt idx="784">
                  <c:v>45426</c:v>
                </c:pt>
                <c:pt idx="785">
                  <c:v>45427</c:v>
                </c:pt>
                <c:pt idx="786">
                  <c:v>45428</c:v>
                </c:pt>
                <c:pt idx="787">
                  <c:v>45429</c:v>
                </c:pt>
                <c:pt idx="788">
                  <c:v>45432</c:v>
                </c:pt>
                <c:pt idx="789">
                  <c:v>45433</c:v>
                </c:pt>
                <c:pt idx="790">
                  <c:v>45434</c:v>
                </c:pt>
                <c:pt idx="791">
                  <c:v>45435</c:v>
                </c:pt>
                <c:pt idx="792">
                  <c:v>45436</c:v>
                </c:pt>
                <c:pt idx="793">
                  <c:v>45440</c:v>
                </c:pt>
                <c:pt idx="794">
                  <c:v>45441</c:v>
                </c:pt>
                <c:pt idx="795">
                  <c:v>45442</c:v>
                </c:pt>
                <c:pt idx="796">
                  <c:v>45443</c:v>
                </c:pt>
                <c:pt idx="797">
                  <c:v>45446</c:v>
                </c:pt>
                <c:pt idx="798">
                  <c:v>45447</c:v>
                </c:pt>
                <c:pt idx="799">
                  <c:v>45448</c:v>
                </c:pt>
                <c:pt idx="800">
                  <c:v>45449</c:v>
                </c:pt>
                <c:pt idx="801">
                  <c:v>45450</c:v>
                </c:pt>
                <c:pt idx="802">
                  <c:v>45453</c:v>
                </c:pt>
                <c:pt idx="803">
                  <c:v>45454</c:v>
                </c:pt>
                <c:pt idx="804">
                  <c:v>45455</c:v>
                </c:pt>
                <c:pt idx="805">
                  <c:v>45456</c:v>
                </c:pt>
                <c:pt idx="806">
                  <c:v>45457</c:v>
                </c:pt>
                <c:pt idx="807">
                  <c:v>45460</c:v>
                </c:pt>
                <c:pt idx="808">
                  <c:v>45461</c:v>
                </c:pt>
                <c:pt idx="809">
                  <c:v>45463</c:v>
                </c:pt>
                <c:pt idx="810">
                  <c:v>45464</c:v>
                </c:pt>
                <c:pt idx="811">
                  <c:v>45467</c:v>
                </c:pt>
                <c:pt idx="812">
                  <c:v>45468</c:v>
                </c:pt>
                <c:pt idx="813">
                  <c:v>45469</c:v>
                </c:pt>
                <c:pt idx="814">
                  <c:v>45470</c:v>
                </c:pt>
                <c:pt idx="815">
                  <c:v>45471</c:v>
                </c:pt>
                <c:pt idx="816">
                  <c:v>45474</c:v>
                </c:pt>
                <c:pt idx="817">
                  <c:v>45475</c:v>
                </c:pt>
                <c:pt idx="818">
                  <c:v>45476</c:v>
                </c:pt>
                <c:pt idx="819">
                  <c:v>45478</c:v>
                </c:pt>
                <c:pt idx="820">
                  <c:v>45481</c:v>
                </c:pt>
                <c:pt idx="821">
                  <c:v>45482</c:v>
                </c:pt>
                <c:pt idx="822">
                  <c:v>45483</c:v>
                </c:pt>
                <c:pt idx="823">
                  <c:v>45484</c:v>
                </c:pt>
                <c:pt idx="824">
                  <c:v>45485</c:v>
                </c:pt>
                <c:pt idx="825">
                  <c:v>45488</c:v>
                </c:pt>
                <c:pt idx="826">
                  <c:v>45489</c:v>
                </c:pt>
                <c:pt idx="827">
                  <c:v>45490</c:v>
                </c:pt>
                <c:pt idx="828">
                  <c:v>45491</c:v>
                </c:pt>
                <c:pt idx="829">
                  <c:v>45492</c:v>
                </c:pt>
                <c:pt idx="830">
                  <c:v>45495</c:v>
                </c:pt>
                <c:pt idx="831">
                  <c:v>45496</c:v>
                </c:pt>
                <c:pt idx="832">
                  <c:v>45497</c:v>
                </c:pt>
                <c:pt idx="833">
                  <c:v>45498</c:v>
                </c:pt>
                <c:pt idx="834">
                  <c:v>45499</c:v>
                </c:pt>
                <c:pt idx="835">
                  <c:v>45502</c:v>
                </c:pt>
                <c:pt idx="836">
                  <c:v>45503</c:v>
                </c:pt>
                <c:pt idx="837">
                  <c:v>45504</c:v>
                </c:pt>
                <c:pt idx="838">
                  <c:v>45505</c:v>
                </c:pt>
                <c:pt idx="839">
                  <c:v>45506</c:v>
                </c:pt>
                <c:pt idx="840">
                  <c:v>45509</c:v>
                </c:pt>
                <c:pt idx="841">
                  <c:v>45510</c:v>
                </c:pt>
                <c:pt idx="842">
                  <c:v>45511</c:v>
                </c:pt>
                <c:pt idx="843">
                  <c:v>45512</c:v>
                </c:pt>
                <c:pt idx="844">
                  <c:v>45513</c:v>
                </c:pt>
                <c:pt idx="845">
                  <c:v>45516</c:v>
                </c:pt>
                <c:pt idx="846">
                  <c:v>45517</c:v>
                </c:pt>
                <c:pt idx="847">
                  <c:v>45518</c:v>
                </c:pt>
                <c:pt idx="848">
                  <c:v>45519</c:v>
                </c:pt>
                <c:pt idx="849">
                  <c:v>45520</c:v>
                </c:pt>
                <c:pt idx="850">
                  <c:v>45523</c:v>
                </c:pt>
                <c:pt idx="851">
                  <c:v>45524</c:v>
                </c:pt>
                <c:pt idx="852">
                  <c:v>45525</c:v>
                </c:pt>
                <c:pt idx="853">
                  <c:v>45526</c:v>
                </c:pt>
                <c:pt idx="854">
                  <c:v>45527</c:v>
                </c:pt>
                <c:pt idx="855">
                  <c:v>45530</c:v>
                </c:pt>
                <c:pt idx="856">
                  <c:v>45531</c:v>
                </c:pt>
                <c:pt idx="857">
                  <c:v>45532</c:v>
                </c:pt>
                <c:pt idx="858">
                  <c:v>45533</c:v>
                </c:pt>
                <c:pt idx="859">
                  <c:v>45534</c:v>
                </c:pt>
                <c:pt idx="860">
                  <c:v>45538</c:v>
                </c:pt>
                <c:pt idx="861">
                  <c:v>45539</c:v>
                </c:pt>
                <c:pt idx="862">
                  <c:v>45540</c:v>
                </c:pt>
                <c:pt idx="863">
                  <c:v>45541</c:v>
                </c:pt>
                <c:pt idx="864">
                  <c:v>45544</c:v>
                </c:pt>
                <c:pt idx="865">
                  <c:v>45545</c:v>
                </c:pt>
                <c:pt idx="866">
                  <c:v>45546</c:v>
                </c:pt>
                <c:pt idx="867">
                  <c:v>45547</c:v>
                </c:pt>
                <c:pt idx="868">
                  <c:v>45548</c:v>
                </c:pt>
                <c:pt idx="869">
                  <c:v>45551</c:v>
                </c:pt>
                <c:pt idx="870">
                  <c:v>45552</c:v>
                </c:pt>
                <c:pt idx="871">
                  <c:v>45553</c:v>
                </c:pt>
                <c:pt idx="872">
                  <c:v>45554</c:v>
                </c:pt>
                <c:pt idx="873">
                  <c:v>45555</c:v>
                </c:pt>
                <c:pt idx="874">
                  <c:v>45558</c:v>
                </c:pt>
                <c:pt idx="875">
                  <c:v>45559</c:v>
                </c:pt>
                <c:pt idx="876">
                  <c:v>45560</c:v>
                </c:pt>
                <c:pt idx="877">
                  <c:v>45561</c:v>
                </c:pt>
                <c:pt idx="878">
                  <c:v>45562</c:v>
                </c:pt>
                <c:pt idx="879">
                  <c:v>45565</c:v>
                </c:pt>
                <c:pt idx="880">
                  <c:v>45566</c:v>
                </c:pt>
                <c:pt idx="881">
                  <c:v>45567</c:v>
                </c:pt>
                <c:pt idx="882">
                  <c:v>45568</c:v>
                </c:pt>
                <c:pt idx="883">
                  <c:v>45569</c:v>
                </c:pt>
                <c:pt idx="884">
                  <c:v>45572</c:v>
                </c:pt>
                <c:pt idx="885">
                  <c:v>45573</c:v>
                </c:pt>
                <c:pt idx="886">
                  <c:v>45574</c:v>
                </c:pt>
                <c:pt idx="887">
                  <c:v>45575</c:v>
                </c:pt>
                <c:pt idx="888">
                  <c:v>45576</c:v>
                </c:pt>
                <c:pt idx="889">
                  <c:v>45579</c:v>
                </c:pt>
                <c:pt idx="890">
                  <c:v>45580</c:v>
                </c:pt>
                <c:pt idx="891">
                  <c:v>45581</c:v>
                </c:pt>
                <c:pt idx="892">
                  <c:v>45582</c:v>
                </c:pt>
                <c:pt idx="893">
                  <c:v>45583</c:v>
                </c:pt>
                <c:pt idx="894">
                  <c:v>45586</c:v>
                </c:pt>
                <c:pt idx="895">
                  <c:v>45587</c:v>
                </c:pt>
                <c:pt idx="896">
                  <c:v>45588</c:v>
                </c:pt>
                <c:pt idx="897">
                  <c:v>45589</c:v>
                </c:pt>
                <c:pt idx="898">
                  <c:v>45590</c:v>
                </c:pt>
                <c:pt idx="899">
                  <c:v>45593</c:v>
                </c:pt>
                <c:pt idx="900">
                  <c:v>45594</c:v>
                </c:pt>
                <c:pt idx="901">
                  <c:v>45595</c:v>
                </c:pt>
                <c:pt idx="902">
                  <c:v>45596</c:v>
                </c:pt>
                <c:pt idx="903">
                  <c:v>45597</c:v>
                </c:pt>
                <c:pt idx="904">
                  <c:v>45600</c:v>
                </c:pt>
                <c:pt idx="905">
                  <c:v>45601</c:v>
                </c:pt>
                <c:pt idx="906">
                  <c:v>45602</c:v>
                </c:pt>
                <c:pt idx="907">
                  <c:v>45603</c:v>
                </c:pt>
                <c:pt idx="908">
                  <c:v>45604</c:v>
                </c:pt>
                <c:pt idx="909">
                  <c:v>45607</c:v>
                </c:pt>
                <c:pt idx="910">
                  <c:v>45608</c:v>
                </c:pt>
                <c:pt idx="911">
                  <c:v>45609</c:v>
                </c:pt>
                <c:pt idx="912">
                  <c:v>45610</c:v>
                </c:pt>
                <c:pt idx="913">
                  <c:v>45611</c:v>
                </c:pt>
                <c:pt idx="914">
                  <c:v>45614</c:v>
                </c:pt>
                <c:pt idx="915">
                  <c:v>45615</c:v>
                </c:pt>
                <c:pt idx="916">
                  <c:v>45616</c:v>
                </c:pt>
                <c:pt idx="917">
                  <c:v>45617</c:v>
                </c:pt>
                <c:pt idx="918">
                  <c:v>45618</c:v>
                </c:pt>
                <c:pt idx="919">
                  <c:v>45621</c:v>
                </c:pt>
                <c:pt idx="920">
                  <c:v>45622</c:v>
                </c:pt>
                <c:pt idx="921">
                  <c:v>45623</c:v>
                </c:pt>
                <c:pt idx="922">
                  <c:v>45625</c:v>
                </c:pt>
                <c:pt idx="923">
                  <c:v>45628</c:v>
                </c:pt>
                <c:pt idx="924">
                  <c:v>45629</c:v>
                </c:pt>
                <c:pt idx="925">
                  <c:v>45630</c:v>
                </c:pt>
                <c:pt idx="926">
                  <c:v>45631</c:v>
                </c:pt>
                <c:pt idx="927">
                  <c:v>45632</c:v>
                </c:pt>
                <c:pt idx="928">
                  <c:v>45635</c:v>
                </c:pt>
                <c:pt idx="929">
                  <c:v>45636</c:v>
                </c:pt>
                <c:pt idx="930">
                  <c:v>45637</c:v>
                </c:pt>
                <c:pt idx="931">
                  <c:v>45638</c:v>
                </c:pt>
                <c:pt idx="932">
                  <c:v>45639</c:v>
                </c:pt>
                <c:pt idx="933">
                  <c:v>45642</c:v>
                </c:pt>
                <c:pt idx="934">
                  <c:v>45643</c:v>
                </c:pt>
                <c:pt idx="935">
                  <c:v>45644</c:v>
                </c:pt>
                <c:pt idx="936">
                  <c:v>45645</c:v>
                </c:pt>
                <c:pt idx="937">
                  <c:v>45646</c:v>
                </c:pt>
                <c:pt idx="938">
                  <c:v>45649</c:v>
                </c:pt>
                <c:pt idx="939">
                  <c:v>45650</c:v>
                </c:pt>
                <c:pt idx="940">
                  <c:v>45652</c:v>
                </c:pt>
                <c:pt idx="941">
                  <c:v>45653</c:v>
                </c:pt>
                <c:pt idx="942">
                  <c:v>45656</c:v>
                </c:pt>
                <c:pt idx="943">
                  <c:v>45657</c:v>
                </c:pt>
                <c:pt idx="944">
                  <c:v>45659</c:v>
                </c:pt>
                <c:pt idx="945">
                  <c:v>45660</c:v>
                </c:pt>
                <c:pt idx="946">
                  <c:v>45663</c:v>
                </c:pt>
                <c:pt idx="947">
                  <c:v>45664</c:v>
                </c:pt>
                <c:pt idx="948">
                  <c:v>45665</c:v>
                </c:pt>
                <c:pt idx="949">
                  <c:v>45667</c:v>
                </c:pt>
                <c:pt idx="950">
                  <c:v>45670</c:v>
                </c:pt>
                <c:pt idx="951">
                  <c:v>45671</c:v>
                </c:pt>
                <c:pt idx="952">
                  <c:v>45672</c:v>
                </c:pt>
                <c:pt idx="953">
                  <c:v>45673</c:v>
                </c:pt>
                <c:pt idx="954">
                  <c:v>45674</c:v>
                </c:pt>
                <c:pt idx="955">
                  <c:v>45678</c:v>
                </c:pt>
                <c:pt idx="956">
                  <c:v>45679</c:v>
                </c:pt>
                <c:pt idx="957">
                  <c:v>45680</c:v>
                </c:pt>
                <c:pt idx="958">
                  <c:v>45681</c:v>
                </c:pt>
                <c:pt idx="959">
                  <c:v>45684</c:v>
                </c:pt>
                <c:pt idx="960">
                  <c:v>45685</c:v>
                </c:pt>
                <c:pt idx="961">
                  <c:v>45686</c:v>
                </c:pt>
                <c:pt idx="962">
                  <c:v>45687</c:v>
                </c:pt>
                <c:pt idx="963">
                  <c:v>45688</c:v>
                </c:pt>
                <c:pt idx="964">
                  <c:v>45691</c:v>
                </c:pt>
                <c:pt idx="965">
                  <c:v>45692</c:v>
                </c:pt>
                <c:pt idx="966">
                  <c:v>45693</c:v>
                </c:pt>
                <c:pt idx="967">
                  <c:v>45694</c:v>
                </c:pt>
                <c:pt idx="968">
                  <c:v>45695</c:v>
                </c:pt>
                <c:pt idx="969">
                  <c:v>45698</c:v>
                </c:pt>
                <c:pt idx="970">
                  <c:v>45699</c:v>
                </c:pt>
                <c:pt idx="971">
                  <c:v>45700</c:v>
                </c:pt>
                <c:pt idx="972">
                  <c:v>45701</c:v>
                </c:pt>
                <c:pt idx="973">
                  <c:v>45702</c:v>
                </c:pt>
                <c:pt idx="974">
                  <c:v>45706</c:v>
                </c:pt>
                <c:pt idx="975">
                  <c:v>45707</c:v>
                </c:pt>
                <c:pt idx="976">
                  <c:v>45708</c:v>
                </c:pt>
                <c:pt idx="977">
                  <c:v>45709</c:v>
                </c:pt>
                <c:pt idx="978">
                  <c:v>45712</c:v>
                </c:pt>
                <c:pt idx="979">
                  <c:v>45713</c:v>
                </c:pt>
                <c:pt idx="980">
                  <c:v>45714</c:v>
                </c:pt>
                <c:pt idx="981">
                  <c:v>45715</c:v>
                </c:pt>
                <c:pt idx="982">
                  <c:v>45716</c:v>
                </c:pt>
                <c:pt idx="983">
                  <c:v>45719</c:v>
                </c:pt>
                <c:pt idx="984">
                  <c:v>45720</c:v>
                </c:pt>
                <c:pt idx="985">
                  <c:v>45721</c:v>
                </c:pt>
                <c:pt idx="986">
                  <c:v>45722</c:v>
                </c:pt>
                <c:pt idx="987">
                  <c:v>45723</c:v>
                </c:pt>
                <c:pt idx="988">
                  <c:v>45726</c:v>
                </c:pt>
                <c:pt idx="989">
                  <c:v>45727</c:v>
                </c:pt>
                <c:pt idx="990">
                  <c:v>45728</c:v>
                </c:pt>
                <c:pt idx="991">
                  <c:v>45729</c:v>
                </c:pt>
                <c:pt idx="992">
                  <c:v>45730</c:v>
                </c:pt>
                <c:pt idx="993">
                  <c:v>45733</c:v>
                </c:pt>
                <c:pt idx="994">
                  <c:v>45734</c:v>
                </c:pt>
                <c:pt idx="995">
                  <c:v>45735</c:v>
                </c:pt>
                <c:pt idx="996">
                  <c:v>45736</c:v>
                </c:pt>
                <c:pt idx="997">
                  <c:v>45737</c:v>
                </c:pt>
                <c:pt idx="998">
                  <c:v>45740</c:v>
                </c:pt>
                <c:pt idx="999">
                  <c:v>45741</c:v>
                </c:pt>
                <c:pt idx="1000">
                  <c:v>45742</c:v>
                </c:pt>
                <c:pt idx="1001">
                  <c:v>45743</c:v>
                </c:pt>
                <c:pt idx="1002">
                  <c:v>45744</c:v>
                </c:pt>
                <c:pt idx="1003">
                  <c:v>45747</c:v>
                </c:pt>
                <c:pt idx="1004">
                  <c:v>45748</c:v>
                </c:pt>
                <c:pt idx="1005">
                  <c:v>45749</c:v>
                </c:pt>
                <c:pt idx="1006">
                  <c:v>45750</c:v>
                </c:pt>
                <c:pt idx="1007">
                  <c:v>45751</c:v>
                </c:pt>
                <c:pt idx="1008">
                  <c:v>45754</c:v>
                </c:pt>
                <c:pt idx="1009">
                  <c:v>45755</c:v>
                </c:pt>
                <c:pt idx="1010">
                  <c:v>45756</c:v>
                </c:pt>
                <c:pt idx="1011">
                  <c:v>45757</c:v>
                </c:pt>
                <c:pt idx="1012">
                  <c:v>45758</c:v>
                </c:pt>
                <c:pt idx="1013">
                  <c:v>45761</c:v>
                </c:pt>
                <c:pt idx="1014">
                  <c:v>45762</c:v>
                </c:pt>
                <c:pt idx="1015">
                  <c:v>45763</c:v>
                </c:pt>
                <c:pt idx="1016">
                  <c:v>45764</c:v>
                </c:pt>
                <c:pt idx="1017">
                  <c:v>45768</c:v>
                </c:pt>
                <c:pt idx="1018">
                  <c:v>45769</c:v>
                </c:pt>
                <c:pt idx="1019">
                  <c:v>45770</c:v>
                </c:pt>
                <c:pt idx="1020">
                  <c:v>45771</c:v>
                </c:pt>
                <c:pt idx="1021">
                  <c:v>45772</c:v>
                </c:pt>
                <c:pt idx="1022">
                  <c:v>45775</c:v>
                </c:pt>
                <c:pt idx="1023">
                  <c:v>45776</c:v>
                </c:pt>
                <c:pt idx="1024">
                  <c:v>45777</c:v>
                </c:pt>
                <c:pt idx="1025">
                  <c:v>45778</c:v>
                </c:pt>
                <c:pt idx="1026">
                  <c:v>45779</c:v>
                </c:pt>
                <c:pt idx="1027">
                  <c:v>45782</c:v>
                </c:pt>
                <c:pt idx="1028">
                  <c:v>45783</c:v>
                </c:pt>
                <c:pt idx="1029">
                  <c:v>45784</c:v>
                </c:pt>
                <c:pt idx="1030">
                  <c:v>45785</c:v>
                </c:pt>
                <c:pt idx="1031">
                  <c:v>45786</c:v>
                </c:pt>
                <c:pt idx="1032">
                  <c:v>45789</c:v>
                </c:pt>
                <c:pt idx="1033">
                  <c:v>45790</c:v>
                </c:pt>
                <c:pt idx="1034">
                  <c:v>45791</c:v>
                </c:pt>
                <c:pt idx="1035">
                  <c:v>45792</c:v>
                </c:pt>
                <c:pt idx="1036">
                  <c:v>45793</c:v>
                </c:pt>
                <c:pt idx="1037">
                  <c:v>45796</c:v>
                </c:pt>
                <c:pt idx="1038">
                  <c:v>45797</c:v>
                </c:pt>
                <c:pt idx="1039">
                  <c:v>45798</c:v>
                </c:pt>
                <c:pt idx="1040">
                  <c:v>45799</c:v>
                </c:pt>
                <c:pt idx="1041">
                  <c:v>45800</c:v>
                </c:pt>
                <c:pt idx="1042">
                  <c:v>45804</c:v>
                </c:pt>
                <c:pt idx="1043">
                  <c:v>45805</c:v>
                </c:pt>
                <c:pt idx="1044">
                  <c:v>45806</c:v>
                </c:pt>
                <c:pt idx="1045">
                  <c:v>45807</c:v>
                </c:pt>
                <c:pt idx="1046">
                  <c:v>45810</c:v>
                </c:pt>
                <c:pt idx="1047">
                  <c:v>45811</c:v>
                </c:pt>
                <c:pt idx="1048">
                  <c:v>45812</c:v>
                </c:pt>
                <c:pt idx="1049">
                  <c:v>45813</c:v>
                </c:pt>
                <c:pt idx="1050">
                  <c:v>45814</c:v>
                </c:pt>
                <c:pt idx="1051">
                  <c:v>45817</c:v>
                </c:pt>
                <c:pt idx="1052">
                  <c:v>45818</c:v>
                </c:pt>
                <c:pt idx="1053">
                  <c:v>45819</c:v>
                </c:pt>
                <c:pt idx="1054">
                  <c:v>45820</c:v>
                </c:pt>
                <c:pt idx="1055">
                  <c:v>45821</c:v>
                </c:pt>
                <c:pt idx="1056">
                  <c:v>45824</c:v>
                </c:pt>
                <c:pt idx="1057">
                  <c:v>45825</c:v>
                </c:pt>
                <c:pt idx="1058">
                  <c:v>45826</c:v>
                </c:pt>
                <c:pt idx="1059">
                  <c:v>45828</c:v>
                </c:pt>
                <c:pt idx="1060">
                  <c:v>45831</c:v>
                </c:pt>
                <c:pt idx="1061">
                  <c:v>45832</c:v>
                </c:pt>
                <c:pt idx="1062">
                  <c:v>45833</c:v>
                </c:pt>
                <c:pt idx="1063">
                  <c:v>45834</c:v>
                </c:pt>
                <c:pt idx="1064">
                  <c:v>45835</c:v>
                </c:pt>
                <c:pt idx="1065">
                  <c:v>45838</c:v>
                </c:pt>
                <c:pt idx="1066">
                  <c:v>45839</c:v>
                </c:pt>
                <c:pt idx="1067">
                  <c:v>45840</c:v>
                </c:pt>
                <c:pt idx="1068">
                  <c:v>45841</c:v>
                </c:pt>
                <c:pt idx="1069">
                  <c:v>45845</c:v>
                </c:pt>
                <c:pt idx="1070">
                  <c:v>45846</c:v>
                </c:pt>
                <c:pt idx="1071">
                  <c:v>45847</c:v>
                </c:pt>
                <c:pt idx="1072">
                  <c:v>45848</c:v>
                </c:pt>
                <c:pt idx="1073">
                  <c:v>45849</c:v>
                </c:pt>
                <c:pt idx="1074">
                  <c:v>45852</c:v>
                </c:pt>
                <c:pt idx="1075">
                  <c:v>45853</c:v>
                </c:pt>
                <c:pt idx="1076">
                  <c:v>45854</c:v>
                </c:pt>
                <c:pt idx="1077">
                  <c:v>45855</c:v>
                </c:pt>
                <c:pt idx="1078">
                  <c:v>45856</c:v>
                </c:pt>
                <c:pt idx="1079">
                  <c:v>45859</c:v>
                </c:pt>
                <c:pt idx="1080">
                  <c:v>45860</c:v>
                </c:pt>
                <c:pt idx="1081">
                  <c:v>45861</c:v>
                </c:pt>
                <c:pt idx="1082">
                  <c:v>45862</c:v>
                </c:pt>
                <c:pt idx="1083">
                  <c:v>45863</c:v>
                </c:pt>
                <c:pt idx="1084">
                  <c:v>45866</c:v>
                </c:pt>
                <c:pt idx="1085">
                  <c:v>45867</c:v>
                </c:pt>
                <c:pt idx="1086">
                  <c:v>45868</c:v>
                </c:pt>
                <c:pt idx="1087">
                  <c:v>45869</c:v>
                </c:pt>
                <c:pt idx="1088">
                  <c:v>45870</c:v>
                </c:pt>
                <c:pt idx="1089">
                  <c:v>45873</c:v>
                </c:pt>
                <c:pt idx="1090">
                  <c:v>45874</c:v>
                </c:pt>
                <c:pt idx="1091">
                  <c:v>45875</c:v>
                </c:pt>
                <c:pt idx="1092">
                  <c:v>45876</c:v>
                </c:pt>
                <c:pt idx="1093">
                  <c:v>45877</c:v>
                </c:pt>
                <c:pt idx="1094">
                  <c:v>45880</c:v>
                </c:pt>
                <c:pt idx="1095">
                  <c:v>45881</c:v>
                </c:pt>
                <c:pt idx="1096">
                  <c:v>45882</c:v>
                </c:pt>
                <c:pt idx="1097">
                  <c:v>45883</c:v>
                </c:pt>
                <c:pt idx="1098">
                  <c:v>45884</c:v>
                </c:pt>
                <c:pt idx="1099">
                  <c:v>45887</c:v>
                </c:pt>
                <c:pt idx="1100">
                  <c:v>45888</c:v>
                </c:pt>
                <c:pt idx="1101">
                  <c:v>45889</c:v>
                </c:pt>
                <c:pt idx="1102">
                  <c:v>45890</c:v>
                </c:pt>
                <c:pt idx="1103">
                  <c:v>45891</c:v>
                </c:pt>
                <c:pt idx="1104">
                  <c:v>45894</c:v>
                </c:pt>
                <c:pt idx="1105">
                  <c:v>45895</c:v>
                </c:pt>
                <c:pt idx="1106">
                  <c:v>45896</c:v>
                </c:pt>
                <c:pt idx="1107">
                  <c:v>45897</c:v>
                </c:pt>
                <c:pt idx="1108">
                  <c:v>45898</c:v>
                </c:pt>
                <c:pt idx="1109">
                  <c:v>45902</c:v>
                </c:pt>
                <c:pt idx="1110">
                  <c:v>45903</c:v>
                </c:pt>
                <c:pt idx="1111">
                  <c:v>45904</c:v>
                </c:pt>
                <c:pt idx="1112">
                  <c:v>45905</c:v>
                </c:pt>
                <c:pt idx="1113">
                  <c:v>45908</c:v>
                </c:pt>
                <c:pt idx="1114">
                  <c:v>45909</c:v>
                </c:pt>
                <c:pt idx="1115">
                  <c:v>45910</c:v>
                </c:pt>
                <c:pt idx="1116">
                  <c:v>45911</c:v>
                </c:pt>
                <c:pt idx="1117">
                  <c:v>45912</c:v>
                </c:pt>
                <c:pt idx="1118">
                  <c:v>45915</c:v>
                </c:pt>
                <c:pt idx="1119">
                  <c:v>45916</c:v>
                </c:pt>
                <c:pt idx="1120">
                  <c:v>45917</c:v>
                </c:pt>
                <c:pt idx="1121">
                  <c:v>45918</c:v>
                </c:pt>
                <c:pt idx="1122">
                  <c:v>45919</c:v>
                </c:pt>
                <c:pt idx="1123">
                  <c:v>45922</c:v>
                </c:pt>
                <c:pt idx="1124">
                  <c:v>45923</c:v>
                </c:pt>
                <c:pt idx="1125">
                  <c:v>45924</c:v>
                </c:pt>
                <c:pt idx="1126">
                  <c:v>45925</c:v>
                </c:pt>
                <c:pt idx="1127">
                  <c:v>45926</c:v>
                </c:pt>
                <c:pt idx="1128">
                  <c:v>45929</c:v>
                </c:pt>
                <c:pt idx="1129">
                  <c:v>45930</c:v>
                </c:pt>
                <c:pt idx="1130">
                  <c:v>45931</c:v>
                </c:pt>
                <c:pt idx="1131">
                  <c:v>45932</c:v>
                </c:pt>
                <c:pt idx="1132">
                  <c:v>45933</c:v>
                </c:pt>
                <c:pt idx="1133">
                  <c:v>45936</c:v>
                </c:pt>
                <c:pt idx="1134">
                  <c:v>45937</c:v>
                </c:pt>
                <c:pt idx="1135">
                  <c:v>45938</c:v>
                </c:pt>
                <c:pt idx="1136">
                  <c:v>45939</c:v>
                </c:pt>
                <c:pt idx="1137">
                  <c:v>45940</c:v>
                </c:pt>
                <c:pt idx="1138">
                  <c:v>45943</c:v>
                </c:pt>
                <c:pt idx="1139">
                  <c:v>45944</c:v>
                </c:pt>
                <c:pt idx="1140">
                  <c:v>45945</c:v>
                </c:pt>
                <c:pt idx="1141">
                  <c:v>45946</c:v>
                </c:pt>
                <c:pt idx="1142">
                  <c:v>45947</c:v>
                </c:pt>
                <c:pt idx="1143">
                  <c:v>45950</c:v>
                </c:pt>
                <c:pt idx="1144">
                  <c:v>45951</c:v>
                </c:pt>
                <c:pt idx="1145">
                  <c:v>45952</c:v>
                </c:pt>
                <c:pt idx="1146">
                  <c:v>45953</c:v>
                </c:pt>
                <c:pt idx="1147">
                  <c:v>45954</c:v>
                </c:pt>
                <c:pt idx="1148">
                  <c:v>45957</c:v>
                </c:pt>
                <c:pt idx="1149">
                  <c:v>45958</c:v>
                </c:pt>
                <c:pt idx="1150">
                  <c:v>45959</c:v>
                </c:pt>
                <c:pt idx="1151">
                  <c:v>45960</c:v>
                </c:pt>
                <c:pt idx="1152">
                  <c:v>45961</c:v>
                </c:pt>
                <c:pt idx="1153">
                  <c:v>45964</c:v>
                </c:pt>
                <c:pt idx="1154">
                  <c:v>45965</c:v>
                </c:pt>
                <c:pt idx="1155">
                  <c:v>45966</c:v>
                </c:pt>
                <c:pt idx="1156">
                  <c:v>45967</c:v>
                </c:pt>
                <c:pt idx="1157">
                  <c:v>45968</c:v>
                </c:pt>
                <c:pt idx="1158">
                  <c:v>45971</c:v>
                </c:pt>
                <c:pt idx="1159">
                  <c:v>45972</c:v>
                </c:pt>
                <c:pt idx="1160">
                  <c:v>45973</c:v>
                </c:pt>
                <c:pt idx="1161">
                  <c:v>45974</c:v>
                </c:pt>
                <c:pt idx="1162">
                  <c:v>45975</c:v>
                </c:pt>
                <c:pt idx="1163">
                  <c:v>45978</c:v>
                </c:pt>
                <c:pt idx="1164">
                  <c:v>45979</c:v>
                </c:pt>
                <c:pt idx="1165">
                  <c:v>45980</c:v>
                </c:pt>
                <c:pt idx="1166">
                  <c:v>45981</c:v>
                </c:pt>
                <c:pt idx="1167">
                  <c:v>45982</c:v>
                </c:pt>
                <c:pt idx="1168">
                  <c:v>45985</c:v>
                </c:pt>
                <c:pt idx="1169">
                  <c:v>45986</c:v>
                </c:pt>
                <c:pt idx="1170">
                  <c:v>45987</c:v>
                </c:pt>
                <c:pt idx="1171">
                  <c:v>45989</c:v>
                </c:pt>
                <c:pt idx="1172">
                  <c:v>45992</c:v>
                </c:pt>
                <c:pt idx="1173">
                  <c:v>45993</c:v>
                </c:pt>
                <c:pt idx="1174">
                  <c:v>45994</c:v>
                </c:pt>
                <c:pt idx="1175">
                  <c:v>45995</c:v>
                </c:pt>
                <c:pt idx="1176">
                  <c:v>45996</c:v>
                </c:pt>
                <c:pt idx="1177">
                  <c:v>45999</c:v>
                </c:pt>
                <c:pt idx="1178">
                  <c:v>46000</c:v>
                </c:pt>
                <c:pt idx="1179">
                  <c:v>46001</c:v>
                </c:pt>
                <c:pt idx="1180">
                  <c:v>46002</c:v>
                </c:pt>
                <c:pt idx="1181">
                  <c:v>46003</c:v>
                </c:pt>
                <c:pt idx="1182">
                  <c:v>46006</c:v>
                </c:pt>
                <c:pt idx="1183">
                  <c:v>46007</c:v>
                </c:pt>
                <c:pt idx="1184">
                  <c:v>46008</c:v>
                </c:pt>
                <c:pt idx="1185">
                  <c:v>46009</c:v>
                </c:pt>
                <c:pt idx="1186">
                  <c:v>46010</c:v>
                </c:pt>
                <c:pt idx="1187">
                  <c:v>46013</c:v>
                </c:pt>
                <c:pt idx="1188">
                  <c:v>46014</c:v>
                </c:pt>
                <c:pt idx="1189">
                  <c:v>46015</c:v>
                </c:pt>
                <c:pt idx="1190">
                  <c:v>46017</c:v>
                </c:pt>
                <c:pt idx="1191">
                  <c:v>46020</c:v>
                </c:pt>
                <c:pt idx="1192">
                  <c:v>46021</c:v>
                </c:pt>
                <c:pt idx="1193">
                  <c:v>46022</c:v>
                </c:pt>
                <c:pt idx="1194">
                  <c:v>46024</c:v>
                </c:pt>
                <c:pt idx="1195">
                  <c:v>46027</c:v>
                </c:pt>
                <c:pt idx="1196">
                  <c:v>46028</c:v>
                </c:pt>
                <c:pt idx="1197">
                  <c:v>46029</c:v>
                </c:pt>
                <c:pt idx="1198">
                  <c:v>46030</c:v>
                </c:pt>
                <c:pt idx="1199">
                  <c:v>46031</c:v>
                </c:pt>
                <c:pt idx="1200">
                  <c:v>46034</c:v>
                </c:pt>
                <c:pt idx="1201">
                  <c:v>46035</c:v>
                </c:pt>
                <c:pt idx="1202">
                  <c:v>46036</c:v>
                </c:pt>
                <c:pt idx="1203">
                  <c:v>46037</c:v>
                </c:pt>
                <c:pt idx="1204">
                  <c:v>46038</c:v>
                </c:pt>
                <c:pt idx="1205">
                  <c:v>46042</c:v>
                </c:pt>
                <c:pt idx="1206">
                  <c:v>46043</c:v>
                </c:pt>
                <c:pt idx="1207">
                  <c:v>46044</c:v>
                </c:pt>
                <c:pt idx="1208">
                  <c:v>46045</c:v>
                </c:pt>
                <c:pt idx="1209">
                  <c:v>46048</c:v>
                </c:pt>
                <c:pt idx="1210">
                  <c:v>46049</c:v>
                </c:pt>
                <c:pt idx="1211">
                  <c:v>46050</c:v>
                </c:pt>
                <c:pt idx="1212">
                  <c:v>46051</c:v>
                </c:pt>
                <c:pt idx="1213">
                  <c:v>46052</c:v>
                </c:pt>
                <c:pt idx="1214">
                  <c:v>46055</c:v>
                </c:pt>
                <c:pt idx="1215">
                  <c:v>46056</c:v>
                </c:pt>
                <c:pt idx="1216">
                  <c:v>46057</c:v>
                </c:pt>
                <c:pt idx="1217">
                  <c:v>46058</c:v>
                </c:pt>
                <c:pt idx="1218">
                  <c:v>46059</c:v>
                </c:pt>
                <c:pt idx="1219">
                  <c:v>46062</c:v>
                </c:pt>
                <c:pt idx="1220">
                  <c:v>46063</c:v>
                </c:pt>
                <c:pt idx="1221">
                  <c:v>46064</c:v>
                </c:pt>
                <c:pt idx="1222">
                  <c:v>46065</c:v>
                </c:pt>
                <c:pt idx="1223">
                  <c:v>46066</c:v>
                </c:pt>
                <c:pt idx="1224">
                  <c:v>46070</c:v>
                </c:pt>
                <c:pt idx="1225">
                  <c:v>46071</c:v>
                </c:pt>
                <c:pt idx="1226">
                  <c:v>46072</c:v>
                </c:pt>
                <c:pt idx="1227">
                  <c:v>46073</c:v>
                </c:pt>
                <c:pt idx="1228">
                  <c:v>46076</c:v>
                </c:pt>
                <c:pt idx="1229">
                  <c:v>46077</c:v>
                </c:pt>
                <c:pt idx="1230">
                  <c:v>46078</c:v>
                </c:pt>
                <c:pt idx="1231">
                  <c:v>46079</c:v>
                </c:pt>
                <c:pt idx="1232">
                  <c:v>46080</c:v>
                </c:pt>
                <c:pt idx="1233">
                  <c:v>46083</c:v>
                </c:pt>
                <c:pt idx="1234">
                  <c:v>46084</c:v>
                </c:pt>
                <c:pt idx="1235">
                  <c:v>46085</c:v>
                </c:pt>
                <c:pt idx="1236">
                  <c:v>46086</c:v>
                </c:pt>
                <c:pt idx="1237">
                  <c:v>46087</c:v>
                </c:pt>
                <c:pt idx="1238">
                  <c:v>46090</c:v>
                </c:pt>
                <c:pt idx="1239">
                  <c:v>46091</c:v>
                </c:pt>
                <c:pt idx="1240">
                  <c:v>46092</c:v>
                </c:pt>
                <c:pt idx="1241">
                  <c:v>46093</c:v>
                </c:pt>
                <c:pt idx="1242">
                  <c:v>46094</c:v>
                </c:pt>
                <c:pt idx="1243">
                  <c:v>46097</c:v>
                </c:pt>
                <c:pt idx="1244">
                  <c:v>46098</c:v>
                </c:pt>
                <c:pt idx="1245">
                  <c:v>46099</c:v>
                </c:pt>
                <c:pt idx="1246">
                  <c:v>46100</c:v>
                </c:pt>
                <c:pt idx="1247">
                  <c:v>46101</c:v>
                </c:pt>
                <c:pt idx="1248">
                  <c:v>46104</c:v>
                </c:pt>
                <c:pt idx="1249">
                  <c:v>46105</c:v>
                </c:pt>
                <c:pt idx="1250">
                  <c:v>46106</c:v>
                </c:pt>
                <c:pt idx="1251">
                  <c:v>46107</c:v>
                </c:pt>
                <c:pt idx="1252">
                  <c:v>46108</c:v>
                </c:pt>
                <c:pt idx="1253">
                  <c:v>46111</c:v>
                </c:pt>
              </c:numCache>
            </c:numRef>
          </c:cat>
          <c:val>
            <c:numRef>
              <c:f>'Share Price'!$D$3:$D$1256</c:f>
              <c:numCache>
                <c:formatCode>General</c:formatCode>
                <c:ptCount val="1254"/>
                <c:pt idx="0">
                  <c:v>4.2130999999999998</c:v>
                </c:pt>
                <c:pt idx="1">
                  <c:v>3.9190999999999998</c:v>
                </c:pt>
                <c:pt idx="2">
                  <c:v>4.4286000000000003</c:v>
                </c:pt>
                <c:pt idx="3">
                  <c:v>4.6436000000000002</c:v>
                </c:pt>
                <c:pt idx="4">
                  <c:v>3.8622999999999998</c:v>
                </c:pt>
                <c:pt idx="5">
                  <c:v>5.2141999999999999</c:v>
                </c:pt>
                <c:pt idx="6">
                  <c:v>8.0592000000000006</c:v>
                </c:pt>
                <c:pt idx="7">
                  <c:v>11.356299999999999</c:v>
                </c:pt>
                <c:pt idx="8">
                  <c:v>16.177499999999998</c:v>
                </c:pt>
                <c:pt idx="9">
                  <c:v>13.117599999999999</c:v>
                </c:pt>
                <c:pt idx="10">
                  <c:v>15.0055</c:v>
                </c:pt>
                <c:pt idx="11">
                  <c:v>5.4695</c:v>
                </c:pt>
                <c:pt idx="12">
                  <c:v>6.9851999999999999</c:v>
                </c:pt>
                <c:pt idx="13">
                  <c:v>7.2251000000000003</c:v>
                </c:pt>
                <c:pt idx="14">
                  <c:v>9.3737999999999992</c:v>
                </c:pt>
                <c:pt idx="15">
                  <c:v>4.6177999999999999</c:v>
                </c:pt>
                <c:pt idx="16">
                  <c:v>5.3131000000000004</c:v>
                </c:pt>
                <c:pt idx="17">
                  <c:v>5.0422000000000002</c:v>
                </c:pt>
                <c:pt idx="18">
                  <c:v>5.157</c:v>
                </c:pt>
                <c:pt idx="19">
                  <c:v>6.5453999999999999</c:v>
                </c:pt>
                <c:pt idx="20">
                  <c:v>7.0735000000000001</c:v>
                </c:pt>
                <c:pt idx="21">
                  <c:v>3.8005</c:v>
                </c:pt>
                <c:pt idx="22">
                  <c:v>4.0876999999999999</c:v>
                </c:pt>
                <c:pt idx="23">
                  <c:v>3.7624</c:v>
                </c:pt>
                <c:pt idx="24">
                  <c:v>10.426600000000001</c:v>
                </c:pt>
                <c:pt idx="25">
                  <c:v>5.2207999999999997</c:v>
                </c:pt>
                <c:pt idx="26">
                  <c:v>9.1795000000000009</c:v>
                </c:pt>
                <c:pt idx="27">
                  <c:v>3.7294</c:v>
                </c:pt>
                <c:pt idx="28">
                  <c:v>5.6706000000000003</c:v>
                </c:pt>
                <c:pt idx="29">
                  <c:v>6.2648999999999999</c:v>
                </c:pt>
                <c:pt idx="30">
                  <c:v>3.2932000000000001</c:v>
                </c:pt>
                <c:pt idx="31">
                  <c:v>2.7345000000000002</c:v>
                </c:pt>
                <c:pt idx="32">
                  <c:v>5.3029999999999999</c:v>
                </c:pt>
                <c:pt idx="33">
                  <c:v>4.3227000000000002</c:v>
                </c:pt>
                <c:pt idx="34">
                  <c:v>7.0195999999999996</c:v>
                </c:pt>
                <c:pt idx="35">
                  <c:v>6.4482999999999997</c:v>
                </c:pt>
                <c:pt idx="36">
                  <c:v>3.8403999999999998</c:v>
                </c:pt>
                <c:pt idx="37">
                  <c:v>7.1719999999999997</c:v>
                </c:pt>
                <c:pt idx="38">
                  <c:v>3.7534999999999998</c:v>
                </c:pt>
                <c:pt idx="39">
                  <c:v>2.9319000000000002</c:v>
                </c:pt>
                <c:pt idx="40">
                  <c:v>2.1514000000000002</c:v>
                </c:pt>
                <c:pt idx="41">
                  <c:v>9.1073000000000004</c:v>
                </c:pt>
                <c:pt idx="42">
                  <c:v>6.8864000000000001</c:v>
                </c:pt>
                <c:pt idx="43">
                  <c:v>5.8273999999999999</c:v>
                </c:pt>
                <c:pt idx="44">
                  <c:v>6.484</c:v>
                </c:pt>
                <c:pt idx="45">
                  <c:v>10.7651</c:v>
                </c:pt>
                <c:pt idx="46">
                  <c:v>7.9169</c:v>
                </c:pt>
                <c:pt idx="47">
                  <c:v>4.9728000000000003</c:v>
                </c:pt>
                <c:pt idx="48">
                  <c:v>6.7164000000000001</c:v>
                </c:pt>
                <c:pt idx="49">
                  <c:v>14.076000000000001</c:v>
                </c:pt>
                <c:pt idx="50">
                  <c:v>10.214</c:v>
                </c:pt>
                <c:pt idx="51">
                  <c:v>7.4774000000000003</c:v>
                </c:pt>
                <c:pt idx="52">
                  <c:v>5.7975000000000003</c:v>
                </c:pt>
                <c:pt idx="53">
                  <c:v>8.5685000000000002</c:v>
                </c:pt>
                <c:pt idx="54">
                  <c:v>11.423400000000001</c:v>
                </c:pt>
                <c:pt idx="55">
                  <c:v>4.0076000000000001</c:v>
                </c:pt>
                <c:pt idx="56">
                  <c:v>5.5960999999999999</c:v>
                </c:pt>
                <c:pt idx="57">
                  <c:v>5.7100999999999997</c:v>
                </c:pt>
                <c:pt idx="58">
                  <c:v>5.9370000000000003</c:v>
                </c:pt>
                <c:pt idx="59">
                  <c:v>5.2492000000000001</c:v>
                </c:pt>
                <c:pt idx="60">
                  <c:v>4.6689999999999996</c:v>
                </c:pt>
                <c:pt idx="61">
                  <c:v>4.7485999999999997</c:v>
                </c:pt>
                <c:pt idx="62">
                  <c:v>6.4935</c:v>
                </c:pt>
                <c:pt idx="63">
                  <c:v>4.6706000000000003</c:v>
                </c:pt>
                <c:pt idx="64">
                  <c:v>4.9085999999999999</c:v>
                </c:pt>
                <c:pt idx="65">
                  <c:v>5.7286000000000001</c:v>
                </c:pt>
                <c:pt idx="66">
                  <c:v>4.2561999999999998</c:v>
                </c:pt>
                <c:pt idx="67">
                  <c:v>5.4394</c:v>
                </c:pt>
                <c:pt idx="68">
                  <c:v>4.8083999999999998</c:v>
                </c:pt>
                <c:pt idx="69">
                  <c:v>5.2470999999999997</c:v>
                </c:pt>
                <c:pt idx="70">
                  <c:v>8.8725000000000005</c:v>
                </c:pt>
                <c:pt idx="71">
                  <c:v>6.8372000000000002</c:v>
                </c:pt>
                <c:pt idx="72">
                  <c:v>5.0269000000000004</c:v>
                </c:pt>
                <c:pt idx="73">
                  <c:v>10.6532</c:v>
                </c:pt>
                <c:pt idx="74">
                  <c:v>6.2127999999999997</c:v>
                </c:pt>
                <c:pt idx="75">
                  <c:v>3.7277</c:v>
                </c:pt>
                <c:pt idx="76">
                  <c:v>4.0235000000000003</c:v>
                </c:pt>
                <c:pt idx="77">
                  <c:v>4.1067999999999998</c:v>
                </c:pt>
                <c:pt idx="78">
                  <c:v>4.8148</c:v>
                </c:pt>
                <c:pt idx="79">
                  <c:v>4.8784000000000001</c:v>
                </c:pt>
                <c:pt idx="80">
                  <c:v>9.2266999999999992</c:v>
                </c:pt>
                <c:pt idx="81">
                  <c:v>3.5933999999999999</c:v>
                </c:pt>
                <c:pt idx="82">
                  <c:v>5.9478</c:v>
                </c:pt>
                <c:pt idx="83">
                  <c:v>4.4640000000000004</c:v>
                </c:pt>
                <c:pt idx="84">
                  <c:v>5.5381999999999998</c:v>
                </c:pt>
                <c:pt idx="85">
                  <c:v>6.6078000000000001</c:v>
                </c:pt>
                <c:pt idx="86">
                  <c:v>5.6650999999999998</c:v>
                </c:pt>
                <c:pt idx="87">
                  <c:v>5.2531999999999996</c:v>
                </c:pt>
                <c:pt idx="88">
                  <c:v>4.0670000000000002</c:v>
                </c:pt>
                <c:pt idx="89">
                  <c:v>4.9177999999999997</c:v>
                </c:pt>
                <c:pt idx="90">
                  <c:v>4.7941000000000003</c:v>
                </c:pt>
                <c:pt idx="91">
                  <c:v>2.8298000000000001</c:v>
                </c:pt>
                <c:pt idx="92">
                  <c:v>4.1478999999999999</c:v>
                </c:pt>
                <c:pt idx="93">
                  <c:v>3.6865000000000001</c:v>
                </c:pt>
                <c:pt idx="94">
                  <c:v>3.6354000000000002</c:v>
                </c:pt>
                <c:pt idx="95">
                  <c:v>4.8247</c:v>
                </c:pt>
                <c:pt idx="96">
                  <c:v>5.9356999999999998</c:v>
                </c:pt>
                <c:pt idx="97">
                  <c:v>4.9114000000000004</c:v>
                </c:pt>
                <c:pt idx="98">
                  <c:v>3.3727999999999998</c:v>
                </c:pt>
                <c:pt idx="99">
                  <c:v>4.5279999999999996</c:v>
                </c:pt>
                <c:pt idx="100">
                  <c:v>6.4272</c:v>
                </c:pt>
                <c:pt idx="101">
                  <c:v>4.1227999999999998</c:v>
                </c:pt>
                <c:pt idx="102">
                  <c:v>4.1426999999999996</c:v>
                </c:pt>
                <c:pt idx="103">
                  <c:v>4.6161000000000003</c:v>
                </c:pt>
                <c:pt idx="104">
                  <c:v>3.4119999999999999</c:v>
                </c:pt>
                <c:pt idx="105">
                  <c:v>5.4394</c:v>
                </c:pt>
                <c:pt idx="106">
                  <c:v>9.3688000000000002</c:v>
                </c:pt>
                <c:pt idx="107">
                  <c:v>6.1952999999999996</c:v>
                </c:pt>
                <c:pt idx="108">
                  <c:v>3.7812000000000001</c:v>
                </c:pt>
                <c:pt idx="109">
                  <c:v>8.4247999999999994</c:v>
                </c:pt>
                <c:pt idx="110">
                  <c:v>4.3517000000000001</c:v>
                </c:pt>
                <c:pt idx="111">
                  <c:v>8.2978000000000005</c:v>
                </c:pt>
                <c:pt idx="112">
                  <c:v>4.2012999999999998</c:v>
                </c:pt>
                <c:pt idx="113">
                  <c:v>5.8727999999999998</c:v>
                </c:pt>
                <c:pt idx="114">
                  <c:v>3.9702999999999999</c:v>
                </c:pt>
                <c:pt idx="115">
                  <c:v>4.8354999999999997</c:v>
                </c:pt>
                <c:pt idx="116">
                  <c:v>6.5540000000000003</c:v>
                </c:pt>
                <c:pt idx="117">
                  <c:v>8.0703999999999994</c:v>
                </c:pt>
                <c:pt idx="118">
                  <c:v>7.1487999999999996</c:v>
                </c:pt>
                <c:pt idx="119">
                  <c:v>4.7850000000000001</c:v>
                </c:pt>
                <c:pt idx="120">
                  <c:v>6.6138000000000003</c:v>
                </c:pt>
                <c:pt idx="121">
                  <c:v>5.3238000000000003</c:v>
                </c:pt>
                <c:pt idx="122">
                  <c:v>5.4551999999999996</c:v>
                </c:pt>
                <c:pt idx="123">
                  <c:v>7.4588000000000001</c:v>
                </c:pt>
                <c:pt idx="124">
                  <c:v>8.5226000000000006</c:v>
                </c:pt>
                <c:pt idx="125">
                  <c:v>9.6523000000000003</c:v>
                </c:pt>
                <c:pt idx="126">
                  <c:v>7.3379000000000003</c:v>
                </c:pt>
                <c:pt idx="127">
                  <c:v>7.1951999999999998</c:v>
                </c:pt>
                <c:pt idx="128">
                  <c:v>8.6544000000000008</c:v>
                </c:pt>
                <c:pt idx="129">
                  <c:v>9.4989000000000008</c:v>
                </c:pt>
                <c:pt idx="130">
                  <c:v>7.1345999999999998</c:v>
                </c:pt>
                <c:pt idx="131">
                  <c:v>9.5898000000000003</c:v>
                </c:pt>
                <c:pt idx="132">
                  <c:v>15.7399</c:v>
                </c:pt>
                <c:pt idx="133">
                  <c:v>11.872400000000001</c:v>
                </c:pt>
                <c:pt idx="134">
                  <c:v>14.046799999999999</c:v>
                </c:pt>
                <c:pt idx="135">
                  <c:v>13.0991</c:v>
                </c:pt>
                <c:pt idx="136">
                  <c:v>11.3439</c:v>
                </c:pt>
                <c:pt idx="137">
                  <c:v>22.2956</c:v>
                </c:pt>
                <c:pt idx="138">
                  <c:v>12.6183</c:v>
                </c:pt>
                <c:pt idx="139">
                  <c:v>7.7599</c:v>
                </c:pt>
                <c:pt idx="140">
                  <c:v>8.4345999999999997</c:v>
                </c:pt>
                <c:pt idx="141">
                  <c:v>6.2446000000000002</c:v>
                </c:pt>
                <c:pt idx="142">
                  <c:v>7.6967999999999996</c:v>
                </c:pt>
                <c:pt idx="143">
                  <c:v>10.86</c:v>
                </c:pt>
                <c:pt idx="144">
                  <c:v>5.8445999999999998</c:v>
                </c:pt>
                <c:pt idx="145">
                  <c:v>17.484500000000001</c:v>
                </c:pt>
                <c:pt idx="146">
                  <c:v>6.915</c:v>
                </c:pt>
                <c:pt idx="147">
                  <c:v>5.6881000000000004</c:v>
                </c:pt>
                <c:pt idx="148">
                  <c:v>4.7664999999999997</c:v>
                </c:pt>
                <c:pt idx="149">
                  <c:v>3.7863000000000002</c:v>
                </c:pt>
                <c:pt idx="150">
                  <c:v>7.0891999999999999</c:v>
                </c:pt>
                <c:pt idx="151">
                  <c:v>4.0776000000000003</c:v>
                </c:pt>
                <c:pt idx="152">
                  <c:v>4.7230999999999996</c:v>
                </c:pt>
                <c:pt idx="153">
                  <c:v>6.8487999999999998</c:v>
                </c:pt>
                <c:pt idx="154">
                  <c:v>5.5320999999999998</c:v>
                </c:pt>
                <c:pt idx="155">
                  <c:v>6.0602</c:v>
                </c:pt>
                <c:pt idx="156">
                  <c:v>3.6394000000000002</c:v>
                </c:pt>
                <c:pt idx="157">
                  <c:v>5.3047000000000004</c:v>
                </c:pt>
                <c:pt idx="158">
                  <c:v>3.6671</c:v>
                </c:pt>
                <c:pt idx="159">
                  <c:v>8.3890999999999991</c:v>
                </c:pt>
                <c:pt idx="160">
                  <c:v>5.1779000000000002</c:v>
                </c:pt>
                <c:pt idx="161">
                  <c:v>6.4535</c:v>
                </c:pt>
                <c:pt idx="162">
                  <c:v>3.0840000000000001</c:v>
                </c:pt>
                <c:pt idx="163">
                  <c:v>12.581200000000001</c:v>
                </c:pt>
                <c:pt idx="164">
                  <c:v>8.4962</c:v>
                </c:pt>
                <c:pt idx="165">
                  <c:v>3.9921000000000002</c:v>
                </c:pt>
                <c:pt idx="166">
                  <c:v>3.5276000000000001</c:v>
                </c:pt>
                <c:pt idx="167">
                  <c:v>9.9429999999999996</c:v>
                </c:pt>
                <c:pt idx="168">
                  <c:v>8.7446999999999999</c:v>
                </c:pt>
                <c:pt idx="169">
                  <c:v>6.6961000000000004</c:v>
                </c:pt>
                <c:pt idx="170">
                  <c:v>9.3375000000000004</c:v>
                </c:pt>
                <c:pt idx="171">
                  <c:v>6.7549000000000001</c:v>
                </c:pt>
                <c:pt idx="172">
                  <c:v>6.8571999999999997</c:v>
                </c:pt>
                <c:pt idx="173">
                  <c:v>8.3972999999999995</c:v>
                </c:pt>
                <c:pt idx="174">
                  <c:v>5.1936999999999998</c:v>
                </c:pt>
                <c:pt idx="175">
                  <c:v>4.4808000000000003</c:v>
                </c:pt>
                <c:pt idx="176">
                  <c:v>4.0012999999999996</c:v>
                </c:pt>
                <c:pt idx="177">
                  <c:v>4.5515999999999996</c:v>
                </c:pt>
                <c:pt idx="178">
                  <c:v>5.2531999999999996</c:v>
                </c:pt>
                <c:pt idx="179">
                  <c:v>6.8361999999999998</c:v>
                </c:pt>
                <c:pt idx="180">
                  <c:v>11.307499999999999</c:v>
                </c:pt>
                <c:pt idx="181">
                  <c:v>6.5170000000000003</c:v>
                </c:pt>
                <c:pt idx="182">
                  <c:v>4.0309999999999997</c:v>
                </c:pt>
                <c:pt idx="183">
                  <c:v>3.7503000000000002</c:v>
                </c:pt>
                <c:pt idx="184">
                  <c:v>6.9687999999999999</c:v>
                </c:pt>
                <c:pt idx="185">
                  <c:v>2.4885999999999999</c:v>
                </c:pt>
                <c:pt idx="186">
                  <c:v>3.5272000000000001</c:v>
                </c:pt>
                <c:pt idx="187">
                  <c:v>3.4058000000000002</c:v>
                </c:pt>
                <c:pt idx="188">
                  <c:v>2.3304</c:v>
                </c:pt>
                <c:pt idx="189">
                  <c:v>2.2938999999999998</c:v>
                </c:pt>
                <c:pt idx="190">
                  <c:v>3.0097</c:v>
                </c:pt>
                <c:pt idx="191">
                  <c:v>4.5266999999999999</c:v>
                </c:pt>
                <c:pt idx="192">
                  <c:v>8.1808999999999994</c:v>
                </c:pt>
                <c:pt idx="193">
                  <c:v>8.8813999999999993</c:v>
                </c:pt>
                <c:pt idx="194">
                  <c:v>11.523300000000001</c:v>
                </c:pt>
                <c:pt idx="195">
                  <c:v>6.5964999999999998</c:v>
                </c:pt>
                <c:pt idx="196">
                  <c:v>10.032</c:v>
                </c:pt>
                <c:pt idx="197">
                  <c:v>9.8839000000000006</c:v>
                </c:pt>
                <c:pt idx="198">
                  <c:v>15.578799999999999</c:v>
                </c:pt>
                <c:pt idx="199">
                  <c:v>20.147500000000001</c:v>
                </c:pt>
                <c:pt idx="200">
                  <c:v>11.294700000000001</c:v>
                </c:pt>
                <c:pt idx="201">
                  <c:v>6.915</c:v>
                </c:pt>
                <c:pt idx="202">
                  <c:v>13.7561</c:v>
                </c:pt>
                <c:pt idx="203">
                  <c:v>19.4175</c:v>
                </c:pt>
                <c:pt idx="204">
                  <c:v>13.813599999999999</c:v>
                </c:pt>
                <c:pt idx="205">
                  <c:v>18.128</c:v>
                </c:pt>
                <c:pt idx="206">
                  <c:v>9.5881000000000007</c:v>
                </c:pt>
                <c:pt idx="207">
                  <c:v>11.662800000000001</c:v>
                </c:pt>
                <c:pt idx="208">
                  <c:v>17.0869</c:v>
                </c:pt>
                <c:pt idx="209">
                  <c:v>15.420199999999999</c:v>
                </c:pt>
                <c:pt idx="210">
                  <c:v>5.6867999999999999</c:v>
                </c:pt>
                <c:pt idx="211">
                  <c:v>10.309699999999999</c:v>
                </c:pt>
                <c:pt idx="212">
                  <c:v>9.0334000000000003</c:v>
                </c:pt>
                <c:pt idx="213">
                  <c:v>12.135</c:v>
                </c:pt>
                <c:pt idx="214">
                  <c:v>18.2531</c:v>
                </c:pt>
                <c:pt idx="215">
                  <c:v>15.889900000000001</c:v>
                </c:pt>
                <c:pt idx="216">
                  <c:v>21.190899999999999</c:v>
                </c:pt>
                <c:pt idx="217">
                  <c:v>7.4728000000000003</c:v>
                </c:pt>
                <c:pt idx="218">
                  <c:v>10.6008</c:v>
                </c:pt>
                <c:pt idx="219">
                  <c:v>7.7614999999999998</c:v>
                </c:pt>
                <c:pt idx="220">
                  <c:v>6.5029000000000003</c:v>
                </c:pt>
                <c:pt idx="221">
                  <c:v>9.9762000000000004</c:v>
                </c:pt>
                <c:pt idx="222">
                  <c:v>6.6050000000000004</c:v>
                </c:pt>
                <c:pt idx="223">
                  <c:v>8.4702000000000002</c:v>
                </c:pt>
                <c:pt idx="224">
                  <c:v>8.9327000000000005</c:v>
                </c:pt>
                <c:pt idx="225">
                  <c:v>17.2683</c:v>
                </c:pt>
                <c:pt idx="226">
                  <c:v>8.42</c:v>
                </c:pt>
                <c:pt idx="227">
                  <c:v>21.155100000000001</c:v>
                </c:pt>
                <c:pt idx="228">
                  <c:v>8.2692999999999994</c:v>
                </c:pt>
                <c:pt idx="229">
                  <c:v>6.9657</c:v>
                </c:pt>
                <c:pt idx="230">
                  <c:v>6.9302999999999999</c:v>
                </c:pt>
                <c:pt idx="231">
                  <c:v>8.7494999999999994</c:v>
                </c:pt>
                <c:pt idx="232">
                  <c:v>7.0236000000000001</c:v>
                </c:pt>
                <c:pt idx="233">
                  <c:v>13.4245</c:v>
                </c:pt>
                <c:pt idx="234">
                  <c:v>14.1951</c:v>
                </c:pt>
                <c:pt idx="235">
                  <c:v>20.4268</c:v>
                </c:pt>
                <c:pt idx="236">
                  <c:v>10.5992</c:v>
                </c:pt>
                <c:pt idx="237">
                  <c:v>7.7889999999999997</c:v>
                </c:pt>
                <c:pt idx="238">
                  <c:v>7.8928000000000003</c:v>
                </c:pt>
                <c:pt idx="239">
                  <c:v>13.9453</c:v>
                </c:pt>
                <c:pt idx="240">
                  <c:v>9.1861999999999995</c:v>
                </c:pt>
                <c:pt idx="241">
                  <c:v>12.327299999999999</c:v>
                </c:pt>
                <c:pt idx="242">
                  <c:v>14.8149</c:v>
                </c:pt>
                <c:pt idx="243">
                  <c:v>29.035599999999999</c:v>
                </c:pt>
                <c:pt idx="244">
                  <c:v>8.2007999999999992</c:v>
                </c:pt>
                <c:pt idx="245">
                  <c:v>5.3673000000000002</c:v>
                </c:pt>
                <c:pt idx="246">
                  <c:v>9.0222999999999995</c:v>
                </c:pt>
                <c:pt idx="247">
                  <c:v>3.5943999999999998</c:v>
                </c:pt>
                <c:pt idx="248">
                  <c:v>3.3654000000000002</c:v>
                </c:pt>
                <c:pt idx="249">
                  <c:v>2.8344</c:v>
                </c:pt>
                <c:pt idx="250">
                  <c:v>3.8172000000000001</c:v>
                </c:pt>
                <c:pt idx="251">
                  <c:v>6.9455</c:v>
                </c:pt>
                <c:pt idx="252">
                  <c:v>7.8494999999999999</c:v>
                </c:pt>
                <c:pt idx="253">
                  <c:v>14.712</c:v>
                </c:pt>
                <c:pt idx="254">
                  <c:v>12.357900000000001</c:v>
                </c:pt>
                <c:pt idx="255">
                  <c:v>6.2930000000000001</c:v>
                </c:pt>
                <c:pt idx="256">
                  <c:v>12.373699999999999</c:v>
                </c:pt>
                <c:pt idx="257">
                  <c:v>8.3374000000000006</c:v>
                </c:pt>
                <c:pt idx="258">
                  <c:v>5.5834000000000001</c:v>
                </c:pt>
                <c:pt idx="259">
                  <c:v>6.6414999999999997</c:v>
                </c:pt>
                <c:pt idx="260">
                  <c:v>11.6426</c:v>
                </c:pt>
                <c:pt idx="261">
                  <c:v>20.145499999999998</c:v>
                </c:pt>
                <c:pt idx="262">
                  <c:v>17.1998</c:v>
                </c:pt>
                <c:pt idx="263">
                  <c:v>11.9983</c:v>
                </c:pt>
                <c:pt idx="264">
                  <c:v>16.645299999999999</c:v>
                </c:pt>
                <c:pt idx="265">
                  <c:v>10.019600000000001</c:v>
                </c:pt>
                <c:pt idx="266">
                  <c:v>21.840599999999998</c:v>
                </c:pt>
                <c:pt idx="267">
                  <c:v>11.9834</c:v>
                </c:pt>
                <c:pt idx="268">
                  <c:v>8.7783999999999995</c:v>
                </c:pt>
                <c:pt idx="269">
                  <c:v>13.027100000000001</c:v>
                </c:pt>
                <c:pt idx="270">
                  <c:v>9.7540999999999993</c:v>
                </c:pt>
                <c:pt idx="271">
                  <c:v>24.229099999999999</c:v>
                </c:pt>
                <c:pt idx="272">
                  <c:v>12.325100000000001</c:v>
                </c:pt>
                <c:pt idx="273">
                  <c:v>15.0739</c:v>
                </c:pt>
                <c:pt idx="274">
                  <c:v>7.7168000000000001</c:v>
                </c:pt>
                <c:pt idx="275">
                  <c:v>7.5194000000000001</c:v>
                </c:pt>
                <c:pt idx="276">
                  <c:v>9.5770999999999997</c:v>
                </c:pt>
                <c:pt idx="277">
                  <c:v>6.6153000000000004</c:v>
                </c:pt>
                <c:pt idx="278">
                  <c:v>14.5382</c:v>
                </c:pt>
                <c:pt idx="279">
                  <c:v>18.342600000000001</c:v>
                </c:pt>
                <c:pt idx="280">
                  <c:v>8.5031999999999996</c:v>
                </c:pt>
                <c:pt idx="281">
                  <c:v>13.434100000000001</c:v>
                </c:pt>
                <c:pt idx="282">
                  <c:v>14.0335</c:v>
                </c:pt>
                <c:pt idx="283">
                  <c:v>11.057600000000001</c:v>
                </c:pt>
                <c:pt idx="284">
                  <c:v>7.1845999999999997</c:v>
                </c:pt>
                <c:pt idx="285">
                  <c:v>10.672000000000001</c:v>
                </c:pt>
                <c:pt idx="286">
                  <c:v>9.3927999999999994</c:v>
                </c:pt>
                <c:pt idx="287">
                  <c:v>6.0190999999999999</c:v>
                </c:pt>
                <c:pt idx="288">
                  <c:v>7.4516</c:v>
                </c:pt>
                <c:pt idx="289">
                  <c:v>9.9047999999999998</c:v>
                </c:pt>
                <c:pt idx="290">
                  <c:v>19.046500000000002</c:v>
                </c:pt>
                <c:pt idx="291">
                  <c:v>9.1168999999999993</c:v>
                </c:pt>
                <c:pt idx="292">
                  <c:v>14.402900000000001</c:v>
                </c:pt>
                <c:pt idx="293">
                  <c:v>14.97</c:v>
                </c:pt>
                <c:pt idx="294">
                  <c:v>11.6313</c:v>
                </c:pt>
                <c:pt idx="295">
                  <c:v>9.3977000000000004</c:v>
                </c:pt>
                <c:pt idx="296">
                  <c:v>9.0359999999999996</c:v>
                </c:pt>
                <c:pt idx="297">
                  <c:v>3.9173</c:v>
                </c:pt>
                <c:pt idx="298">
                  <c:v>11.026400000000001</c:v>
                </c:pt>
                <c:pt idx="299">
                  <c:v>3.1915</c:v>
                </c:pt>
                <c:pt idx="300">
                  <c:v>5.9581999999999997</c:v>
                </c:pt>
                <c:pt idx="301">
                  <c:v>8.7870000000000008</c:v>
                </c:pt>
                <c:pt idx="302">
                  <c:v>9.5357000000000003</c:v>
                </c:pt>
                <c:pt idx="303">
                  <c:v>11.5678</c:v>
                </c:pt>
                <c:pt idx="304">
                  <c:v>16.537199999999999</c:v>
                </c:pt>
                <c:pt idx="305">
                  <c:v>5.8103999999999996</c:v>
                </c:pt>
                <c:pt idx="306">
                  <c:v>13.242000000000001</c:v>
                </c:pt>
                <c:pt idx="307">
                  <c:v>14.786</c:v>
                </c:pt>
                <c:pt idx="308">
                  <c:v>12.7159</c:v>
                </c:pt>
                <c:pt idx="309">
                  <c:v>12.097799999999999</c:v>
                </c:pt>
                <c:pt idx="310">
                  <c:v>6.5614999999999997</c:v>
                </c:pt>
                <c:pt idx="311">
                  <c:v>8.1638000000000002</c:v>
                </c:pt>
                <c:pt idx="312">
                  <c:v>5.1688000000000001</c:v>
                </c:pt>
                <c:pt idx="313">
                  <c:v>5.1265999999999998</c:v>
                </c:pt>
                <c:pt idx="314">
                  <c:v>10.3767</c:v>
                </c:pt>
                <c:pt idx="315">
                  <c:v>9.0669000000000004</c:v>
                </c:pt>
                <c:pt idx="316">
                  <c:v>10.2652</c:v>
                </c:pt>
                <c:pt idx="317">
                  <c:v>8.8602000000000007</c:v>
                </c:pt>
                <c:pt idx="318">
                  <c:v>9.6754999999999995</c:v>
                </c:pt>
                <c:pt idx="319">
                  <c:v>15.835100000000001</c:v>
                </c:pt>
                <c:pt idx="320">
                  <c:v>7.9088000000000003</c:v>
                </c:pt>
                <c:pt idx="321">
                  <c:v>12.463200000000001</c:v>
                </c:pt>
                <c:pt idx="322">
                  <c:v>8.6018000000000008</c:v>
                </c:pt>
                <c:pt idx="323">
                  <c:v>6.7788000000000004</c:v>
                </c:pt>
                <c:pt idx="324">
                  <c:v>4.8468999999999998</c:v>
                </c:pt>
                <c:pt idx="325">
                  <c:v>7.4965000000000002</c:v>
                </c:pt>
                <c:pt idx="326">
                  <c:v>5.0464000000000002</c:v>
                </c:pt>
                <c:pt idx="327">
                  <c:v>13.4315</c:v>
                </c:pt>
                <c:pt idx="328">
                  <c:v>15.563599999999999</c:v>
                </c:pt>
                <c:pt idx="329">
                  <c:v>9.9352</c:v>
                </c:pt>
                <c:pt idx="330">
                  <c:v>15.146699999999999</c:v>
                </c:pt>
                <c:pt idx="331">
                  <c:v>13.0402</c:v>
                </c:pt>
                <c:pt idx="332">
                  <c:v>9.7727000000000004</c:v>
                </c:pt>
                <c:pt idx="333">
                  <c:v>9.6602999999999994</c:v>
                </c:pt>
                <c:pt idx="334">
                  <c:v>7.2220000000000004</c:v>
                </c:pt>
                <c:pt idx="335">
                  <c:v>8.4716000000000005</c:v>
                </c:pt>
                <c:pt idx="336">
                  <c:v>6.6130000000000004</c:v>
                </c:pt>
                <c:pt idx="337">
                  <c:v>7.3391000000000002</c:v>
                </c:pt>
                <c:pt idx="338">
                  <c:v>8.4864999999999995</c:v>
                </c:pt>
                <c:pt idx="339">
                  <c:v>5.79</c:v>
                </c:pt>
                <c:pt idx="340">
                  <c:v>9.7225000000000001</c:v>
                </c:pt>
                <c:pt idx="341">
                  <c:v>5.1401000000000003</c:v>
                </c:pt>
                <c:pt idx="342">
                  <c:v>5.8281000000000001</c:v>
                </c:pt>
                <c:pt idx="343">
                  <c:v>7.4469000000000003</c:v>
                </c:pt>
                <c:pt idx="344">
                  <c:v>4.8428000000000004</c:v>
                </c:pt>
                <c:pt idx="345">
                  <c:v>2.9874999999999998</c:v>
                </c:pt>
                <c:pt idx="346">
                  <c:v>7.5132000000000003</c:v>
                </c:pt>
                <c:pt idx="347">
                  <c:v>10.568899999999999</c:v>
                </c:pt>
                <c:pt idx="348">
                  <c:v>5.3708999999999998</c:v>
                </c:pt>
                <c:pt idx="349">
                  <c:v>2.8685</c:v>
                </c:pt>
                <c:pt idx="350">
                  <c:v>9.2604000000000006</c:v>
                </c:pt>
                <c:pt idx="351">
                  <c:v>6.6689999999999996</c:v>
                </c:pt>
                <c:pt idx="352">
                  <c:v>5.5286999999999997</c:v>
                </c:pt>
                <c:pt idx="353">
                  <c:v>3.8184999999999998</c:v>
                </c:pt>
                <c:pt idx="354">
                  <c:v>5.7107999999999999</c:v>
                </c:pt>
                <c:pt idx="355">
                  <c:v>5.5439999999999996</c:v>
                </c:pt>
                <c:pt idx="356">
                  <c:v>6.2675000000000001</c:v>
                </c:pt>
                <c:pt idx="357">
                  <c:v>7.4195000000000002</c:v>
                </c:pt>
                <c:pt idx="358">
                  <c:v>4.4802999999999997</c:v>
                </c:pt>
                <c:pt idx="359">
                  <c:v>5.2488000000000001</c:v>
                </c:pt>
                <c:pt idx="360">
                  <c:v>7.1586999999999996</c:v>
                </c:pt>
                <c:pt idx="361">
                  <c:v>4.7693000000000003</c:v>
                </c:pt>
                <c:pt idx="362">
                  <c:v>3.9369000000000001</c:v>
                </c:pt>
                <c:pt idx="363">
                  <c:v>5.5136000000000003</c:v>
                </c:pt>
                <c:pt idx="364">
                  <c:v>3.6074000000000002</c:v>
                </c:pt>
                <c:pt idx="365">
                  <c:v>15.2278</c:v>
                </c:pt>
                <c:pt idx="366">
                  <c:v>16.757300000000001</c:v>
                </c:pt>
                <c:pt idx="367">
                  <c:v>21.950099999999999</c:v>
                </c:pt>
                <c:pt idx="368">
                  <c:v>42.686599999999999</c:v>
                </c:pt>
                <c:pt idx="369">
                  <c:v>15.2193</c:v>
                </c:pt>
                <c:pt idx="370">
                  <c:v>18.6343</c:v>
                </c:pt>
                <c:pt idx="371">
                  <c:v>10.736000000000001</c:v>
                </c:pt>
                <c:pt idx="372">
                  <c:v>17.899000000000001</c:v>
                </c:pt>
                <c:pt idx="373">
                  <c:v>18.057099999999998</c:v>
                </c:pt>
                <c:pt idx="374">
                  <c:v>10.3315</c:v>
                </c:pt>
                <c:pt idx="375">
                  <c:v>12.443099999999999</c:v>
                </c:pt>
                <c:pt idx="376">
                  <c:v>8.7918000000000003</c:v>
                </c:pt>
                <c:pt idx="377">
                  <c:v>6.0377999999999998</c:v>
                </c:pt>
                <c:pt idx="378">
                  <c:v>6.2458</c:v>
                </c:pt>
                <c:pt idx="379">
                  <c:v>9.7030999999999992</c:v>
                </c:pt>
                <c:pt idx="380">
                  <c:v>8.6488999999999994</c:v>
                </c:pt>
                <c:pt idx="381">
                  <c:v>6.0909000000000004</c:v>
                </c:pt>
                <c:pt idx="382">
                  <c:v>10.827299999999999</c:v>
                </c:pt>
                <c:pt idx="383">
                  <c:v>14.041700000000001</c:v>
                </c:pt>
                <c:pt idx="384">
                  <c:v>23.349599999999999</c:v>
                </c:pt>
                <c:pt idx="385">
                  <c:v>12.839499999999999</c:v>
                </c:pt>
                <c:pt idx="386">
                  <c:v>11.6427</c:v>
                </c:pt>
                <c:pt idx="387">
                  <c:v>16.4785</c:v>
                </c:pt>
                <c:pt idx="388">
                  <c:v>13.6074</c:v>
                </c:pt>
                <c:pt idx="389">
                  <c:v>9.8008000000000006</c:v>
                </c:pt>
                <c:pt idx="390">
                  <c:v>7.6300999999999997</c:v>
                </c:pt>
                <c:pt idx="391">
                  <c:v>6.2839999999999998</c:v>
                </c:pt>
                <c:pt idx="392">
                  <c:v>8.6745999999999999</c:v>
                </c:pt>
                <c:pt idx="393">
                  <c:v>7.3933</c:v>
                </c:pt>
                <c:pt idx="394">
                  <c:v>9.5952000000000002</c:v>
                </c:pt>
                <c:pt idx="395">
                  <c:v>5.7012</c:v>
                </c:pt>
                <c:pt idx="396">
                  <c:v>7.5549999999999997</c:v>
                </c:pt>
                <c:pt idx="397">
                  <c:v>7.5970000000000004</c:v>
                </c:pt>
                <c:pt idx="398">
                  <c:v>8.6980000000000004</c:v>
                </c:pt>
                <c:pt idx="399">
                  <c:v>8.5854999999999997</c:v>
                </c:pt>
                <c:pt idx="400">
                  <c:v>5.4747000000000003</c:v>
                </c:pt>
                <c:pt idx="401">
                  <c:v>6.3705999999999996</c:v>
                </c:pt>
                <c:pt idx="402">
                  <c:v>11.3287</c:v>
                </c:pt>
                <c:pt idx="403">
                  <c:v>10.899800000000001</c:v>
                </c:pt>
                <c:pt idx="404">
                  <c:v>6.2804000000000002</c:v>
                </c:pt>
                <c:pt idx="405">
                  <c:v>6.1875999999999998</c:v>
                </c:pt>
                <c:pt idx="406">
                  <c:v>10.196199999999999</c:v>
                </c:pt>
                <c:pt idx="407">
                  <c:v>9.2827999999999999</c:v>
                </c:pt>
                <c:pt idx="408">
                  <c:v>6.2499000000000002</c:v>
                </c:pt>
                <c:pt idx="409">
                  <c:v>5.6703000000000001</c:v>
                </c:pt>
                <c:pt idx="410">
                  <c:v>5.1364000000000001</c:v>
                </c:pt>
                <c:pt idx="411">
                  <c:v>4.7408000000000001</c:v>
                </c:pt>
                <c:pt idx="412">
                  <c:v>4.1154999999999999</c:v>
                </c:pt>
                <c:pt idx="413">
                  <c:v>2.7443</c:v>
                </c:pt>
                <c:pt idx="414">
                  <c:v>7.4302999999999999</c:v>
                </c:pt>
                <c:pt idx="415">
                  <c:v>4.6054000000000004</c:v>
                </c:pt>
                <c:pt idx="416">
                  <c:v>3.3281000000000001</c:v>
                </c:pt>
                <c:pt idx="417">
                  <c:v>3.1610999999999998</c:v>
                </c:pt>
                <c:pt idx="418">
                  <c:v>4.0431999999999997</c:v>
                </c:pt>
                <c:pt idx="419">
                  <c:v>5.5164999999999997</c:v>
                </c:pt>
                <c:pt idx="420">
                  <c:v>6.9946000000000002</c:v>
                </c:pt>
                <c:pt idx="421">
                  <c:v>5.5868000000000002</c:v>
                </c:pt>
                <c:pt idx="422">
                  <c:v>5.6745999999999999</c:v>
                </c:pt>
                <c:pt idx="423">
                  <c:v>7.65</c:v>
                </c:pt>
                <c:pt idx="424">
                  <c:v>11.673400000000001</c:v>
                </c:pt>
                <c:pt idx="425">
                  <c:v>8.0874000000000006</c:v>
                </c:pt>
                <c:pt idx="426">
                  <c:v>6.8719999999999999</c:v>
                </c:pt>
                <c:pt idx="427">
                  <c:v>12.5107</c:v>
                </c:pt>
                <c:pt idx="428">
                  <c:v>6.7409999999999997</c:v>
                </c:pt>
                <c:pt idx="429">
                  <c:v>13.1846</c:v>
                </c:pt>
                <c:pt idx="430">
                  <c:v>7.7217000000000002</c:v>
                </c:pt>
                <c:pt idx="431">
                  <c:v>6.5686</c:v>
                </c:pt>
                <c:pt idx="432">
                  <c:v>15.3683</c:v>
                </c:pt>
                <c:pt idx="433">
                  <c:v>10.7659</c:v>
                </c:pt>
                <c:pt idx="434">
                  <c:v>6.4839000000000002</c:v>
                </c:pt>
                <c:pt idx="435">
                  <c:v>4.2282000000000002</c:v>
                </c:pt>
                <c:pt idx="436">
                  <c:v>7.9109999999999996</c:v>
                </c:pt>
                <c:pt idx="437">
                  <c:v>3.6850999999999998</c:v>
                </c:pt>
                <c:pt idx="438">
                  <c:v>4.9432</c:v>
                </c:pt>
                <c:pt idx="439">
                  <c:v>5.8720999999999997</c:v>
                </c:pt>
                <c:pt idx="440">
                  <c:v>4.9715999999999996</c:v>
                </c:pt>
                <c:pt idx="441">
                  <c:v>4.4683000000000002</c:v>
                </c:pt>
                <c:pt idx="442">
                  <c:v>11.041399999999999</c:v>
                </c:pt>
                <c:pt idx="443">
                  <c:v>10.4404</c:v>
                </c:pt>
                <c:pt idx="444">
                  <c:v>6.4203000000000001</c:v>
                </c:pt>
                <c:pt idx="445">
                  <c:v>8.9155999999999995</c:v>
                </c:pt>
                <c:pt idx="446">
                  <c:v>10.7781</c:v>
                </c:pt>
                <c:pt idx="447">
                  <c:v>9.5175999999999998</c:v>
                </c:pt>
                <c:pt idx="448">
                  <c:v>9.0321999999999996</c:v>
                </c:pt>
                <c:pt idx="449">
                  <c:v>10.8536</c:v>
                </c:pt>
                <c:pt idx="450">
                  <c:v>10.3887</c:v>
                </c:pt>
                <c:pt idx="451">
                  <c:v>7.3441000000000001</c:v>
                </c:pt>
                <c:pt idx="452">
                  <c:v>6.3383000000000003</c:v>
                </c:pt>
                <c:pt idx="453">
                  <c:v>4.5945999999999998</c:v>
                </c:pt>
                <c:pt idx="454">
                  <c:v>6.1261999999999999</c:v>
                </c:pt>
                <c:pt idx="455">
                  <c:v>4.3190999999999997</c:v>
                </c:pt>
                <c:pt idx="456">
                  <c:v>7.0457999999999998</c:v>
                </c:pt>
                <c:pt idx="457">
                  <c:v>8.2454000000000001</c:v>
                </c:pt>
                <c:pt idx="458">
                  <c:v>6.2454999999999998</c:v>
                </c:pt>
                <c:pt idx="459">
                  <c:v>5.4111000000000002</c:v>
                </c:pt>
                <c:pt idx="460">
                  <c:v>8.8483000000000001</c:v>
                </c:pt>
                <c:pt idx="461">
                  <c:v>7.9831000000000003</c:v>
                </c:pt>
                <c:pt idx="462">
                  <c:v>7.8456999999999999</c:v>
                </c:pt>
                <c:pt idx="463">
                  <c:v>10.4169</c:v>
                </c:pt>
                <c:pt idx="464">
                  <c:v>5.4821999999999997</c:v>
                </c:pt>
                <c:pt idx="465">
                  <c:v>7.774</c:v>
                </c:pt>
                <c:pt idx="466">
                  <c:v>6.5906000000000002</c:v>
                </c:pt>
                <c:pt idx="467">
                  <c:v>5.7373000000000003</c:v>
                </c:pt>
                <c:pt idx="468">
                  <c:v>4.7251000000000003</c:v>
                </c:pt>
                <c:pt idx="469">
                  <c:v>11.7394</c:v>
                </c:pt>
                <c:pt idx="470">
                  <c:v>5.61</c:v>
                </c:pt>
                <c:pt idx="471">
                  <c:v>6.2255000000000003</c:v>
                </c:pt>
                <c:pt idx="472">
                  <c:v>8.5927000000000007</c:v>
                </c:pt>
                <c:pt idx="473">
                  <c:v>6.5419999999999998</c:v>
                </c:pt>
                <c:pt idx="474">
                  <c:v>5.6951999999999998</c:v>
                </c:pt>
                <c:pt idx="475">
                  <c:v>11.326499999999999</c:v>
                </c:pt>
                <c:pt idx="476">
                  <c:v>7.8869999999999996</c:v>
                </c:pt>
                <c:pt idx="477">
                  <c:v>7.4336000000000002</c:v>
                </c:pt>
                <c:pt idx="478">
                  <c:v>11.8217</c:v>
                </c:pt>
                <c:pt idx="479">
                  <c:v>6.2701000000000002</c:v>
                </c:pt>
                <c:pt idx="480">
                  <c:v>7.9698000000000002</c:v>
                </c:pt>
                <c:pt idx="481">
                  <c:v>4.2937000000000003</c:v>
                </c:pt>
                <c:pt idx="482">
                  <c:v>6.2629999999999999</c:v>
                </c:pt>
                <c:pt idx="483">
                  <c:v>6.7652000000000001</c:v>
                </c:pt>
                <c:pt idx="484">
                  <c:v>7.3837000000000002</c:v>
                </c:pt>
                <c:pt idx="485">
                  <c:v>5.4356</c:v>
                </c:pt>
                <c:pt idx="486">
                  <c:v>4.7378</c:v>
                </c:pt>
                <c:pt idx="487">
                  <c:v>6.7339000000000002</c:v>
                </c:pt>
                <c:pt idx="488">
                  <c:v>6.7638999999999996</c:v>
                </c:pt>
                <c:pt idx="489">
                  <c:v>13.3215</c:v>
                </c:pt>
                <c:pt idx="490">
                  <c:v>7.3975999999999997</c:v>
                </c:pt>
                <c:pt idx="491">
                  <c:v>14.925800000000001</c:v>
                </c:pt>
                <c:pt idx="492">
                  <c:v>7.4028</c:v>
                </c:pt>
                <c:pt idx="493">
                  <c:v>15.6111</c:v>
                </c:pt>
                <c:pt idx="494">
                  <c:v>9.5831999999999997</c:v>
                </c:pt>
                <c:pt idx="495">
                  <c:v>13.141400000000001</c:v>
                </c:pt>
                <c:pt idx="496">
                  <c:v>8.4512</c:v>
                </c:pt>
                <c:pt idx="497">
                  <c:v>14.192500000000001</c:v>
                </c:pt>
                <c:pt idx="498">
                  <c:v>6.23</c:v>
                </c:pt>
                <c:pt idx="499">
                  <c:v>11.983599999999999</c:v>
                </c:pt>
                <c:pt idx="500">
                  <c:v>9.6381999999999994</c:v>
                </c:pt>
                <c:pt idx="501">
                  <c:v>7.8487</c:v>
                </c:pt>
                <c:pt idx="502">
                  <c:v>6.2907000000000002</c:v>
                </c:pt>
                <c:pt idx="503">
                  <c:v>8.3843999999999994</c:v>
                </c:pt>
                <c:pt idx="504">
                  <c:v>8.4464000000000006</c:v>
                </c:pt>
                <c:pt idx="505">
                  <c:v>7.5223000000000004</c:v>
                </c:pt>
                <c:pt idx="506">
                  <c:v>5.5597000000000003</c:v>
                </c:pt>
                <c:pt idx="507">
                  <c:v>6.8308</c:v>
                </c:pt>
                <c:pt idx="508">
                  <c:v>9.2042000000000002</c:v>
                </c:pt>
                <c:pt idx="509">
                  <c:v>11.708399999999999</c:v>
                </c:pt>
                <c:pt idx="510">
                  <c:v>16.959199999999999</c:v>
                </c:pt>
                <c:pt idx="511">
                  <c:v>40.414999999999999</c:v>
                </c:pt>
                <c:pt idx="512">
                  <c:v>26.028600000000001</c:v>
                </c:pt>
                <c:pt idx="513">
                  <c:v>17.172999999999998</c:v>
                </c:pt>
                <c:pt idx="514">
                  <c:v>20.7684</c:v>
                </c:pt>
                <c:pt idx="515">
                  <c:v>19.107299999999999</c:v>
                </c:pt>
                <c:pt idx="516">
                  <c:v>16.901399999999999</c:v>
                </c:pt>
                <c:pt idx="517">
                  <c:v>6.9084000000000003</c:v>
                </c:pt>
                <c:pt idx="518">
                  <c:v>11.751899999999999</c:v>
                </c:pt>
                <c:pt idx="519">
                  <c:v>14.700200000000001</c:v>
                </c:pt>
                <c:pt idx="520">
                  <c:v>11.1816</c:v>
                </c:pt>
                <c:pt idx="521">
                  <c:v>11.606400000000001</c:v>
                </c:pt>
                <c:pt idx="522">
                  <c:v>11.6669</c:v>
                </c:pt>
                <c:pt idx="523">
                  <c:v>7.6913999999999998</c:v>
                </c:pt>
                <c:pt idx="524">
                  <c:v>10.433299999999999</c:v>
                </c:pt>
                <c:pt idx="525">
                  <c:v>9.3722999999999992</c:v>
                </c:pt>
                <c:pt idx="526">
                  <c:v>12.3163</c:v>
                </c:pt>
                <c:pt idx="527">
                  <c:v>11.268800000000001</c:v>
                </c:pt>
                <c:pt idx="528">
                  <c:v>12.1126</c:v>
                </c:pt>
                <c:pt idx="529">
                  <c:v>12.613799999999999</c:v>
                </c:pt>
                <c:pt idx="530">
                  <c:v>15.541600000000001</c:v>
                </c:pt>
                <c:pt idx="531">
                  <c:v>15.96</c:v>
                </c:pt>
                <c:pt idx="532">
                  <c:v>10.854900000000001</c:v>
                </c:pt>
                <c:pt idx="533">
                  <c:v>8.9212000000000007</c:v>
                </c:pt>
                <c:pt idx="534">
                  <c:v>13.214600000000001</c:v>
                </c:pt>
                <c:pt idx="535">
                  <c:v>7.7239000000000004</c:v>
                </c:pt>
                <c:pt idx="536">
                  <c:v>9.3847000000000005</c:v>
                </c:pt>
                <c:pt idx="537">
                  <c:v>7.3752000000000004</c:v>
                </c:pt>
                <c:pt idx="538">
                  <c:v>10.336399999999999</c:v>
                </c:pt>
                <c:pt idx="539">
                  <c:v>7.1138000000000003</c:v>
                </c:pt>
                <c:pt idx="540">
                  <c:v>6.9131999999999998</c:v>
                </c:pt>
                <c:pt idx="541">
                  <c:v>9.3033999999999999</c:v>
                </c:pt>
                <c:pt idx="542">
                  <c:v>6.3318000000000003</c:v>
                </c:pt>
                <c:pt idx="543">
                  <c:v>6.5735000000000001</c:v>
                </c:pt>
                <c:pt idx="544">
                  <c:v>9.0410000000000004</c:v>
                </c:pt>
                <c:pt idx="545">
                  <c:v>7.9958999999999998</c:v>
                </c:pt>
                <c:pt idx="546">
                  <c:v>7.5815000000000001</c:v>
                </c:pt>
                <c:pt idx="547">
                  <c:v>14.0555</c:v>
                </c:pt>
                <c:pt idx="548">
                  <c:v>12.4809</c:v>
                </c:pt>
                <c:pt idx="549">
                  <c:v>7.3573000000000004</c:v>
                </c:pt>
                <c:pt idx="550">
                  <c:v>10.270799999999999</c:v>
                </c:pt>
                <c:pt idx="551">
                  <c:v>8.3760999999999992</c:v>
                </c:pt>
                <c:pt idx="552">
                  <c:v>9.4687999999999999</c:v>
                </c:pt>
                <c:pt idx="553">
                  <c:v>5.8434999999999997</c:v>
                </c:pt>
                <c:pt idx="554">
                  <c:v>15.5959</c:v>
                </c:pt>
                <c:pt idx="555">
                  <c:v>9.5327999999999999</c:v>
                </c:pt>
                <c:pt idx="556">
                  <c:v>18.245799999999999</c:v>
                </c:pt>
                <c:pt idx="557">
                  <c:v>7.6219999999999999</c:v>
                </c:pt>
                <c:pt idx="558">
                  <c:v>15.032</c:v>
                </c:pt>
                <c:pt idx="559">
                  <c:v>11.712899999999999</c:v>
                </c:pt>
                <c:pt idx="560">
                  <c:v>8.4826999999999995</c:v>
                </c:pt>
                <c:pt idx="561">
                  <c:v>8.5091000000000001</c:v>
                </c:pt>
                <c:pt idx="562">
                  <c:v>7.9135999999999997</c:v>
                </c:pt>
                <c:pt idx="563">
                  <c:v>7.5202999999999998</c:v>
                </c:pt>
                <c:pt idx="564">
                  <c:v>7.9928999999999997</c:v>
                </c:pt>
                <c:pt idx="565">
                  <c:v>12.7639</c:v>
                </c:pt>
                <c:pt idx="566">
                  <c:v>7.1117999999999997</c:v>
                </c:pt>
                <c:pt idx="567">
                  <c:v>13.4155</c:v>
                </c:pt>
                <c:pt idx="568">
                  <c:v>6.4641000000000002</c:v>
                </c:pt>
                <c:pt idx="569">
                  <c:v>5.2085999999999997</c:v>
                </c:pt>
                <c:pt idx="570">
                  <c:v>6.7750000000000004</c:v>
                </c:pt>
                <c:pt idx="571">
                  <c:v>7.6315</c:v>
                </c:pt>
                <c:pt idx="572">
                  <c:v>7.1025999999999998</c:v>
                </c:pt>
                <c:pt idx="573">
                  <c:v>13.295299999999999</c:v>
                </c:pt>
                <c:pt idx="574">
                  <c:v>11.5397</c:v>
                </c:pt>
                <c:pt idx="575">
                  <c:v>12.6584</c:v>
                </c:pt>
                <c:pt idx="576">
                  <c:v>25.345300000000002</c:v>
                </c:pt>
                <c:pt idx="577">
                  <c:v>21.117699999999999</c:v>
                </c:pt>
                <c:pt idx="578">
                  <c:v>39.518000000000001</c:v>
                </c:pt>
                <c:pt idx="579">
                  <c:v>15.2682</c:v>
                </c:pt>
                <c:pt idx="580">
                  <c:v>10.3314</c:v>
                </c:pt>
                <c:pt idx="581">
                  <c:v>7.7179000000000002</c:v>
                </c:pt>
                <c:pt idx="582">
                  <c:v>10.0061</c:v>
                </c:pt>
                <c:pt idx="583">
                  <c:v>11.8398</c:v>
                </c:pt>
                <c:pt idx="584">
                  <c:v>9.0722000000000005</c:v>
                </c:pt>
                <c:pt idx="585">
                  <c:v>6.6040000000000001</c:v>
                </c:pt>
                <c:pt idx="586">
                  <c:v>7.4622000000000002</c:v>
                </c:pt>
                <c:pt idx="587">
                  <c:v>11.8964</c:v>
                </c:pt>
                <c:pt idx="588">
                  <c:v>10.134399999999999</c:v>
                </c:pt>
                <c:pt idx="589">
                  <c:v>7.0129999999999999</c:v>
                </c:pt>
                <c:pt idx="590">
                  <c:v>5.5336999999999996</c:v>
                </c:pt>
                <c:pt idx="591">
                  <c:v>6.3305999999999996</c:v>
                </c:pt>
                <c:pt idx="592">
                  <c:v>7.9981</c:v>
                </c:pt>
                <c:pt idx="593">
                  <c:v>9.0333000000000006</c:v>
                </c:pt>
                <c:pt idx="594">
                  <c:v>6.8311000000000002</c:v>
                </c:pt>
                <c:pt idx="595">
                  <c:v>5.4071999999999996</c:v>
                </c:pt>
                <c:pt idx="596">
                  <c:v>13.3439</c:v>
                </c:pt>
                <c:pt idx="597">
                  <c:v>8.7489000000000008</c:v>
                </c:pt>
                <c:pt idx="598">
                  <c:v>6.1665999999999999</c:v>
                </c:pt>
                <c:pt idx="599">
                  <c:v>5.4455999999999998</c:v>
                </c:pt>
                <c:pt idx="600">
                  <c:v>6.9932999999999996</c:v>
                </c:pt>
                <c:pt idx="601">
                  <c:v>4.0376000000000003</c:v>
                </c:pt>
                <c:pt idx="602">
                  <c:v>6.0970000000000004</c:v>
                </c:pt>
                <c:pt idx="603">
                  <c:v>4.7088000000000001</c:v>
                </c:pt>
                <c:pt idx="604">
                  <c:v>4.6619999999999999</c:v>
                </c:pt>
                <c:pt idx="605">
                  <c:v>5.3566000000000003</c:v>
                </c:pt>
                <c:pt idx="606">
                  <c:v>7.9280999999999997</c:v>
                </c:pt>
                <c:pt idx="607">
                  <c:v>4.6134000000000004</c:v>
                </c:pt>
                <c:pt idx="608">
                  <c:v>6.5114999999999998</c:v>
                </c:pt>
                <c:pt idx="609">
                  <c:v>5.3151000000000002</c:v>
                </c:pt>
                <c:pt idx="610">
                  <c:v>5.7464000000000004</c:v>
                </c:pt>
                <c:pt idx="611">
                  <c:v>5.0492999999999997</c:v>
                </c:pt>
                <c:pt idx="612">
                  <c:v>5.9207000000000001</c:v>
                </c:pt>
                <c:pt idx="613">
                  <c:v>5.7968000000000002</c:v>
                </c:pt>
                <c:pt idx="614">
                  <c:v>5.1966000000000001</c:v>
                </c:pt>
                <c:pt idx="615">
                  <c:v>6.68</c:v>
                </c:pt>
                <c:pt idx="616">
                  <c:v>4.1024000000000003</c:v>
                </c:pt>
                <c:pt idx="617">
                  <c:v>2.9140999999999999</c:v>
                </c:pt>
                <c:pt idx="618">
                  <c:v>16.969899999999999</c:v>
                </c:pt>
                <c:pt idx="619">
                  <c:v>3.9443000000000001</c:v>
                </c:pt>
                <c:pt idx="620">
                  <c:v>3.1714000000000002</c:v>
                </c:pt>
                <c:pt idx="621">
                  <c:v>4.8880999999999997</c:v>
                </c:pt>
                <c:pt idx="622">
                  <c:v>5.6302000000000003</c:v>
                </c:pt>
                <c:pt idx="623">
                  <c:v>5.3193000000000001</c:v>
                </c:pt>
                <c:pt idx="624">
                  <c:v>4.9928999999999997</c:v>
                </c:pt>
                <c:pt idx="625">
                  <c:v>5.9465000000000003</c:v>
                </c:pt>
                <c:pt idx="626">
                  <c:v>10.2921</c:v>
                </c:pt>
                <c:pt idx="627">
                  <c:v>18.047499999999999</c:v>
                </c:pt>
                <c:pt idx="628">
                  <c:v>9.5599000000000007</c:v>
                </c:pt>
                <c:pt idx="629">
                  <c:v>4.5298999999999996</c:v>
                </c:pt>
                <c:pt idx="630">
                  <c:v>6.7750000000000004</c:v>
                </c:pt>
                <c:pt idx="631">
                  <c:v>7.3188000000000004</c:v>
                </c:pt>
                <c:pt idx="632">
                  <c:v>5.0694999999999997</c:v>
                </c:pt>
                <c:pt idx="633">
                  <c:v>5.4766000000000004</c:v>
                </c:pt>
                <c:pt idx="634">
                  <c:v>8.6426999999999996</c:v>
                </c:pt>
                <c:pt idx="635">
                  <c:v>11.0609</c:v>
                </c:pt>
                <c:pt idx="636">
                  <c:v>15.8971</c:v>
                </c:pt>
                <c:pt idx="637">
                  <c:v>26.816400000000002</c:v>
                </c:pt>
                <c:pt idx="638">
                  <c:v>13.2088</c:v>
                </c:pt>
                <c:pt idx="639">
                  <c:v>7.4741</c:v>
                </c:pt>
                <c:pt idx="640">
                  <c:v>7.2104999999999997</c:v>
                </c:pt>
                <c:pt idx="641">
                  <c:v>6.1154999999999999</c:v>
                </c:pt>
                <c:pt idx="642">
                  <c:v>4.8308999999999997</c:v>
                </c:pt>
                <c:pt idx="643">
                  <c:v>5.9101999999999997</c:v>
                </c:pt>
                <c:pt idx="644">
                  <c:v>8.5058000000000007</c:v>
                </c:pt>
                <c:pt idx="645">
                  <c:v>5.6025</c:v>
                </c:pt>
                <c:pt idx="646">
                  <c:v>4.7271000000000001</c:v>
                </c:pt>
                <c:pt idx="647">
                  <c:v>6.9912999999999998</c:v>
                </c:pt>
                <c:pt idx="648">
                  <c:v>5.5917000000000003</c:v>
                </c:pt>
                <c:pt idx="649">
                  <c:v>5.5597000000000003</c:v>
                </c:pt>
                <c:pt idx="650">
                  <c:v>4.6635</c:v>
                </c:pt>
                <c:pt idx="651">
                  <c:v>5.9432999999999998</c:v>
                </c:pt>
                <c:pt idx="652">
                  <c:v>9.2624999999999993</c:v>
                </c:pt>
                <c:pt idx="653">
                  <c:v>8.6742000000000008</c:v>
                </c:pt>
                <c:pt idx="654">
                  <c:v>3.9790000000000001</c:v>
                </c:pt>
                <c:pt idx="655">
                  <c:v>2.8755000000000002</c:v>
                </c:pt>
                <c:pt idx="656">
                  <c:v>3.3140000000000001</c:v>
                </c:pt>
                <c:pt idx="657">
                  <c:v>7.3295000000000003</c:v>
                </c:pt>
                <c:pt idx="658">
                  <c:v>5.0994999999999999</c:v>
                </c:pt>
                <c:pt idx="659">
                  <c:v>4.5797999999999996</c:v>
                </c:pt>
                <c:pt idx="660">
                  <c:v>6.9020000000000001</c:v>
                </c:pt>
                <c:pt idx="661">
                  <c:v>10.004099999999999</c:v>
                </c:pt>
                <c:pt idx="662">
                  <c:v>5.8596000000000004</c:v>
                </c:pt>
                <c:pt idx="663">
                  <c:v>4.2493999999999996</c:v>
                </c:pt>
                <c:pt idx="664">
                  <c:v>5.0523999999999996</c:v>
                </c:pt>
                <c:pt idx="665">
                  <c:v>4.7022000000000004</c:v>
                </c:pt>
                <c:pt idx="666">
                  <c:v>5.4356999999999998</c:v>
                </c:pt>
                <c:pt idx="667">
                  <c:v>2.7433999999999998</c:v>
                </c:pt>
                <c:pt idx="668">
                  <c:v>3.7574000000000001</c:v>
                </c:pt>
                <c:pt idx="669">
                  <c:v>6.7839</c:v>
                </c:pt>
                <c:pt idx="670">
                  <c:v>6.0391000000000004</c:v>
                </c:pt>
                <c:pt idx="671">
                  <c:v>5.5414000000000003</c:v>
                </c:pt>
                <c:pt idx="672">
                  <c:v>4.766</c:v>
                </c:pt>
                <c:pt idx="673">
                  <c:v>5.5885999999999996</c:v>
                </c:pt>
                <c:pt idx="674">
                  <c:v>5.0160999999999998</c:v>
                </c:pt>
                <c:pt idx="675">
                  <c:v>6.8913000000000002</c:v>
                </c:pt>
                <c:pt idx="676">
                  <c:v>3.34</c:v>
                </c:pt>
                <c:pt idx="677">
                  <c:v>4.5811000000000002</c:v>
                </c:pt>
                <c:pt idx="678">
                  <c:v>8.5167999999999999</c:v>
                </c:pt>
                <c:pt idx="679">
                  <c:v>5.5209999999999999</c:v>
                </c:pt>
                <c:pt idx="680">
                  <c:v>9.0256000000000007</c:v>
                </c:pt>
                <c:pt idx="681">
                  <c:v>14.029199999999999</c:v>
                </c:pt>
                <c:pt idx="682">
                  <c:v>8.2622999999999998</c:v>
                </c:pt>
                <c:pt idx="683">
                  <c:v>4.8982000000000001</c:v>
                </c:pt>
                <c:pt idx="684">
                  <c:v>5.2577999999999996</c:v>
                </c:pt>
                <c:pt idx="685">
                  <c:v>6.181</c:v>
                </c:pt>
                <c:pt idx="686">
                  <c:v>7.7638999999999996</c:v>
                </c:pt>
                <c:pt idx="687">
                  <c:v>7.0180999999999996</c:v>
                </c:pt>
                <c:pt idx="688">
                  <c:v>3.8662000000000001</c:v>
                </c:pt>
                <c:pt idx="689">
                  <c:v>4.3380000000000001</c:v>
                </c:pt>
                <c:pt idx="690">
                  <c:v>3.3087</c:v>
                </c:pt>
                <c:pt idx="691">
                  <c:v>2.8647999999999998</c:v>
                </c:pt>
                <c:pt idx="692">
                  <c:v>8.9635999999999996</c:v>
                </c:pt>
                <c:pt idx="693">
                  <c:v>12.408799999999999</c:v>
                </c:pt>
                <c:pt idx="694">
                  <c:v>6.7076000000000002</c:v>
                </c:pt>
                <c:pt idx="695">
                  <c:v>10.479200000000001</c:v>
                </c:pt>
                <c:pt idx="696">
                  <c:v>7.5385999999999997</c:v>
                </c:pt>
                <c:pt idx="697">
                  <c:v>6.1060999999999996</c:v>
                </c:pt>
                <c:pt idx="698">
                  <c:v>13.5726</c:v>
                </c:pt>
                <c:pt idx="699">
                  <c:v>17.927299999999999</c:v>
                </c:pt>
                <c:pt idx="700">
                  <c:v>21.182400000000001</c:v>
                </c:pt>
                <c:pt idx="701">
                  <c:v>13.41</c:v>
                </c:pt>
                <c:pt idx="702">
                  <c:v>11.273099999999999</c:v>
                </c:pt>
                <c:pt idx="703">
                  <c:v>9.8917999999999999</c:v>
                </c:pt>
                <c:pt idx="704">
                  <c:v>7.9210000000000003</c:v>
                </c:pt>
                <c:pt idx="705">
                  <c:v>5.8232999999999997</c:v>
                </c:pt>
                <c:pt idx="706">
                  <c:v>8.9848999999999997</c:v>
                </c:pt>
                <c:pt idx="707">
                  <c:v>10.476100000000001</c:v>
                </c:pt>
                <c:pt idx="708">
                  <c:v>7.2904999999999998</c:v>
                </c:pt>
                <c:pt idx="709">
                  <c:v>5.6962999999999999</c:v>
                </c:pt>
                <c:pt idx="710">
                  <c:v>5.2838000000000003</c:v>
                </c:pt>
                <c:pt idx="711">
                  <c:v>6.4097</c:v>
                </c:pt>
                <c:pt idx="712">
                  <c:v>6.5942999999999996</c:v>
                </c:pt>
                <c:pt idx="713">
                  <c:v>8.2513000000000005</c:v>
                </c:pt>
                <c:pt idx="714">
                  <c:v>6.1178999999999997</c:v>
                </c:pt>
                <c:pt idx="715">
                  <c:v>3.6048</c:v>
                </c:pt>
                <c:pt idx="716">
                  <c:v>7.5494000000000003</c:v>
                </c:pt>
                <c:pt idx="717">
                  <c:v>5.7390999999999996</c:v>
                </c:pt>
                <c:pt idx="718">
                  <c:v>6.8856999999999999</c:v>
                </c:pt>
                <c:pt idx="719">
                  <c:v>5.8952999999999998</c:v>
                </c:pt>
                <c:pt idx="720">
                  <c:v>4.2531999999999996</c:v>
                </c:pt>
                <c:pt idx="721">
                  <c:v>6.9141000000000004</c:v>
                </c:pt>
                <c:pt idx="722">
                  <c:v>7.5911</c:v>
                </c:pt>
                <c:pt idx="723">
                  <c:v>5.2474999999999996</c:v>
                </c:pt>
                <c:pt idx="724">
                  <c:v>5.5166000000000004</c:v>
                </c:pt>
                <c:pt idx="725">
                  <c:v>7.5872000000000002</c:v>
                </c:pt>
                <c:pt idx="726">
                  <c:v>6.1914999999999996</c:v>
                </c:pt>
                <c:pt idx="727">
                  <c:v>6.5902000000000003</c:v>
                </c:pt>
                <c:pt idx="728">
                  <c:v>4.2282000000000002</c:v>
                </c:pt>
                <c:pt idx="729">
                  <c:v>5.1456999999999997</c:v>
                </c:pt>
                <c:pt idx="730">
                  <c:v>2.7515000000000001</c:v>
                </c:pt>
                <c:pt idx="731">
                  <c:v>4.3445</c:v>
                </c:pt>
                <c:pt idx="732">
                  <c:v>6.2568999999999999</c:v>
                </c:pt>
                <c:pt idx="733">
                  <c:v>6.1517999999999997</c:v>
                </c:pt>
                <c:pt idx="734">
                  <c:v>6.8217999999999996</c:v>
                </c:pt>
                <c:pt idx="735">
                  <c:v>7.5225999999999997</c:v>
                </c:pt>
                <c:pt idx="736">
                  <c:v>9.2264999999999997</c:v>
                </c:pt>
                <c:pt idx="737">
                  <c:v>11.084099999999999</c:v>
                </c:pt>
                <c:pt idx="738">
                  <c:v>8.1832999999999991</c:v>
                </c:pt>
                <c:pt idx="739">
                  <c:v>8.5441000000000003</c:v>
                </c:pt>
                <c:pt idx="740">
                  <c:v>11.415900000000001</c:v>
                </c:pt>
                <c:pt idx="741">
                  <c:v>7.1710000000000003</c:v>
                </c:pt>
                <c:pt idx="742">
                  <c:v>8.4769000000000005</c:v>
                </c:pt>
                <c:pt idx="743">
                  <c:v>13.296099999999999</c:v>
                </c:pt>
                <c:pt idx="744">
                  <c:v>6.3242000000000003</c:v>
                </c:pt>
                <c:pt idx="745">
                  <c:v>9.5609999999999999</c:v>
                </c:pt>
                <c:pt idx="746">
                  <c:v>9.6773000000000007</c:v>
                </c:pt>
                <c:pt idx="747">
                  <c:v>22.905000000000001</c:v>
                </c:pt>
                <c:pt idx="748">
                  <c:v>15.028499999999999</c:v>
                </c:pt>
                <c:pt idx="749">
                  <c:v>12.454499999999999</c:v>
                </c:pt>
                <c:pt idx="750">
                  <c:v>10.5009</c:v>
                </c:pt>
                <c:pt idx="751">
                  <c:v>6.0746000000000002</c:v>
                </c:pt>
                <c:pt idx="752">
                  <c:v>7.0195999999999996</c:v>
                </c:pt>
                <c:pt idx="753">
                  <c:v>14.601599999999999</c:v>
                </c:pt>
                <c:pt idx="754">
                  <c:v>12.686999999999999</c:v>
                </c:pt>
                <c:pt idx="755">
                  <c:v>8.8713999999999995</c:v>
                </c:pt>
                <c:pt idx="756">
                  <c:v>12.7165</c:v>
                </c:pt>
                <c:pt idx="757">
                  <c:v>5.9672000000000001</c:v>
                </c:pt>
                <c:pt idx="758">
                  <c:v>8.7165999999999997</c:v>
                </c:pt>
                <c:pt idx="759">
                  <c:v>13.4679</c:v>
                </c:pt>
                <c:pt idx="760">
                  <c:v>11.553000000000001</c:v>
                </c:pt>
                <c:pt idx="761">
                  <c:v>13.389200000000001</c:v>
                </c:pt>
                <c:pt idx="762">
                  <c:v>17.657699999999998</c:v>
                </c:pt>
                <c:pt idx="763">
                  <c:v>11.3743</c:v>
                </c:pt>
                <c:pt idx="764">
                  <c:v>13.033300000000001</c:v>
                </c:pt>
                <c:pt idx="765">
                  <c:v>17.034099999999999</c:v>
                </c:pt>
                <c:pt idx="766">
                  <c:v>31.7029</c:v>
                </c:pt>
                <c:pt idx="767">
                  <c:v>16.182300000000001</c:v>
                </c:pt>
                <c:pt idx="768">
                  <c:v>19.944700000000001</c:v>
                </c:pt>
                <c:pt idx="769">
                  <c:v>8.8323999999999998</c:v>
                </c:pt>
                <c:pt idx="770">
                  <c:v>10.685</c:v>
                </c:pt>
                <c:pt idx="771">
                  <c:v>10.657299999999999</c:v>
                </c:pt>
                <c:pt idx="772">
                  <c:v>8.8450000000000006</c:v>
                </c:pt>
                <c:pt idx="773">
                  <c:v>7.4264999999999999</c:v>
                </c:pt>
                <c:pt idx="774">
                  <c:v>11.3491</c:v>
                </c:pt>
                <c:pt idx="775">
                  <c:v>6.9661999999999997</c:v>
                </c:pt>
                <c:pt idx="776">
                  <c:v>8.7166999999999994</c:v>
                </c:pt>
                <c:pt idx="777">
                  <c:v>4.0353000000000003</c:v>
                </c:pt>
                <c:pt idx="778">
                  <c:v>4.2096999999999998</c:v>
                </c:pt>
                <c:pt idx="779">
                  <c:v>8.8431999999999995</c:v>
                </c:pt>
                <c:pt idx="780">
                  <c:v>4.7390999999999996</c:v>
                </c:pt>
                <c:pt idx="781">
                  <c:v>12.308400000000001</c:v>
                </c:pt>
                <c:pt idx="782">
                  <c:v>10.3407</c:v>
                </c:pt>
                <c:pt idx="783">
                  <c:v>5.9233000000000002</c:v>
                </c:pt>
                <c:pt idx="784">
                  <c:v>9.3955000000000002</c:v>
                </c:pt>
                <c:pt idx="785">
                  <c:v>4.0197000000000003</c:v>
                </c:pt>
                <c:pt idx="786">
                  <c:v>10.753399999999999</c:v>
                </c:pt>
                <c:pt idx="787">
                  <c:v>7.9859999999999998</c:v>
                </c:pt>
                <c:pt idx="788">
                  <c:v>6.0960999999999999</c:v>
                </c:pt>
                <c:pt idx="789">
                  <c:v>7.8897000000000004</c:v>
                </c:pt>
                <c:pt idx="790">
                  <c:v>8.3856000000000002</c:v>
                </c:pt>
                <c:pt idx="791">
                  <c:v>9.2492999999999999</c:v>
                </c:pt>
                <c:pt idx="792">
                  <c:v>9.2409999999999997</c:v>
                </c:pt>
                <c:pt idx="793">
                  <c:v>11.507999999999999</c:v>
                </c:pt>
                <c:pt idx="794">
                  <c:v>8.5638000000000005</c:v>
                </c:pt>
                <c:pt idx="795">
                  <c:v>11.3512</c:v>
                </c:pt>
                <c:pt idx="796">
                  <c:v>14.2538</c:v>
                </c:pt>
                <c:pt idx="797">
                  <c:v>8.5853000000000002</c:v>
                </c:pt>
                <c:pt idx="798">
                  <c:v>8.8228000000000009</c:v>
                </c:pt>
                <c:pt idx="799">
                  <c:v>7.5132000000000003</c:v>
                </c:pt>
                <c:pt idx="800">
                  <c:v>7.3860000000000001</c:v>
                </c:pt>
                <c:pt idx="801">
                  <c:v>11.158200000000001</c:v>
                </c:pt>
                <c:pt idx="802">
                  <c:v>6.4043000000000001</c:v>
                </c:pt>
                <c:pt idx="803">
                  <c:v>5.7565</c:v>
                </c:pt>
                <c:pt idx="804">
                  <c:v>6.0339</c:v>
                </c:pt>
                <c:pt idx="805">
                  <c:v>6.851</c:v>
                </c:pt>
                <c:pt idx="806">
                  <c:v>6.6946000000000003</c:v>
                </c:pt>
                <c:pt idx="807">
                  <c:v>6.3487</c:v>
                </c:pt>
                <c:pt idx="808">
                  <c:v>10.828099999999999</c:v>
                </c:pt>
                <c:pt idx="809">
                  <c:v>17.345600000000001</c:v>
                </c:pt>
                <c:pt idx="810">
                  <c:v>22.822099999999999</c:v>
                </c:pt>
                <c:pt idx="811">
                  <c:v>5.7587999999999999</c:v>
                </c:pt>
                <c:pt idx="812">
                  <c:v>8.7331000000000003</c:v>
                </c:pt>
                <c:pt idx="813">
                  <c:v>8.6934000000000005</c:v>
                </c:pt>
                <c:pt idx="814">
                  <c:v>8.9492999999999991</c:v>
                </c:pt>
                <c:pt idx="815">
                  <c:v>9.5203000000000007</c:v>
                </c:pt>
                <c:pt idx="816">
                  <c:v>8.0641999999999996</c:v>
                </c:pt>
                <c:pt idx="817">
                  <c:v>10.531700000000001</c:v>
                </c:pt>
                <c:pt idx="818">
                  <c:v>7.2523999999999997</c:v>
                </c:pt>
                <c:pt idx="819">
                  <c:v>7.7096</c:v>
                </c:pt>
                <c:pt idx="820">
                  <c:v>10.9109</c:v>
                </c:pt>
                <c:pt idx="821">
                  <c:v>12.5867</c:v>
                </c:pt>
                <c:pt idx="822">
                  <c:v>16.768699999999999</c:v>
                </c:pt>
                <c:pt idx="823">
                  <c:v>14.459300000000001</c:v>
                </c:pt>
                <c:pt idx="824">
                  <c:v>10.583500000000001</c:v>
                </c:pt>
                <c:pt idx="825">
                  <c:v>11.6417</c:v>
                </c:pt>
                <c:pt idx="826">
                  <c:v>7.1375000000000002</c:v>
                </c:pt>
                <c:pt idx="827">
                  <c:v>14.389200000000001</c:v>
                </c:pt>
                <c:pt idx="828">
                  <c:v>42.176099999999998</c:v>
                </c:pt>
                <c:pt idx="829">
                  <c:v>16.4435</c:v>
                </c:pt>
                <c:pt idx="830">
                  <c:v>8.4596</c:v>
                </c:pt>
                <c:pt idx="831">
                  <c:v>9.9923000000000002</c:v>
                </c:pt>
                <c:pt idx="832">
                  <c:v>7.8590999999999998</c:v>
                </c:pt>
                <c:pt idx="833">
                  <c:v>11.403499999999999</c:v>
                </c:pt>
                <c:pt idx="834">
                  <c:v>15.9801</c:v>
                </c:pt>
                <c:pt idx="835">
                  <c:v>8.9407999999999994</c:v>
                </c:pt>
                <c:pt idx="836">
                  <c:v>6.6829000000000001</c:v>
                </c:pt>
                <c:pt idx="837">
                  <c:v>18.250699999999998</c:v>
                </c:pt>
                <c:pt idx="838">
                  <c:v>10.759600000000001</c:v>
                </c:pt>
                <c:pt idx="839">
                  <c:v>10.940899999999999</c:v>
                </c:pt>
                <c:pt idx="840">
                  <c:v>14.8444</c:v>
                </c:pt>
                <c:pt idx="841">
                  <c:v>9.9967000000000006</c:v>
                </c:pt>
                <c:pt idx="842">
                  <c:v>8.9445999999999994</c:v>
                </c:pt>
                <c:pt idx="843">
                  <c:v>8.2432999999999996</c:v>
                </c:pt>
                <c:pt idx="844">
                  <c:v>7.7945000000000002</c:v>
                </c:pt>
                <c:pt idx="845">
                  <c:v>11.669499999999999</c:v>
                </c:pt>
                <c:pt idx="846">
                  <c:v>7.6917999999999997</c:v>
                </c:pt>
                <c:pt idx="847">
                  <c:v>5.3502999999999998</c:v>
                </c:pt>
                <c:pt idx="848">
                  <c:v>6.8381999999999996</c:v>
                </c:pt>
                <c:pt idx="849">
                  <c:v>5.2191000000000001</c:v>
                </c:pt>
                <c:pt idx="850">
                  <c:v>5.2769000000000004</c:v>
                </c:pt>
                <c:pt idx="851">
                  <c:v>5.5888999999999998</c:v>
                </c:pt>
                <c:pt idx="852">
                  <c:v>7.8437000000000001</c:v>
                </c:pt>
                <c:pt idx="853">
                  <c:v>4.2729999999999997</c:v>
                </c:pt>
                <c:pt idx="854">
                  <c:v>4.4284999999999997</c:v>
                </c:pt>
                <c:pt idx="855">
                  <c:v>4.569</c:v>
                </c:pt>
                <c:pt idx="856">
                  <c:v>8.2582000000000004</c:v>
                </c:pt>
                <c:pt idx="857">
                  <c:v>7.4922000000000004</c:v>
                </c:pt>
                <c:pt idx="858">
                  <c:v>5.7561999999999998</c:v>
                </c:pt>
                <c:pt idx="859">
                  <c:v>6.375</c:v>
                </c:pt>
                <c:pt idx="860">
                  <c:v>5.7931999999999997</c:v>
                </c:pt>
                <c:pt idx="861">
                  <c:v>5.5579999999999998</c:v>
                </c:pt>
                <c:pt idx="862">
                  <c:v>6.2701000000000002</c:v>
                </c:pt>
                <c:pt idx="863">
                  <c:v>7.5172999999999996</c:v>
                </c:pt>
                <c:pt idx="864">
                  <c:v>4.585</c:v>
                </c:pt>
                <c:pt idx="865">
                  <c:v>6.4843999999999999</c:v>
                </c:pt>
                <c:pt idx="866">
                  <c:v>5.5906000000000002</c:v>
                </c:pt>
                <c:pt idx="867">
                  <c:v>5.6433</c:v>
                </c:pt>
                <c:pt idx="868">
                  <c:v>5.2733999999999996</c:v>
                </c:pt>
                <c:pt idx="869">
                  <c:v>6.7473000000000001</c:v>
                </c:pt>
                <c:pt idx="870">
                  <c:v>10.3527</c:v>
                </c:pt>
                <c:pt idx="871">
                  <c:v>7.0517000000000003</c:v>
                </c:pt>
                <c:pt idx="872">
                  <c:v>6.2811000000000003</c:v>
                </c:pt>
                <c:pt idx="873">
                  <c:v>21.841100000000001</c:v>
                </c:pt>
                <c:pt idx="874">
                  <c:v>4.9002999999999997</c:v>
                </c:pt>
                <c:pt idx="875">
                  <c:v>7.0152999999999999</c:v>
                </c:pt>
                <c:pt idx="876">
                  <c:v>9.1515000000000004</c:v>
                </c:pt>
                <c:pt idx="877">
                  <c:v>10.927899999999999</c:v>
                </c:pt>
                <c:pt idx="878">
                  <c:v>9.702</c:v>
                </c:pt>
                <c:pt idx="879">
                  <c:v>11.5769</c:v>
                </c:pt>
                <c:pt idx="880">
                  <c:v>8.3665000000000003</c:v>
                </c:pt>
                <c:pt idx="881">
                  <c:v>5.2731000000000003</c:v>
                </c:pt>
                <c:pt idx="882">
                  <c:v>7.8167999999999997</c:v>
                </c:pt>
                <c:pt idx="883">
                  <c:v>9.2609999999999992</c:v>
                </c:pt>
                <c:pt idx="884">
                  <c:v>7.5494000000000003</c:v>
                </c:pt>
                <c:pt idx="885">
                  <c:v>7.7225000000000001</c:v>
                </c:pt>
                <c:pt idx="886">
                  <c:v>4.2694999999999999</c:v>
                </c:pt>
                <c:pt idx="887">
                  <c:v>7.6658999999999997</c:v>
                </c:pt>
                <c:pt idx="888">
                  <c:v>5.0655999999999999</c:v>
                </c:pt>
                <c:pt idx="889">
                  <c:v>7.1</c:v>
                </c:pt>
                <c:pt idx="890">
                  <c:v>10.5627</c:v>
                </c:pt>
                <c:pt idx="891">
                  <c:v>13.868499999999999</c:v>
                </c:pt>
                <c:pt idx="892">
                  <c:v>16.539000000000001</c:v>
                </c:pt>
                <c:pt idx="893">
                  <c:v>11.307600000000001</c:v>
                </c:pt>
                <c:pt idx="894">
                  <c:v>10.411899999999999</c:v>
                </c:pt>
                <c:pt idx="895">
                  <c:v>5.7337999999999996</c:v>
                </c:pt>
                <c:pt idx="896">
                  <c:v>4.532</c:v>
                </c:pt>
                <c:pt idx="897">
                  <c:v>7.1996000000000002</c:v>
                </c:pt>
                <c:pt idx="898">
                  <c:v>6.5728</c:v>
                </c:pt>
                <c:pt idx="899">
                  <c:v>3.8872</c:v>
                </c:pt>
                <c:pt idx="900">
                  <c:v>8.7893000000000008</c:v>
                </c:pt>
                <c:pt idx="901">
                  <c:v>8.4867000000000008</c:v>
                </c:pt>
                <c:pt idx="902">
                  <c:v>8.6151</c:v>
                </c:pt>
                <c:pt idx="903">
                  <c:v>9.2855000000000008</c:v>
                </c:pt>
                <c:pt idx="904">
                  <c:v>11.9369</c:v>
                </c:pt>
                <c:pt idx="905">
                  <c:v>9.5584000000000007</c:v>
                </c:pt>
                <c:pt idx="906">
                  <c:v>17.779900000000001</c:v>
                </c:pt>
                <c:pt idx="907">
                  <c:v>12.341100000000001</c:v>
                </c:pt>
                <c:pt idx="908">
                  <c:v>7.7430000000000003</c:v>
                </c:pt>
                <c:pt idx="909">
                  <c:v>6.0921000000000003</c:v>
                </c:pt>
                <c:pt idx="910">
                  <c:v>3.8488000000000002</c:v>
                </c:pt>
                <c:pt idx="911">
                  <c:v>5.4321000000000002</c:v>
                </c:pt>
                <c:pt idx="912">
                  <c:v>6.1692</c:v>
                </c:pt>
                <c:pt idx="913">
                  <c:v>7.6501999999999999</c:v>
                </c:pt>
                <c:pt idx="914">
                  <c:v>4.8163999999999998</c:v>
                </c:pt>
                <c:pt idx="915">
                  <c:v>6.0331000000000001</c:v>
                </c:pt>
                <c:pt idx="916">
                  <c:v>7.8125999999999998</c:v>
                </c:pt>
                <c:pt idx="917">
                  <c:v>6.1215000000000002</c:v>
                </c:pt>
                <c:pt idx="918">
                  <c:v>8.6785999999999994</c:v>
                </c:pt>
                <c:pt idx="919">
                  <c:v>11.8058</c:v>
                </c:pt>
                <c:pt idx="920">
                  <c:v>7.3395000000000001</c:v>
                </c:pt>
                <c:pt idx="921">
                  <c:v>9.1410999999999998</c:v>
                </c:pt>
                <c:pt idx="922">
                  <c:v>5.6208999999999998</c:v>
                </c:pt>
                <c:pt idx="923">
                  <c:v>5.8361999999999998</c:v>
                </c:pt>
                <c:pt idx="924">
                  <c:v>8.2157</c:v>
                </c:pt>
                <c:pt idx="925">
                  <c:v>5.8663999999999996</c:v>
                </c:pt>
                <c:pt idx="926">
                  <c:v>5.9846000000000004</c:v>
                </c:pt>
                <c:pt idx="927">
                  <c:v>4.7096</c:v>
                </c:pt>
                <c:pt idx="928">
                  <c:v>6.2919999999999998</c:v>
                </c:pt>
                <c:pt idx="929">
                  <c:v>6.6009000000000002</c:v>
                </c:pt>
                <c:pt idx="930">
                  <c:v>6.1933999999999996</c:v>
                </c:pt>
                <c:pt idx="931">
                  <c:v>5.7508999999999997</c:v>
                </c:pt>
                <c:pt idx="932">
                  <c:v>4.4435000000000002</c:v>
                </c:pt>
                <c:pt idx="933">
                  <c:v>9.8620999999999999</c:v>
                </c:pt>
                <c:pt idx="934">
                  <c:v>3.8906000000000001</c:v>
                </c:pt>
                <c:pt idx="935">
                  <c:v>6.0709999999999997</c:v>
                </c:pt>
                <c:pt idx="936">
                  <c:v>9.1783999999999999</c:v>
                </c:pt>
                <c:pt idx="937">
                  <c:v>12.3567</c:v>
                </c:pt>
                <c:pt idx="938">
                  <c:v>3.6225999999999998</c:v>
                </c:pt>
                <c:pt idx="939">
                  <c:v>2.0516000000000001</c:v>
                </c:pt>
                <c:pt idx="940">
                  <c:v>3.4403000000000001</c:v>
                </c:pt>
                <c:pt idx="941">
                  <c:v>4.3399000000000001</c:v>
                </c:pt>
                <c:pt idx="942">
                  <c:v>4.8308</c:v>
                </c:pt>
                <c:pt idx="943">
                  <c:v>2.3043</c:v>
                </c:pt>
                <c:pt idx="944">
                  <c:v>6.5561999999999996</c:v>
                </c:pt>
                <c:pt idx="945">
                  <c:v>3.8107000000000002</c:v>
                </c:pt>
                <c:pt idx="946">
                  <c:v>4.8625999999999996</c:v>
                </c:pt>
                <c:pt idx="947">
                  <c:v>5.1504000000000003</c:v>
                </c:pt>
                <c:pt idx="948">
                  <c:v>6.1997</c:v>
                </c:pt>
                <c:pt idx="949">
                  <c:v>7.4089999999999998</c:v>
                </c:pt>
                <c:pt idx="950">
                  <c:v>11.5618</c:v>
                </c:pt>
                <c:pt idx="951">
                  <c:v>13.923400000000001</c:v>
                </c:pt>
                <c:pt idx="952">
                  <c:v>9.2299000000000007</c:v>
                </c:pt>
                <c:pt idx="953">
                  <c:v>22.922699999999999</c:v>
                </c:pt>
                <c:pt idx="954">
                  <c:v>13.512700000000001</c:v>
                </c:pt>
                <c:pt idx="955">
                  <c:v>18.004300000000001</c:v>
                </c:pt>
                <c:pt idx="956">
                  <c:v>9.3116000000000003</c:v>
                </c:pt>
                <c:pt idx="957">
                  <c:v>10.751799999999999</c:v>
                </c:pt>
                <c:pt idx="958">
                  <c:v>7.6125999999999996</c:v>
                </c:pt>
                <c:pt idx="959">
                  <c:v>9.5889000000000006</c:v>
                </c:pt>
                <c:pt idx="960">
                  <c:v>14.7193</c:v>
                </c:pt>
                <c:pt idx="961">
                  <c:v>8.3513999999999999</c:v>
                </c:pt>
                <c:pt idx="962">
                  <c:v>6.8006000000000002</c:v>
                </c:pt>
                <c:pt idx="963">
                  <c:v>9.7516999999999996</c:v>
                </c:pt>
                <c:pt idx="964">
                  <c:v>10.983000000000001</c:v>
                </c:pt>
                <c:pt idx="965">
                  <c:v>9.7782</c:v>
                </c:pt>
                <c:pt idx="966">
                  <c:v>9.9108999999999998</c:v>
                </c:pt>
                <c:pt idx="967">
                  <c:v>9.3751999999999995</c:v>
                </c:pt>
                <c:pt idx="968">
                  <c:v>9.6180000000000003</c:v>
                </c:pt>
                <c:pt idx="969">
                  <c:v>9.2499000000000002</c:v>
                </c:pt>
                <c:pt idx="970">
                  <c:v>8.5578000000000003</c:v>
                </c:pt>
                <c:pt idx="971">
                  <c:v>5.9142000000000001</c:v>
                </c:pt>
                <c:pt idx="972">
                  <c:v>9.9167000000000005</c:v>
                </c:pt>
                <c:pt idx="973">
                  <c:v>7.0381</c:v>
                </c:pt>
                <c:pt idx="974">
                  <c:v>10.7797</c:v>
                </c:pt>
                <c:pt idx="975">
                  <c:v>11.4146</c:v>
                </c:pt>
                <c:pt idx="976">
                  <c:v>10.7766</c:v>
                </c:pt>
                <c:pt idx="977">
                  <c:v>13.7782</c:v>
                </c:pt>
                <c:pt idx="978">
                  <c:v>12.509399999999999</c:v>
                </c:pt>
                <c:pt idx="979">
                  <c:v>9.2149999999999999</c:v>
                </c:pt>
                <c:pt idx="980">
                  <c:v>9.2332999999999998</c:v>
                </c:pt>
                <c:pt idx="981">
                  <c:v>10.2066</c:v>
                </c:pt>
                <c:pt idx="982">
                  <c:v>17.3856</c:v>
                </c:pt>
                <c:pt idx="983">
                  <c:v>9.9160000000000004</c:v>
                </c:pt>
                <c:pt idx="984">
                  <c:v>13.7782</c:v>
                </c:pt>
                <c:pt idx="985">
                  <c:v>12.465999999999999</c:v>
                </c:pt>
                <c:pt idx="986">
                  <c:v>11.305999999999999</c:v>
                </c:pt>
                <c:pt idx="987">
                  <c:v>15.9232</c:v>
                </c:pt>
                <c:pt idx="988">
                  <c:v>14.1852</c:v>
                </c:pt>
                <c:pt idx="989">
                  <c:v>17.695</c:v>
                </c:pt>
                <c:pt idx="990">
                  <c:v>15.292400000000001</c:v>
                </c:pt>
                <c:pt idx="991">
                  <c:v>10.913500000000001</c:v>
                </c:pt>
                <c:pt idx="992">
                  <c:v>7.7672999999999996</c:v>
                </c:pt>
                <c:pt idx="993">
                  <c:v>10.044499999999999</c:v>
                </c:pt>
                <c:pt idx="994">
                  <c:v>13.070399999999999</c:v>
                </c:pt>
                <c:pt idx="995">
                  <c:v>9.7108000000000008</c:v>
                </c:pt>
                <c:pt idx="996">
                  <c:v>19.376100000000001</c:v>
                </c:pt>
                <c:pt idx="997">
                  <c:v>18.677600000000002</c:v>
                </c:pt>
                <c:pt idx="998">
                  <c:v>7.5157999999999996</c:v>
                </c:pt>
                <c:pt idx="999">
                  <c:v>11.6059</c:v>
                </c:pt>
                <c:pt idx="1000">
                  <c:v>7.3910999999999998</c:v>
                </c:pt>
                <c:pt idx="1001">
                  <c:v>6.2495000000000003</c:v>
                </c:pt>
                <c:pt idx="1002">
                  <c:v>7.8661000000000003</c:v>
                </c:pt>
                <c:pt idx="1003">
                  <c:v>12.408200000000001</c:v>
                </c:pt>
                <c:pt idx="1004">
                  <c:v>13.5749</c:v>
                </c:pt>
                <c:pt idx="1005">
                  <c:v>9.7822999999999993</c:v>
                </c:pt>
                <c:pt idx="1006">
                  <c:v>16.2713</c:v>
                </c:pt>
                <c:pt idx="1007">
                  <c:v>19.388999999999999</c:v>
                </c:pt>
                <c:pt idx="1008">
                  <c:v>23.309899999999999</c:v>
                </c:pt>
                <c:pt idx="1009">
                  <c:v>12.944699999999999</c:v>
                </c:pt>
                <c:pt idx="1010">
                  <c:v>20.797799999999999</c:v>
                </c:pt>
                <c:pt idx="1011">
                  <c:v>25.884799999999998</c:v>
                </c:pt>
                <c:pt idx="1012">
                  <c:v>15.1335</c:v>
                </c:pt>
                <c:pt idx="1013">
                  <c:v>20.141999999999999</c:v>
                </c:pt>
                <c:pt idx="1014">
                  <c:v>16.8262</c:v>
                </c:pt>
                <c:pt idx="1015">
                  <c:v>21.244700000000002</c:v>
                </c:pt>
                <c:pt idx="1016">
                  <c:v>20.714099999999998</c:v>
                </c:pt>
                <c:pt idx="1017">
                  <c:v>20.6143</c:v>
                </c:pt>
                <c:pt idx="1018">
                  <c:v>10.459300000000001</c:v>
                </c:pt>
                <c:pt idx="1019">
                  <c:v>12.5693</c:v>
                </c:pt>
                <c:pt idx="1020">
                  <c:v>10.165699999999999</c:v>
                </c:pt>
                <c:pt idx="1021">
                  <c:v>7.5739999999999998</c:v>
                </c:pt>
                <c:pt idx="1022">
                  <c:v>7.5468999999999999</c:v>
                </c:pt>
                <c:pt idx="1023">
                  <c:v>7.7695999999999996</c:v>
                </c:pt>
                <c:pt idx="1024">
                  <c:v>7.0854999999999997</c:v>
                </c:pt>
                <c:pt idx="1025">
                  <c:v>7.7526999999999999</c:v>
                </c:pt>
                <c:pt idx="1026">
                  <c:v>8.9405000000000001</c:v>
                </c:pt>
                <c:pt idx="1027">
                  <c:v>5.6595000000000004</c:v>
                </c:pt>
                <c:pt idx="1028">
                  <c:v>8.3333999999999993</c:v>
                </c:pt>
                <c:pt idx="1029">
                  <c:v>5.4790000000000001</c:v>
                </c:pt>
                <c:pt idx="1030">
                  <c:v>11.433299999999999</c:v>
                </c:pt>
                <c:pt idx="1031">
                  <c:v>8.6424000000000003</c:v>
                </c:pt>
                <c:pt idx="1032">
                  <c:v>16.249500000000001</c:v>
                </c:pt>
                <c:pt idx="1033">
                  <c:v>8.5997000000000003</c:v>
                </c:pt>
                <c:pt idx="1034">
                  <c:v>8.6481999999999992</c:v>
                </c:pt>
                <c:pt idx="1035">
                  <c:v>8.0791000000000004</c:v>
                </c:pt>
                <c:pt idx="1036">
                  <c:v>12.914099999999999</c:v>
                </c:pt>
                <c:pt idx="1037">
                  <c:v>9.3943999999999992</c:v>
                </c:pt>
                <c:pt idx="1038">
                  <c:v>7.0655000000000001</c:v>
                </c:pt>
                <c:pt idx="1039">
                  <c:v>7.8632</c:v>
                </c:pt>
                <c:pt idx="1040">
                  <c:v>8.3450000000000006</c:v>
                </c:pt>
                <c:pt idx="1041">
                  <c:v>10.086499999999999</c:v>
                </c:pt>
                <c:pt idx="1042">
                  <c:v>9.0144000000000002</c:v>
                </c:pt>
                <c:pt idx="1043">
                  <c:v>6.6258999999999997</c:v>
                </c:pt>
                <c:pt idx="1044">
                  <c:v>8.5266000000000002</c:v>
                </c:pt>
                <c:pt idx="1045">
                  <c:v>12.638500000000001</c:v>
                </c:pt>
                <c:pt idx="1046">
                  <c:v>8.4754000000000005</c:v>
                </c:pt>
                <c:pt idx="1047">
                  <c:v>11.2196</c:v>
                </c:pt>
                <c:pt idx="1048">
                  <c:v>7.5416999999999996</c:v>
                </c:pt>
                <c:pt idx="1049">
                  <c:v>9.5908999999999995</c:v>
                </c:pt>
                <c:pt idx="1050">
                  <c:v>6.4259000000000004</c:v>
                </c:pt>
                <c:pt idx="1051">
                  <c:v>5.3867000000000003</c:v>
                </c:pt>
                <c:pt idx="1052">
                  <c:v>9.5457999999999998</c:v>
                </c:pt>
                <c:pt idx="1053">
                  <c:v>15.5312</c:v>
                </c:pt>
                <c:pt idx="1054">
                  <c:v>11.3626</c:v>
                </c:pt>
                <c:pt idx="1055">
                  <c:v>10.4719</c:v>
                </c:pt>
                <c:pt idx="1056">
                  <c:v>9.6041000000000007</c:v>
                </c:pt>
                <c:pt idx="1057">
                  <c:v>10.1289</c:v>
                </c:pt>
                <c:pt idx="1058">
                  <c:v>10.915900000000001</c:v>
                </c:pt>
                <c:pt idx="1059">
                  <c:v>37.327100000000002</c:v>
                </c:pt>
                <c:pt idx="1060">
                  <c:v>15.2728</c:v>
                </c:pt>
                <c:pt idx="1061">
                  <c:v>8.7637</c:v>
                </c:pt>
                <c:pt idx="1062">
                  <c:v>10.846500000000001</c:v>
                </c:pt>
                <c:pt idx="1063">
                  <c:v>14.3277</c:v>
                </c:pt>
                <c:pt idx="1064">
                  <c:v>13.5021</c:v>
                </c:pt>
                <c:pt idx="1065">
                  <c:v>12.7431</c:v>
                </c:pt>
                <c:pt idx="1066">
                  <c:v>15.0101</c:v>
                </c:pt>
                <c:pt idx="1067">
                  <c:v>9.4283000000000001</c:v>
                </c:pt>
                <c:pt idx="1068">
                  <c:v>4.2672999999999996</c:v>
                </c:pt>
                <c:pt idx="1069">
                  <c:v>8.7904</c:v>
                </c:pt>
                <c:pt idx="1070">
                  <c:v>10.8324</c:v>
                </c:pt>
                <c:pt idx="1071">
                  <c:v>13.0928</c:v>
                </c:pt>
                <c:pt idx="1072">
                  <c:v>27.407299999999999</c:v>
                </c:pt>
                <c:pt idx="1073">
                  <c:v>16.461200000000002</c:v>
                </c:pt>
                <c:pt idx="1074">
                  <c:v>14.495200000000001</c:v>
                </c:pt>
                <c:pt idx="1075">
                  <c:v>14.0136</c:v>
                </c:pt>
                <c:pt idx="1076">
                  <c:v>15.715299999999999</c:v>
                </c:pt>
                <c:pt idx="1077">
                  <c:v>13.528</c:v>
                </c:pt>
                <c:pt idx="1078">
                  <c:v>9.7067999999999994</c:v>
                </c:pt>
                <c:pt idx="1079">
                  <c:v>11.4693</c:v>
                </c:pt>
                <c:pt idx="1080">
                  <c:v>18.8705</c:v>
                </c:pt>
                <c:pt idx="1081">
                  <c:v>24.739699999999999</c:v>
                </c:pt>
                <c:pt idx="1082">
                  <c:v>14.675700000000001</c:v>
                </c:pt>
                <c:pt idx="1083">
                  <c:v>19.087800000000001</c:v>
                </c:pt>
                <c:pt idx="1084">
                  <c:v>21.715199999999999</c:v>
                </c:pt>
                <c:pt idx="1085">
                  <c:v>11.563700000000001</c:v>
                </c:pt>
                <c:pt idx="1086">
                  <c:v>13.2788</c:v>
                </c:pt>
                <c:pt idx="1087">
                  <c:v>15.926399999999999</c:v>
                </c:pt>
                <c:pt idx="1088">
                  <c:v>20.078399999999998</c:v>
                </c:pt>
                <c:pt idx="1089">
                  <c:v>18.306000000000001</c:v>
                </c:pt>
                <c:pt idx="1090">
                  <c:v>22.539899999999999</c:v>
                </c:pt>
                <c:pt idx="1091">
                  <c:v>16.9925</c:v>
                </c:pt>
                <c:pt idx="1092">
                  <c:v>19.616499999999998</c:v>
                </c:pt>
                <c:pt idx="1093">
                  <c:v>13.9099</c:v>
                </c:pt>
                <c:pt idx="1094">
                  <c:v>20.161799999999999</c:v>
                </c:pt>
                <c:pt idx="1095">
                  <c:v>18.403099999999998</c:v>
                </c:pt>
                <c:pt idx="1096">
                  <c:v>27.608699999999999</c:v>
                </c:pt>
                <c:pt idx="1097">
                  <c:v>18.6751</c:v>
                </c:pt>
                <c:pt idx="1098">
                  <c:v>9.0008999999999997</c:v>
                </c:pt>
                <c:pt idx="1099">
                  <c:v>11.116099999999999</c:v>
                </c:pt>
                <c:pt idx="1100">
                  <c:v>18.923300000000001</c:v>
                </c:pt>
                <c:pt idx="1101">
                  <c:v>22.9496</c:v>
                </c:pt>
                <c:pt idx="1102">
                  <c:v>19.9741</c:v>
                </c:pt>
                <c:pt idx="1103">
                  <c:v>33.953400000000002</c:v>
                </c:pt>
                <c:pt idx="1104">
                  <c:v>17.1874</c:v>
                </c:pt>
                <c:pt idx="1105">
                  <c:v>14.770200000000001</c:v>
                </c:pt>
                <c:pt idx="1106">
                  <c:v>10.264900000000001</c:v>
                </c:pt>
                <c:pt idx="1107">
                  <c:v>28.336300000000001</c:v>
                </c:pt>
                <c:pt idx="1108">
                  <c:v>17.333200000000001</c:v>
                </c:pt>
                <c:pt idx="1109">
                  <c:v>13.5031</c:v>
                </c:pt>
                <c:pt idx="1110">
                  <c:v>19.2636</c:v>
                </c:pt>
                <c:pt idx="1111">
                  <c:v>15.1677</c:v>
                </c:pt>
                <c:pt idx="1112">
                  <c:v>23.404</c:v>
                </c:pt>
                <c:pt idx="1113">
                  <c:v>25.547899999999998</c:v>
                </c:pt>
                <c:pt idx="1114">
                  <c:v>14.879899999999999</c:v>
                </c:pt>
                <c:pt idx="1115">
                  <c:v>17.812799999999999</c:v>
                </c:pt>
                <c:pt idx="1116">
                  <c:v>30.2376</c:v>
                </c:pt>
                <c:pt idx="1117">
                  <c:v>12.966900000000001</c:v>
                </c:pt>
                <c:pt idx="1118">
                  <c:v>18.852799999999998</c:v>
                </c:pt>
                <c:pt idx="1119">
                  <c:v>17.749400000000001</c:v>
                </c:pt>
                <c:pt idx="1120">
                  <c:v>32.050800000000002</c:v>
                </c:pt>
                <c:pt idx="1121">
                  <c:v>13.245799999999999</c:v>
                </c:pt>
                <c:pt idx="1122">
                  <c:v>54.720199999999998</c:v>
                </c:pt>
                <c:pt idx="1123">
                  <c:v>14.994199999999999</c:v>
                </c:pt>
                <c:pt idx="1124">
                  <c:v>11.5244</c:v>
                </c:pt>
                <c:pt idx="1125">
                  <c:v>17.049600000000002</c:v>
                </c:pt>
                <c:pt idx="1126">
                  <c:v>17.831199999999999</c:v>
                </c:pt>
                <c:pt idx="1127">
                  <c:v>19.4635</c:v>
                </c:pt>
                <c:pt idx="1128">
                  <c:v>19.3703</c:v>
                </c:pt>
                <c:pt idx="1129">
                  <c:v>13.331200000000001</c:v>
                </c:pt>
                <c:pt idx="1130">
                  <c:v>15.8992</c:v>
                </c:pt>
                <c:pt idx="1131">
                  <c:v>13.738799999999999</c:v>
                </c:pt>
                <c:pt idx="1132">
                  <c:v>15.110099999999999</c:v>
                </c:pt>
                <c:pt idx="1133">
                  <c:v>21.090499999999999</c:v>
                </c:pt>
                <c:pt idx="1134">
                  <c:v>15.1785</c:v>
                </c:pt>
                <c:pt idx="1135">
                  <c:v>13.231299999999999</c:v>
                </c:pt>
                <c:pt idx="1136">
                  <c:v>21.105899999999998</c:v>
                </c:pt>
                <c:pt idx="1137">
                  <c:v>15.1327</c:v>
                </c:pt>
                <c:pt idx="1138">
                  <c:v>9.9597999999999995</c:v>
                </c:pt>
                <c:pt idx="1139">
                  <c:v>19.1816</c:v>
                </c:pt>
                <c:pt idx="1140">
                  <c:v>23.613299999999999</c:v>
                </c:pt>
                <c:pt idx="1141">
                  <c:v>30.758900000000001</c:v>
                </c:pt>
                <c:pt idx="1142">
                  <c:v>12.874599999999999</c:v>
                </c:pt>
                <c:pt idx="1143">
                  <c:v>19.872900000000001</c:v>
                </c:pt>
                <c:pt idx="1144">
                  <c:v>24.526800000000001</c:v>
                </c:pt>
                <c:pt idx="1145">
                  <c:v>23.013100000000001</c:v>
                </c:pt>
                <c:pt idx="1146">
                  <c:v>14.1388</c:v>
                </c:pt>
                <c:pt idx="1147">
                  <c:v>8.4924999999999997</c:v>
                </c:pt>
                <c:pt idx="1148">
                  <c:v>11.499700000000001</c:v>
                </c:pt>
                <c:pt idx="1149">
                  <c:v>15.833299999999999</c:v>
                </c:pt>
                <c:pt idx="1150">
                  <c:v>13.8482</c:v>
                </c:pt>
                <c:pt idx="1151">
                  <c:v>14.1274</c:v>
                </c:pt>
                <c:pt idx="1152">
                  <c:v>13.4594</c:v>
                </c:pt>
                <c:pt idx="1153">
                  <c:v>12.2738</c:v>
                </c:pt>
                <c:pt idx="1154">
                  <c:v>10.752700000000001</c:v>
                </c:pt>
                <c:pt idx="1155">
                  <c:v>9.3229000000000006</c:v>
                </c:pt>
                <c:pt idx="1156">
                  <c:v>10.3416</c:v>
                </c:pt>
                <c:pt idx="1157">
                  <c:v>8.0945</c:v>
                </c:pt>
                <c:pt idx="1158">
                  <c:v>9.8899000000000008</c:v>
                </c:pt>
                <c:pt idx="1159">
                  <c:v>9.3703000000000003</c:v>
                </c:pt>
                <c:pt idx="1160">
                  <c:v>10.919499999999999</c:v>
                </c:pt>
                <c:pt idx="1161">
                  <c:v>10.3049</c:v>
                </c:pt>
                <c:pt idx="1162">
                  <c:v>11.2486</c:v>
                </c:pt>
                <c:pt idx="1163">
                  <c:v>10.426600000000001</c:v>
                </c:pt>
                <c:pt idx="1164">
                  <c:v>14.3713</c:v>
                </c:pt>
                <c:pt idx="1165">
                  <c:v>7.8076999999999996</c:v>
                </c:pt>
                <c:pt idx="1166">
                  <c:v>12.455</c:v>
                </c:pt>
                <c:pt idx="1167">
                  <c:v>16.657</c:v>
                </c:pt>
                <c:pt idx="1168">
                  <c:v>12.775</c:v>
                </c:pt>
                <c:pt idx="1169">
                  <c:v>10.433199999999999</c:v>
                </c:pt>
                <c:pt idx="1170">
                  <c:v>8.26</c:v>
                </c:pt>
                <c:pt idx="1171">
                  <c:v>3.6888999999999998</c:v>
                </c:pt>
                <c:pt idx="1172">
                  <c:v>5.5084</c:v>
                </c:pt>
                <c:pt idx="1173">
                  <c:v>6.6428000000000003</c:v>
                </c:pt>
                <c:pt idx="1174">
                  <c:v>7.4127000000000001</c:v>
                </c:pt>
                <c:pt idx="1175">
                  <c:v>18.299700000000001</c:v>
                </c:pt>
                <c:pt idx="1176">
                  <c:v>9.1982999999999997</c:v>
                </c:pt>
                <c:pt idx="1177">
                  <c:v>7.2095000000000002</c:v>
                </c:pt>
                <c:pt idx="1178">
                  <c:v>16.529</c:v>
                </c:pt>
                <c:pt idx="1179">
                  <c:v>10.143599999999999</c:v>
                </c:pt>
                <c:pt idx="1180">
                  <c:v>12.986499999999999</c:v>
                </c:pt>
                <c:pt idx="1181">
                  <c:v>7.9558999999999997</c:v>
                </c:pt>
                <c:pt idx="1182">
                  <c:v>8.0912000000000006</c:v>
                </c:pt>
                <c:pt idx="1183">
                  <c:v>14.0588</c:v>
                </c:pt>
                <c:pt idx="1184">
                  <c:v>15.9749</c:v>
                </c:pt>
                <c:pt idx="1185">
                  <c:v>29.526499999999999</c:v>
                </c:pt>
                <c:pt idx="1186">
                  <c:v>118.7058</c:v>
                </c:pt>
                <c:pt idx="1187">
                  <c:v>23.938800000000001</c:v>
                </c:pt>
                <c:pt idx="1188">
                  <c:v>13.291700000000001</c:v>
                </c:pt>
                <c:pt idx="1189">
                  <c:v>13.262499999999999</c:v>
                </c:pt>
                <c:pt idx="1190">
                  <c:v>6.2039999999999997</c:v>
                </c:pt>
                <c:pt idx="1191">
                  <c:v>6.0755999999999997</c:v>
                </c:pt>
                <c:pt idx="1192">
                  <c:v>6.8673999999999999</c:v>
                </c:pt>
                <c:pt idx="1193">
                  <c:v>4.5240999999999998</c:v>
                </c:pt>
                <c:pt idx="1194">
                  <c:v>8.3277000000000001</c:v>
                </c:pt>
                <c:pt idx="1195">
                  <c:v>16.098800000000001</c:v>
                </c:pt>
                <c:pt idx="1196">
                  <c:v>11.9069</c:v>
                </c:pt>
                <c:pt idx="1197">
                  <c:v>8.9600000000000009</c:v>
                </c:pt>
                <c:pt idx="1198">
                  <c:v>7.4615999999999998</c:v>
                </c:pt>
                <c:pt idx="1199">
                  <c:v>6.3563000000000001</c:v>
                </c:pt>
                <c:pt idx="1200">
                  <c:v>12.8116</c:v>
                </c:pt>
                <c:pt idx="1201">
                  <c:v>19.913499999999999</c:v>
                </c:pt>
                <c:pt idx="1202">
                  <c:v>37.606900000000003</c:v>
                </c:pt>
                <c:pt idx="1203">
                  <c:v>19.0778</c:v>
                </c:pt>
                <c:pt idx="1204">
                  <c:v>12.7927</c:v>
                </c:pt>
                <c:pt idx="1205">
                  <c:v>8.8854000000000006</c:v>
                </c:pt>
                <c:pt idx="1206">
                  <c:v>9.3118999999999996</c:v>
                </c:pt>
                <c:pt idx="1207">
                  <c:v>7.3463000000000003</c:v>
                </c:pt>
                <c:pt idx="1208">
                  <c:v>4.3475999999999999</c:v>
                </c:pt>
                <c:pt idx="1209">
                  <c:v>5.1623999999999999</c:v>
                </c:pt>
                <c:pt idx="1210">
                  <c:v>7.9602000000000004</c:v>
                </c:pt>
                <c:pt idx="1211">
                  <c:v>8.7292000000000005</c:v>
                </c:pt>
                <c:pt idx="1212">
                  <c:v>15.133900000000001</c:v>
                </c:pt>
                <c:pt idx="1213">
                  <c:v>17.1905</c:v>
                </c:pt>
                <c:pt idx="1214">
                  <c:v>14.203799999999999</c:v>
                </c:pt>
                <c:pt idx="1215">
                  <c:v>29.449200000000001</c:v>
                </c:pt>
                <c:pt idx="1216">
                  <c:v>32.385599999999997</c:v>
                </c:pt>
                <c:pt idx="1217">
                  <c:v>13.642799999999999</c:v>
                </c:pt>
                <c:pt idx="1218">
                  <c:v>14.6225</c:v>
                </c:pt>
                <c:pt idx="1219">
                  <c:v>10.2782</c:v>
                </c:pt>
                <c:pt idx="1220">
                  <c:v>9.9780999999999995</c:v>
                </c:pt>
                <c:pt idx="1221">
                  <c:v>12.472899999999999</c:v>
                </c:pt>
                <c:pt idx="1222">
                  <c:v>32.387500000000003</c:v>
                </c:pt>
                <c:pt idx="1223">
                  <c:v>19.8383</c:v>
                </c:pt>
                <c:pt idx="1224">
                  <c:v>23.069500000000001</c:v>
                </c:pt>
                <c:pt idx="1225">
                  <c:v>14.666600000000001</c:v>
                </c:pt>
                <c:pt idx="1226">
                  <c:v>18.068200000000001</c:v>
                </c:pt>
                <c:pt idx="1227">
                  <c:v>15.8459</c:v>
                </c:pt>
                <c:pt idx="1228">
                  <c:v>23.772099999999998</c:v>
                </c:pt>
                <c:pt idx="1229">
                  <c:v>25.141200000000001</c:v>
                </c:pt>
                <c:pt idx="1230">
                  <c:v>28.804500000000001</c:v>
                </c:pt>
                <c:pt idx="1231">
                  <c:v>19.283300000000001</c:v>
                </c:pt>
                <c:pt idx="1232">
                  <c:v>16.921500000000002</c:v>
                </c:pt>
                <c:pt idx="1233">
                  <c:v>10.539300000000001</c:v>
                </c:pt>
                <c:pt idx="1234">
                  <c:v>11.463100000000001</c:v>
                </c:pt>
                <c:pt idx="1235">
                  <c:v>20.009499999999999</c:v>
                </c:pt>
                <c:pt idx="1236">
                  <c:v>14.782299999999999</c:v>
                </c:pt>
                <c:pt idx="1237">
                  <c:v>15.2174</c:v>
                </c:pt>
                <c:pt idx="1238">
                  <c:v>14.572800000000001</c:v>
                </c:pt>
                <c:pt idx="1239">
                  <c:v>17.286899999999999</c:v>
                </c:pt>
                <c:pt idx="1240">
                  <c:v>15.353300000000001</c:v>
                </c:pt>
                <c:pt idx="1241">
                  <c:v>16.372599999999998</c:v>
                </c:pt>
                <c:pt idx="1242">
                  <c:v>10.4565</c:v>
                </c:pt>
                <c:pt idx="1243">
                  <c:v>22.523199999999999</c:v>
                </c:pt>
                <c:pt idx="1244">
                  <c:v>22.008800000000001</c:v>
                </c:pt>
                <c:pt idx="1245">
                  <c:v>25.447600000000001</c:v>
                </c:pt>
                <c:pt idx="1246">
                  <c:v>24.3172</c:v>
                </c:pt>
                <c:pt idx="1247">
                  <c:v>100.9795</c:v>
                </c:pt>
                <c:pt idx="1248">
                  <c:v>15.9831</c:v>
                </c:pt>
                <c:pt idx="1249">
                  <c:v>11.069900000000001</c:v>
                </c:pt>
                <c:pt idx="1250">
                  <c:v>11.348100000000001</c:v>
                </c:pt>
                <c:pt idx="1251">
                  <c:v>8.7505000000000006</c:v>
                </c:pt>
                <c:pt idx="1252">
                  <c:v>11.866899999999999</c:v>
                </c:pt>
                <c:pt idx="1253">
                  <c:v>10.980700000000001</c:v>
                </c:pt>
              </c:numCache>
            </c:numRef>
          </c:val>
          <c:extLst>
            <c:ext xmlns:c16="http://schemas.microsoft.com/office/drawing/2014/chart" uri="{C3380CC4-5D6E-409C-BE32-E72D297353CC}">
              <c16:uniqueId val="{00000000-30AB-4192-A843-F68A86A3E660}"/>
            </c:ext>
          </c:extLst>
        </c:ser>
        <c:dLbls>
          <c:showLegendKey val="0"/>
          <c:showVal val="0"/>
          <c:showCatName val="0"/>
          <c:showSerName val="0"/>
          <c:showPercent val="0"/>
          <c:showBubbleSize val="0"/>
        </c:dLbls>
        <c:gapWidth val="100"/>
        <c:overlap val="-24"/>
        <c:axId val="990414063"/>
        <c:axId val="990418223"/>
      </c:barChart>
      <c:dateAx>
        <c:axId val="990414063"/>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26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0418223"/>
        <c:crosses val="autoZero"/>
        <c:auto val="1"/>
        <c:lblOffset val="100"/>
        <c:baseTimeUnit val="days"/>
      </c:dateAx>
      <c:valAx>
        <c:axId val="99041822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90414063"/>
        <c:crosses val="autoZero"/>
        <c:crossBetween val="between"/>
        <c:majorUnit val="3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27891513560805"/>
          <c:y val="7.0512758070189682E-2"/>
          <c:w val="0.5983910609806774"/>
          <c:h val="0.7807802245004161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3-2DEF-4467-AB13-A5766B75FD04}"/>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2DEF-4467-AB13-A5766B75FD04}"/>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DEF-4467-AB13-A5766B75FD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'Share Price'!$I$34:$I$38</c:f>
              <c:strCache>
                <c:ptCount val="5"/>
                <c:pt idx="0">
                  <c:v>DIIs</c:v>
                </c:pt>
                <c:pt idx="1">
                  <c:v>FIIs</c:v>
                </c:pt>
                <c:pt idx="2">
                  <c:v>Promoters</c:v>
                </c:pt>
                <c:pt idx="3">
                  <c:v>Public &amp; Government</c:v>
                </c:pt>
                <c:pt idx="4">
                  <c:v>Others</c:v>
                </c:pt>
              </c:strCache>
            </c:strRef>
          </c:cat>
          <c:val>
            <c:numRef>
              <c:f>'Share Price'!$J$34:$J$38</c:f>
              <c:numCache>
                <c:formatCode>0.00%</c:formatCode>
                <c:ptCount val="5"/>
                <c:pt idx="0">
                  <c:v>0.43190000000000001</c:v>
                </c:pt>
                <c:pt idx="1">
                  <c:v>0.28449999999999998</c:v>
                </c:pt>
                <c:pt idx="2">
                  <c:v>0.14380000000000001</c:v>
                </c:pt>
                <c:pt idx="3">
                  <c:v>0.13739999999999999</c:v>
                </c:pt>
                <c:pt idx="4">
                  <c:v>2.3E-3</c:v>
                </c:pt>
              </c:numCache>
            </c:numRef>
          </c:val>
          <c:extLst>
            <c:ext xmlns:c16="http://schemas.microsoft.com/office/drawing/2014/chart" uri="{C3380CC4-5D6E-409C-BE32-E72D297353CC}">
              <c16:uniqueId val="{00000000-2DEF-4467-AB13-A5766B75FD04}"/>
            </c:ext>
          </c:extLst>
        </c:ser>
        <c:dLbls>
          <c:showLegendKey val="0"/>
          <c:showVal val="0"/>
          <c:showCatName val="0"/>
          <c:showSerName val="0"/>
          <c:showPercent val="0"/>
          <c:showBubbleSize val="0"/>
        </c:dLbls>
        <c:gapWidth val="54"/>
        <c:axId val="937898879"/>
        <c:axId val="937879327"/>
      </c:barChart>
      <c:catAx>
        <c:axId val="93789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879327"/>
        <c:crosses val="autoZero"/>
        <c:auto val="1"/>
        <c:lblAlgn val="ctr"/>
        <c:lblOffset val="100"/>
        <c:noMultiLvlLbl val="0"/>
      </c:catAx>
      <c:valAx>
        <c:axId val="937879327"/>
        <c:scaling>
          <c:orientation val="minMax"/>
          <c:max val="0.5"/>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37898879"/>
        <c:crosses val="autoZero"/>
        <c:crossBetween val="between"/>
        <c:majorUnit val="0.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59055</xdr:colOff>
      <xdr:row>3</xdr:row>
      <xdr:rowOff>38101</xdr:rowOff>
    </xdr:from>
    <xdr:to>
      <xdr:col>1</xdr:col>
      <xdr:colOff>1514475</xdr:colOff>
      <xdr:row>3</xdr:row>
      <xdr:rowOff>712523</xdr:rowOff>
    </xdr:to>
    <xdr:pic>
      <xdr:nvPicPr>
        <xdr:cNvPr id="2" name="Picture 1" descr="Infosys logo and symbol, meaning, history, PNG"/>
        <xdr:cNvPicPr>
          <a:picLocks noChangeAspect="1" noChangeArrowheads="1"/>
        </xdr:cNvPicPr>
      </xdr:nvPicPr>
      <xdr:blipFill>
        <a:blip xmlns:r="http://schemas.openxmlformats.org/officeDocument/2006/relationships" r:embed="rId1" cstate="hqprint">
          <a:extLst>
            <a:ext uri="{28A0092B-C50C-407E-A947-70E740481C1C}">
              <a14:useLocalDpi xmlns:a14="http://schemas.microsoft.com/office/drawing/2010/main" val="0"/>
            </a:ext>
          </a:extLst>
        </a:blip>
        <a:srcRect/>
        <a:stretch>
          <a:fillRect/>
        </a:stretch>
      </xdr:blipFill>
      <xdr:spPr bwMode="auto">
        <a:xfrm>
          <a:off x="182880" y="504826"/>
          <a:ext cx="1455420" cy="674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84665</xdr:colOff>
      <xdr:row>7</xdr:row>
      <xdr:rowOff>137583</xdr:rowOff>
    </xdr:from>
    <xdr:to>
      <xdr:col>11</xdr:col>
      <xdr:colOff>137583</xdr:colOff>
      <xdr:row>17</xdr:row>
      <xdr:rowOff>10582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158749</xdr:colOff>
      <xdr:row>20</xdr:row>
      <xdr:rowOff>42334</xdr:rowOff>
    </xdr:from>
    <xdr:to>
      <xdr:col>11</xdr:col>
      <xdr:colOff>130969</xdr:colOff>
      <xdr:row>26</xdr:row>
      <xdr:rowOff>95250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119062</xdr:colOff>
      <xdr:row>30</xdr:row>
      <xdr:rowOff>-1</xdr:rowOff>
    </xdr:from>
    <xdr:to>
      <xdr:col>11</xdr:col>
      <xdr:colOff>59531</xdr:colOff>
      <xdr:row>38</xdr:row>
      <xdr:rowOff>142874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457201</xdr:colOff>
      <xdr:row>1</xdr:row>
      <xdr:rowOff>123825</xdr:rowOff>
    </xdr:from>
    <xdr:to>
      <xdr:col>11</xdr:col>
      <xdr:colOff>38101</xdr:colOff>
      <xdr:row>11</xdr:row>
      <xdr:rowOff>85725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381000</xdr:colOff>
      <xdr:row>3</xdr:row>
      <xdr:rowOff>19050</xdr:rowOff>
    </xdr:from>
    <xdr:to>
      <xdr:col>17</xdr:col>
      <xdr:colOff>247650</xdr:colOff>
      <xdr:row>11</xdr:row>
      <xdr:rowOff>85725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304800</xdr:colOff>
      <xdr:row>32</xdr:row>
      <xdr:rowOff>9525</xdr:rowOff>
    </xdr:from>
    <xdr:to>
      <xdr:col>7</xdr:col>
      <xdr:colOff>2809875</xdr:colOff>
      <xdr:row>40</xdr:row>
      <xdr:rowOff>171450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AG137"/>
  <sheetViews>
    <sheetView workbookViewId="0">
      <selection activeCell="C4" sqref="C4:Q4"/>
    </sheetView>
  </sheetViews>
  <sheetFormatPr defaultRowHeight="15" x14ac:dyDescent="0.25"/>
  <cols>
    <col min="2" max="2" width="21.140625" customWidth="1"/>
  </cols>
  <sheetData>
    <row r="4" spans="2:33" s="34" customFormat="1" ht="57.75" customHeight="1" x14ac:dyDescent="0.25">
      <c r="B4" s="37" t="s">
        <v>93</v>
      </c>
      <c r="C4" s="83" t="s">
        <v>118</v>
      </c>
      <c r="D4" s="83"/>
      <c r="E4" s="83"/>
      <c r="F4" s="83"/>
      <c r="G4" s="83"/>
      <c r="H4" s="83"/>
      <c r="I4" s="83"/>
      <c r="J4" s="83"/>
      <c r="K4" s="83"/>
      <c r="L4" s="83"/>
      <c r="M4" s="83"/>
      <c r="N4" s="83"/>
      <c r="O4" s="83"/>
      <c r="P4" s="83"/>
      <c r="Q4" s="83"/>
      <c r="R4" s="35"/>
      <c r="S4" s="35"/>
      <c r="T4" s="35"/>
      <c r="U4" s="35"/>
      <c r="V4" s="35"/>
      <c r="W4" s="35"/>
      <c r="X4" s="35"/>
      <c r="Y4" s="35"/>
      <c r="Z4" s="35"/>
      <c r="AA4" s="35"/>
      <c r="AB4" s="35"/>
      <c r="AC4" s="35"/>
      <c r="AD4" s="35"/>
      <c r="AE4" s="35"/>
      <c r="AF4" s="35"/>
      <c r="AG4" s="35"/>
    </row>
    <row r="5" spans="2:33" x14ac:dyDescent="0.25">
      <c r="C5" s="36"/>
      <c r="D5" s="36"/>
      <c r="E5" s="36"/>
      <c r="F5" s="36"/>
      <c r="G5" s="36"/>
      <c r="H5" s="36"/>
      <c r="I5" s="36"/>
      <c r="J5" s="36"/>
      <c r="K5" s="36"/>
      <c r="L5" s="36"/>
      <c r="M5" s="36"/>
      <c r="N5" s="36"/>
      <c r="O5" s="36"/>
      <c r="P5" s="36"/>
      <c r="Q5" s="36"/>
    </row>
    <row r="6" spans="2:33" x14ac:dyDescent="0.25">
      <c r="C6" s="36"/>
      <c r="D6" s="36"/>
      <c r="E6" s="36"/>
      <c r="F6" s="36"/>
      <c r="G6" s="36"/>
      <c r="H6" s="36"/>
      <c r="I6" s="36"/>
      <c r="J6" s="36"/>
      <c r="K6" s="36"/>
      <c r="L6" s="36"/>
      <c r="M6" s="36"/>
      <c r="N6" s="36"/>
      <c r="O6" s="36"/>
      <c r="P6" s="36"/>
      <c r="Q6" s="36"/>
    </row>
    <row r="7" spans="2:33" x14ac:dyDescent="0.25">
      <c r="C7" s="36"/>
      <c r="D7" s="36"/>
      <c r="E7" s="36"/>
      <c r="F7" s="36"/>
      <c r="G7" s="36"/>
      <c r="H7" s="36"/>
      <c r="I7" s="36"/>
      <c r="J7" s="36"/>
      <c r="K7" s="36"/>
      <c r="L7" s="36"/>
      <c r="M7" s="36"/>
      <c r="N7" s="36"/>
      <c r="O7" s="36"/>
      <c r="P7" s="36"/>
      <c r="Q7" s="36"/>
    </row>
    <row r="8" spans="2:33" x14ac:dyDescent="0.25">
      <c r="C8" s="36"/>
      <c r="D8" s="36"/>
      <c r="E8" s="36"/>
      <c r="F8" s="36"/>
      <c r="G8" s="36"/>
      <c r="H8" s="36"/>
      <c r="I8" s="36"/>
      <c r="J8" s="36"/>
      <c r="K8" s="36"/>
      <c r="L8" s="36"/>
      <c r="M8" s="36"/>
      <c r="N8" s="36"/>
      <c r="O8" s="36"/>
      <c r="P8" s="36"/>
      <c r="Q8" s="36"/>
    </row>
    <row r="9" spans="2:33" x14ac:dyDescent="0.25">
      <c r="C9" s="36"/>
      <c r="D9" s="36"/>
      <c r="E9" s="36"/>
      <c r="F9" s="36"/>
      <c r="G9" s="36"/>
      <c r="H9" s="36"/>
      <c r="I9" s="36"/>
      <c r="J9" s="36"/>
      <c r="K9" s="36"/>
      <c r="L9" s="36"/>
      <c r="M9" s="36"/>
      <c r="N9" s="36"/>
      <c r="O9" s="36"/>
      <c r="P9" s="36"/>
      <c r="Q9" s="36"/>
    </row>
    <row r="10" spans="2:33" x14ac:dyDescent="0.25">
      <c r="C10" s="36"/>
      <c r="D10" s="36"/>
      <c r="E10" s="36"/>
      <c r="F10" s="36"/>
      <c r="G10" s="36"/>
      <c r="H10" s="36"/>
      <c r="I10" s="36"/>
      <c r="J10" s="36"/>
      <c r="K10" s="36"/>
      <c r="L10" s="36"/>
      <c r="M10" s="36"/>
      <c r="N10" s="36"/>
      <c r="O10" s="36"/>
      <c r="P10" s="36"/>
      <c r="Q10" s="36"/>
    </row>
    <row r="11" spans="2:33" x14ac:dyDescent="0.25">
      <c r="C11" s="36"/>
      <c r="D11" s="36"/>
      <c r="E11" s="36"/>
      <c r="F11" s="36"/>
      <c r="G11" s="36"/>
      <c r="H11" s="36"/>
      <c r="I11" s="36"/>
      <c r="J11" s="36"/>
      <c r="K11" s="36"/>
      <c r="L11" s="36"/>
      <c r="M11" s="36"/>
      <c r="N11" s="36"/>
      <c r="O11" s="36"/>
      <c r="P11" s="36"/>
      <c r="Q11" s="36"/>
    </row>
    <row r="12" spans="2:33" x14ac:dyDescent="0.25">
      <c r="C12" s="36"/>
      <c r="D12" s="36"/>
      <c r="E12" s="36"/>
      <c r="F12" s="36"/>
      <c r="G12" s="36"/>
      <c r="H12" s="36"/>
      <c r="I12" s="36"/>
      <c r="J12" s="36"/>
      <c r="K12" s="36"/>
      <c r="L12" s="36"/>
      <c r="M12" s="36"/>
      <c r="N12" s="36"/>
      <c r="O12" s="36"/>
      <c r="P12" s="36"/>
      <c r="Q12" s="36"/>
    </row>
    <row r="13" spans="2:33" x14ac:dyDescent="0.25">
      <c r="C13" s="36"/>
      <c r="D13" s="36"/>
      <c r="E13" s="36"/>
      <c r="F13" s="36"/>
      <c r="G13" s="36"/>
      <c r="H13" s="36"/>
      <c r="I13" s="36"/>
      <c r="J13" s="36"/>
      <c r="K13" s="36"/>
      <c r="L13" s="36"/>
      <c r="M13" s="36"/>
      <c r="N13" s="36"/>
      <c r="O13" s="36"/>
      <c r="P13" s="36"/>
      <c r="Q13" s="36"/>
    </row>
    <row r="14" spans="2:33" x14ac:dyDescent="0.25">
      <c r="C14" s="36"/>
      <c r="D14" s="36"/>
      <c r="E14" s="36"/>
      <c r="F14" s="36"/>
      <c r="G14" s="36"/>
      <c r="H14" s="36"/>
      <c r="I14" s="36"/>
      <c r="J14" s="36"/>
      <c r="K14" s="36"/>
      <c r="L14" s="36"/>
      <c r="M14" s="36"/>
      <c r="N14" s="36"/>
      <c r="O14" s="36"/>
      <c r="P14" s="36"/>
      <c r="Q14" s="36"/>
    </row>
    <row r="15" spans="2:33" x14ac:dyDescent="0.25">
      <c r="C15" s="36"/>
      <c r="D15" s="36"/>
      <c r="E15" s="36"/>
      <c r="F15" s="36"/>
      <c r="G15" s="36"/>
      <c r="H15" s="36"/>
      <c r="I15" s="36"/>
      <c r="J15" s="36"/>
      <c r="K15" s="36"/>
      <c r="L15" s="36"/>
      <c r="M15" s="36"/>
      <c r="N15" s="36"/>
      <c r="O15" s="36"/>
      <c r="P15" s="36"/>
      <c r="Q15" s="36"/>
    </row>
    <row r="16" spans="2:33" x14ac:dyDescent="0.25">
      <c r="C16" s="36"/>
      <c r="D16" s="36"/>
      <c r="E16" s="36"/>
      <c r="F16" s="36"/>
      <c r="G16" s="36"/>
      <c r="H16" s="36"/>
      <c r="I16" s="36"/>
      <c r="J16" s="36"/>
      <c r="K16" s="36"/>
      <c r="L16" s="36"/>
      <c r="M16" s="36"/>
      <c r="N16" s="36"/>
      <c r="O16" s="36"/>
      <c r="P16" s="36"/>
      <c r="Q16" s="36"/>
    </row>
    <row r="17" spans="3:17" x14ac:dyDescent="0.25">
      <c r="C17" s="36"/>
      <c r="D17" s="36"/>
      <c r="E17" s="36"/>
      <c r="F17" s="36"/>
      <c r="G17" s="36"/>
      <c r="H17" s="36"/>
      <c r="I17" s="36"/>
      <c r="J17" s="36"/>
      <c r="K17" s="36"/>
      <c r="L17" s="36"/>
      <c r="M17" s="36"/>
      <c r="N17" s="36"/>
      <c r="O17" s="36"/>
      <c r="P17" s="36"/>
      <c r="Q17" s="36"/>
    </row>
    <row r="18" spans="3:17" x14ac:dyDescent="0.25">
      <c r="C18" s="36"/>
      <c r="D18" s="36"/>
      <c r="E18" s="36"/>
      <c r="F18" s="36"/>
      <c r="G18" s="36"/>
      <c r="H18" s="36"/>
      <c r="I18" s="36"/>
      <c r="J18" s="36"/>
      <c r="K18" s="36"/>
      <c r="L18" s="36"/>
      <c r="M18" s="36"/>
      <c r="N18" s="36"/>
      <c r="O18" s="36"/>
      <c r="P18" s="36"/>
      <c r="Q18" s="36"/>
    </row>
    <row r="19" spans="3:17" x14ac:dyDescent="0.25">
      <c r="C19" s="36"/>
      <c r="D19" s="36"/>
      <c r="E19" s="36"/>
      <c r="F19" s="36"/>
      <c r="G19" s="36"/>
      <c r="H19" s="36"/>
      <c r="I19" s="36"/>
      <c r="J19" s="36"/>
      <c r="K19" s="36"/>
      <c r="L19" s="36"/>
      <c r="M19" s="36"/>
      <c r="N19" s="36"/>
      <c r="O19" s="36"/>
      <c r="P19" s="36"/>
      <c r="Q19" s="36"/>
    </row>
    <row r="20" spans="3:17" x14ac:dyDescent="0.25">
      <c r="C20" s="36"/>
      <c r="D20" s="36"/>
      <c r="E20" s="36"/>
      <c r="F20" s="36"/>
      <c r="G20" s="36"/>
      <c r="H20" s="36"/>
      <c r="I20" s="36"/>
      <c r="J20" s="36"/>
      <c r="K20" s="36"/>
      <c r="L20" s="36"/>
      <c r="M20" s="36"/>
      <c r="N20" s="36"/>
      <c r="O20" s="36"/>
      <c r="P20" s="36"/>
      <c r="Q20" s="36"/>
    </row>
    <row r="21" spans="3:17" x14ac:dyDescent="0.25">
      <c r="C21" s="36"/>
      <c r="D21" s="36"/>
      <c r="E21" s="36"/>
      <c r="F21" s="36"/>
      <c r="G21" s="36"/>
      <c r="H21" s="36"/>
      <c r="I21" s="36"/>
      <c r="J21" s="36"/>
      <c r="K21" s="36"/>
      <c r="L21" s="36"/>
      <c r="M21" s="36"/>
      <c r="N21" s="36"/>
      <c r="O21" s="36"/>
      <c r="P21" s="36"/>
      <c r="Q21" s="36"/>
    </row>
    <row r="22" spans="3:17" x14ac:dyDescent="0.25">
      <c r="C22" s="36"/>
      <c r="D22" s="36"/>
      <c r="E22" s="36"/>
      <c r="F22" s="36"/>
      <c r="G22" s="36"/>
      <c r="H22" s="36"/>
      <c r="I22" s="36"/>
      <c r="J22" s="36"/>
      <c r="K22" s="36"/>
      <c r="L22" s="36"/>
      <c r="M22" s="36"/>
      <c r="N22" s="36"/>
      <c r="O22" s="36"/>
      <c r="P22" s="36"/>
      <c r="Q22" s="36"/>
    </row>
    <row r="23" spans="3:17" x14ac:dyDescent="0.25">
      <c r="C23" s="36"/>
      <c r="D23" s="36"/>
      <c r="E23" s="36"/>
      <c r="F23" s="36"/>
      <c r="G23" s="36"/>
      <c r="H23" s="36"/>
      <c r="I23" s="36"/>
      <c r="J23" s="36"/>
      <c r="K23" s="36"/>
      <c r="L23" s="36"/>
      <c r="M23" s="36"/>
      <c r="N23" s="36"/>
      <c r="O23" s="36"/>
      <c r="P23" s="36"/>
      <c r="Q23" s="36"/>
    </row>
    <row r="24" spans="3:17" x14ac:dyDescent="0.25">
      <c r="C24" s="36"/>
      <c r="D24" s="36"/>
      <c r="E24" s="36"/>
      <c r="F24" s="36"/>
      <c r="G24" s="36"/>
      <c r="H24" s="36"/>
      <c r="I24" s="36"/>
      <c r="J24" s="36"/>
      <c r="K24" s="36"/>
      <c r="L24" s="36"/>
      <c r="M24" s="36"/>
      <c r="N24" s="36"/>
      <c r="O24" s="36"/>
      <c r="P24" s="36"/>
      <c r="Q24" s="36"/>
    </row>
    <row r="25" spans="3:17" x14ac:dyDescent="0.25">
      <c r="C25" s="36"/>
      <c r="D25" s="36"/>
      <c r="E25" s="36"/>
      <c r="F25" s="36"/>
      <c r="G25" s="36"/>
      <c r="H25" s="36"/>
      <c r="I25" s="36"/>
      <c r="J25" s="36"/>
      <c r="K25" s="36"/>
      <c r="L25" s="36"/>
      <c r="M25" s="36"/>
      <c r="N25" s="36"/>
      <c r="O25" s="36"/>
      <c r="P25" s="36"/>
      <c r="Q25" s="36"/>
    </row>
    <row r="26" spans="3:17" x14ac:dyDescent="0.25">
      <c r="C26" s="36"/>
      <c r="D26" s="36"/>
      <c r="E26" s="36"/>
      <c r="F26" s="36"/>
      <c r="G26" s="36"/>
      <c r="H26" s="36"/>
      <c r="I26" s="36"/>
      <c r="J26" s="36"/>
      <c r="K26" s="36"/>
      <c r="L26" s="36"/>
      <c r="M26" s="36"/>
      <c r="N26" s="36"/>
      <c r="O26" s="36"/>
      <c r="P26" s="36"/>
      <c r="Q26" s="36"/>
    </row>
    <row r="27" spans="3:17" x14ac:dyDescent="0.25">
      <c r="C27" s="36"/>
      <c r="D27" s="36"/>
      <c r="E27" s="36"/>
      <c r="F27" s="36"/>
      <c r="G27" s="36"/>
      <c r="H27" s="36"/>
      <c r="I27" s="36"/>
      <c r="J27" s="36"/>
      <c r="K27" s="36"/>
      <c r="L27" s="36"/>
      <c r="M27" s="36"/>
      <c r="N27" s="36"/>
      <c r="O27" s="36"/>
      <c r="P27" s="36"/>
      <c r="Q27" s="36"/>
    </row>
    <row r="28" spans="3:17" x14ac:dyDescent="0.25">
      <c r="C28" s="36"/>
      <c r="D28" s="36"/>
      <c r="E28" s="36"/>
      <c r="F28" s="36"/>
      <c r="G28" s="36"/>
      <c r="H28" s="36"/>
      <c r="I28" s="36"/>
      <c r="J28" s="36"/>
      <c r="K28" s="36"/>
      <c r="L28" s="36"/>
      <c r="M28" s="36"/>
      <c r="N28" s="36"/>
      <c r="O28" s="36"/>
      <c r="P28" s="36"/>
      <c r="Q28" s="36"/>
    </row>
    <row r="29" spans="3:17" x14ac:dyDescent="0.25">
      <c r="C29" s="36"/>
      <c r="D29" s="36"/>
      <c r="E29" s="36"/>
      <c r="F29" s="36"/>
      <c r="G29" s="36"/>
      <c r="H29" s="36"/>
      <c r="I29" s="36"/>
      <c r="J29" s="36"/>
      <c r="K29" s="36"/>
      <c r="L29" s="36"/>
      <c r="M29" s="36"/>
      <c r="N29" s="36"/>
      <c r="O29" s="36"/>
      <c r="P29" s="36"/>
      <c r="Q29" s="36"/>
    </row>
    <row r="30" spans="3:17" x14ac:dyDescent="0.25">
      <c r="C30" s="36"/>
      <c r="D30" s="36"/>
      <c r="E30" s="36"/>
      <c r="F30" s="36"/>
      <c r="G30" s="36"/>
      <c r="H30" s="36"/>
      <c r="I30" s="36"/>
      <c r="J30" s="36"/>
      <c r="K30" s="36"/>
      <c r="L30" s="36"/>
      <c r="M30" s="36"/>
      <c r="N30" s="36"/>
      <c r="O30" s="36"/>
      <c r="P30" s="36"/>
      <c r="Q30" s="36"/>
    </row>
    <row r="31" spans="3:17" x14ac:dyDescent="0.25">
      <c r="C31" s="36"/>
      <c r="D31" s="36"/>
      <c r="E31" s="36"/>
      <c r="F31" s="36"/>
      <c r="G31" s="36"/>
      <c r="H31" s="36"/>
      <c r="I31" s="36"/>
      <c r="J31" s="36"/>
      <c r="K31" s="36"/>
      <c r="L31" s="36"/>
      <c r="M31" s="36"/>
      <c r="N31" s="36"/>
      <c r="O31" s="36"/>
      <c r="P31" s="36"/>
      <c r="Q31" s="36"/>
    </row>
    <row r="32" spans="3:17" x14ac:dyDescent="0.25">
      <c r="C32" s="36"/>
      <c r="D32" s="36"/>
      <c r="E32" s="36"/>
      <c r="F32" s="36"/>
      <c r="G32" s="36"/>
      <c r="H32" s="36"/>
      <c r="I32" s="36"/>
      <c r="J32" s="36"/>
      <c r="K32" s="36"/>
      <c r="L32" s="36"/>
      <c r="M32" s="36"/>
      <c r="N32" s="36"/>
      <c r="O32" s="36"/>
      <c r="P32" s="36"/>
      <c r="Q32" s="36"/>
    </row>
    <row r="33" spans="3:17" x14ac:dyDescent="0.25">
      <c r="C33" s="36"/>
      <c r="D33" s="36"/>
      <c r="E33" s="36"/>
      <c r="F33" s="36"/>
      <c r="G33" s="36"/>
      <c r="H33" s="36"/>
      <c r="I33" s="36"/>
      <c r="J33" s="36"/>
      <c r="K33" s="36"/>
      <c r="L33" s="36"/>
      <c r="M33" s="36"/>
      <c r="N33" s="36"/>
      <c r="O33" s="36"/>
      <c r="P33" s="36"/>
      <c r="Q33" s="36"/>
    </row>
    <row r="34" spans="3:17" x14ac:dyDescent="0.25">
      <c r="C34" s="36"/>
      <c r="D34" s="36"/>
      <c r="E34" s="36"/>
      <c r="F34" s="36"/>
      <c r="G34" s="36"/>
      <c r="H34" s="36"/>
      <c r="I34" s="36"/>
      <c r="J34" s="36"/>
      <c r="K34" s="36"/>
      <c r="L34" s="36"/>
      <c r="M34" s="36"/>
      <c r="N34" s="36"/>
      <c r="O34" s="36"/>
      <c r="P34" s="36"/>
      <c r="Q34" s="36"/>
    </row>
    <row r="35" spans="3:17" x14ac:dyDescent="0.25">
      <c r="C35" s="36"/>
      <c r="D35" s="36"/>
      <c r="E35" s="36"/>
      <c r="F35" s="36"/>
      <c r="G35" s="36"/>
      <c r="H35" s="36"/>
      <c r="I35" s="36"/>
      <c r="J35" s="36"/>
      <c r="K35" s="36"/>
      <c r="L35" s="36"/>
      <c r="M35" s="36"/>
      <c r="N35" s="36"/>
      <c r="O35" s="36"/>
      <c r="P35" s="36"/>
      <c r="Q35" s="36"/>
    </row>
    <row r="36" spans="3:17" x14ac:dyDescent="0.25">
      <c r="C36" s="36"/>
      <c r="D36" s="36"/>
      <c r="E36" s="36"/>
      <c r="F36" s="36"/>
      <c r="G36" s="36"/>
      <c r="H36" s="36"/>
      <c r="I36" s="36"/>
      <c r="J36" s="36"/>
      <c r="K36" s="36"/>
      <c r="L36" s="36"/>
      <c r="M36" s="36"/>
      <c r="N36" s="36"/>
      <c r="O36" s="36"/>
      <c r="P36" s="36"/>
      <c r="Q36" s="36"/>
    </row>
    <row r="37" spans="3:17" x14ac:dyDescent="0.25">
      <c r="C37" s="36"/>
      <c r="D37" s="36"/>
      <c r="E37" s="36"/>
      <c r="F37" s="36"/>
      <c r="G37" s="36"/>
      <c r="H37" s="36"/>
      <c r="I37" s="36"/>
      <c r="J37" s="36"/>
      <c r="K37" s="36"/>
      <c r="L37" s="36"/>
      <c r="M37" s="36"/>
      <c r="N37" s="36"/>
      <c r="O37" s="36"/>
      <c r="P37" s="36"/>
      <c r="Q37" s="36"/>
    </row>
    <row r="38" spans="3:17" x14ac:dyDescent="0.25">
      <c r="C38" s="36"/>
      <c r="D38" s="36"/>
      <c r="E38" s="36"/>
      <c r="F38" s="36"/>
      <c r="G38" s="36"/>
      <c r="H38" s="36"/>
      <c r="I38" s="36"/>
      <c r="J38" s="36"/>
      <c r="K38" s="36"/>
      <c r="L38" s="36"/>
      <c r="M38" s="36"/>
      <c r="N38" s="36"/>
      <c r="O38" s="36"/>
      <c r="P38" s="36"/>
      <c r="Q38" s="36"/>
    </row>
    <row r="39" spans="3:17" x14ac:dyDescent="0.25">
      <c r="C39" s="36"/>
      <c r="D39" s="36"/>
      <c r="E39" s="36"/>
      <c r="F39" s="36"/>
      <c r="G39" s="36"/>
      <c r="H39" s="36"/>
      <c r="I39" s="36"/>
      <c r="J39" s="36"/>
      <c r="K39" s="36"/>
      <c r="L39" s="36"/>
      <c r="M39" s="36"/>
      <c r="N39" s="36"/>
      <c r="O39" s="36"/>
      <c r="P39" s="36"/>
      <c r="Q39" s="36"/>
    </row>
    <row r="40" spans="3:17" x14ac:dyDescent="0.25">
      <c r="C40" s="36"/>
      <c r="D40" s="36"/>
      <c r="E40" s="36"/>
      <c r="F40" s="36"/>
      <c r="G40" s="36"/>
      <c r="H40" s="36"/>
      <c r="I40" s="36"/>
      <c r="J40" s="36"/>
      <c r="K40" s="36"/>
      <c r="L40" s="36"/>
      <c r="M40" s="36"/>
      <c r="N40" s="36"/>
      <c r="O40" s="36"/>
      <c r="P40" s="36"/>
      <c r="Q40" s="36"/>
    </row>
    <row r="41" spans="3:17" x14ac:dyDescent="0.25">
      <c r="C41" s="36"/>
      <c r="D41" s="36"/>
      <c r="E41" s="36"/>
      <c r="F41" s="36"/>
      <c r="G41" s="36"/>
      <c r="H41" s="36"/>
      <c r="I41" s="36"/>
      <c r="J41" s="36"/>
      <c r="K41" s="36"/>
      <c r="L41" s="36"/>
      <c r="M41" s="36"/>
      <c r="N41" s="36"/>
      <c r="O41" s="36"/>
      <c r="P41" s="36"/>
      <c r="Q41" s="36"/>
    </row>
    <row r="42" spans="3:17" x14ac:dyDescent="0.25">
      <c r="C42" s="36"/>
      <c r="D42" s="36"/>
      <c r="E42" s="36"/>
      <c r="F42" s="36"/>
      <c r="G42" s="36"/>
      <c r="H42" s="36"/>
      <c r="I42" s="36"/>
      <c r="J42" s="36"/>
      <c r="K42" s="36"/>
      <c r="L42" s="36"/>
      <c r="M42" s="36"/>
      <c r="N42" s="36"/>
      <c r="O42" s="36"/>
      <c r="P42" s="36"/>
      <c r="Q42" s="36"/>
    </row>
    <row r="43" spans="3:17" x14ac:dyDescent="0.25">
      <c r="C43" s="36"/>
      <c r="D43" s="36"/>
      <c r="E43" s="36"/>
      <c r="F43" s="36"/>
      <c r="G43" s="36"/>
      <c r="H43" s="36"/>
      <c r="I43" s="36"/>
      <c r="J43" s="36"/>
      <c r="K43" s="36"/>
      <c r="L43" s="36"/>
      <c r="M43" s="36"/>
      <c r="N43" s="36"/>
      <c r="O43" s="36"/>
      <c r="P43" s="36"/>
      <c r="Q43" s="36"/>
    </row>
    <row r="44" spans="3:17" x14ac:dyDescent="0.25">
      <c r="C44" s="36"/>
      <c r="D44" s="36"/>
      <c r="E44" s="36"/>
      <c r="F44" s="36"/>
      <c r="G44" s="36"/>
      <c r="H44" s="36"/>
      <c r="I44" s="36"/>
      <c r="J44" s="36"/>
      <c r="K44" s="36"/>
      <c r="L44" s="36"/>
      <c r="M44" s="36"/>
      <c r="N44" s="36"/>
      <c r="O44" s="36"/>
      <c r="P44" s="36"/>
      <c r="Q44" s="36"/>
    </row>
    <row r="45" spans="3:17" x14ac:dyDescent="0.25">
      <c r="C45" s="36"/>
      <c r="D45" s="36"/>
      <c r="E45" s="36"/>
      <c r="F45" s="36"/>
      <c r="G45" s="36"/>
      <c r="H45" s="36"/>
      <c r="I45" s="36"/>
      <c r="J45" s="36"/>
      <c r="K45" s="36"/>
      <c r="L45" s="36"/>
      <c r="M45" s="36"/>
      <c r="N45" s="36"/>
      <c r="O45" s="36"/>
      <c r="P45" s="36"/>
      <c r="Q45" s="36"/>
    </row>
    <row r="46" spans="3:17" x14ac:dyDescent="0.25">
      <c r="C46" s="36"/>
      <c r="D46" s="36"/>
      <c r="E46" s="36"/>
      <c r="F46" s="36"/>
      <c r="G46" s="36"/>
      <c r="H46" s="36"/>
      <c r="I46" s="36"/>
      <c r="J46" s="36"/>
      <c r="K46" s="36"/>
      <c r="L46" s="36"/>
      <c r="M46" s="36"/>
      <c r="N46" s="36"/>
      <c r="O46" s="36"/>
      <c r="P46" s="36"/>
      <c r="Q46" s="36"/>
    </row>
    <row r="47" spans="3:17" x14ac:dyDescent="0.25">
      <c r="C47" s="36"/>
      <c r="D47" s="36"/>
      <c r="E47" s="36"/>
      <c r="F47" s="36"/>
      <c r="G47" s="36"/>
      <c r="H47" s="36"/>
      <c r="I47" s="36"/>
      <c r="J47" s="36"/>
      <c r="K47" s="36"/>
      <c r="L47" s="36"/>
      <c r="M47" s="36"/>
      <c r="N47" s="36"/>
      <c r="O47" s="36"/>
      <c r="P47" s="36"/>
      <c r="Q47" s="36"/>
    </row>
    <row r="48" spans="3:17" x14ac:dyDescent="0.25">
      <c r="C48" s="36"/>
      <c r="D48" s="36"/>
      <c r="E48" s="36"/>
      <c r="F48" s="36"/>
      <c r="G48" s="36"/>
      <c r="H48" s="36"/>
      <c r="I48" s="36"/>
      <c r="J48" s="36"/>
      <c r="K48" s="36"/>
      <c r="L48" s="36"/>
      <c r="M48" s="36"/>
      <c r="N48" s="36"/>
      <c r="O48" s="36"/>
      <c r="P48" s="36"/>
      <c r="Q48" s="36"/>
    </row>
    <row r="49" spans="3:17" x14ac:dyDescent="0.25">
      <c r="C49" s="36"/>
      <c r="D49" s="36"/>
      <c r="E49" s="36"/>
      <c r="F49" s="36"/>
      <c r="G49" s="36"/>
      <c r="H49" s="36"/>
      <c r="I49" s="36"/>
      <c r="J49" s="36"/>
      <c r="K49" s="36"/>
      <c r="L49" s="36"/>
      <c r="M49" s="36"/>
      <c r="N49" s="36"/>
      <c r="O49" s="36"/>
      <c r="P49" s="36"/>
      <c r="Q49" s="36"/>
    </row>
    <row r="50" spans="3:17" x14ac:dyDescent="0.25">
      <c r="C50" s="36"/>
      <c r="D50" s="36"/>
      <c r="E50" s="36"/>
      <c r="F50" s="36"/>
      <c r="G50" s="36"/>
      <c r="H50" s="36"/>
      <c r="I50" s="36"/>
      <c r="J50" s="36"/>
      <c r="K50" s="36"/>
      <c r="L50" s="36"/>
      <c r="M50" s="36"/>
      <c r="N50" s="36"/>
      <c r="O50" s="36"/>
      <c r="P50" s="36"/>
      <c r="Q50" s="36"/>
    </row>
    <row r="51" spans="3:17" x14ac:dyDescent="0.25">
      <c r="C51" s="36"/>
      <c r="D51" s="36"/>
      <c r="E51" s="36"/>
      <c r="F51" s="36"/>
      <c r="G51" s="36"/>
      <c r="H51" s="36"/>
      <c r="I51" s="36"/>
      <c r="J51" s="36"/>
      <c r="K51" s="36"/>
      <c r="L51" s="36"/>
      <c r="M51" s="36"/>
      <c r="N51" s="36"/>
      <c r="O51" s="36"/>
      <c r="P51" s="36"/>
      <c r="Q51" s="36"/>
    </row>
    <row r="52" spans="3:17" x14ac:dyDescent="0.25">
      <c r="C52" s="36"/>
      <c r="D52" s="36"/>
      <c r="E52" s="36"/>
      <c r="F52" s="36"/>
      <c r="G52" s="36"/>
      <c r="H52" s="36"/>
      <c r="I52" s="36"/>
      <c r="J52" s="36"/>
      <c r="K52" s="36"/>
      <c r="L52" s="36"/>
      <c r="M52" s="36"/>
      <c r="N52" s="36"/>
      <c r="O52" s="36"/>
      <c r="P52" s="36"/>
      <c r="Q52" s="36"/>
    </row>
    <row r="53" spans="3:17" x14ac:dyDescent="0.25">
      <c r="C53" s="36"/>
      <c r="D53" s="36"/>
      <c r="E53" s="36"/>
      <c r="F53" s="36"/>
      <c r="G53" s="36"/>
      <c r="H53" s="36"/>
      <c r="I53" s="36"/>
      <c r="J53" s="36"/>
      <c r="K53" s="36"/>
      <c r="L53" s="36"/>
      <c r="M53" s="36"/>
      <c r="N53" s="36"/>
      <c r="O53" s="36"/>
      <c r="P53" s="36"/>
      <c r="Q53" s="36"/>
    </row>
    <row r="54" spans="3:17" x14ac:dyDescent="0.25">
      <c r="C54" s="36"/>
      <c r="D54" s="36"/>
      <c r="E54" s="36"/>
      <c r="F54" s="36"/>
      <c r="G54" s="36"/>
      <c r="H54" s="36"/>
      <c r="I54" s="36"/>
      <c r="J54" s="36"/>
      <c r="K54" s="36"/>
      <c r="L54" s="36"/>
      <c r="M54" s="36"/>
      <c r="N54" s="36"/>
      <c r="O54" s="36"/>
      <c r="P54" s="36"/>
      <c r="Q54" s="36"/>
    </row>
    <row r="55" spans="3:17" x14ac:dyDescent="0.25">
      <c r="C55" s="36"/>
      <c r="D55" s="36"/>
      <c r="E55" s="36"/>
      <c r="F55" s="36"/>
      <c r="G55" s="36"/>
      <c r="H55" s="36"/>
      <c r="I55" s="36"/>
      <c r="J55" s="36"/>
      <c r="K55" s="36"/>
      <c r="L55" s="36"/>
      <c r="M55" s="36"/>
      <c r="N55" s="36"/>
      <c r="O55" s="36"/>
      <c r="P55" s="36"/>
      <c r="Q55" s="36"/>
    </row>
    <row r="56" spans="3:17" x14ac:dyDescent="0.25">
      <c r="C56" s="36"/>
      <c r="D56" s="36"/>
      <c r="E56" s="36"/>
      <c r="F56" s="36"/>
      <c r="G56" s="36"/>
      <c r="H56" s="36"/>
      <c r="I56" s="36"/>
      <c r="J56" s="36"/>
      <c r="K56" s="36"/>
      <c r="L56" s="36"/>
      <c r="M56" s="36"/>
      <c r="N56" s="36"/>
      <c r="O56" s="36"/>
      <c r="P56" s="36"/>
      <c r="Q56" s="36"/>
    </row>
    <row r="57" spans="3:17" x14ac:dyDescent="0.25">
      <c r="C57" s="36"/>
      <c r="D57" s="36"/>
      <c r="E57" s="36"/>
      <c r="F57" s="36"/>
      <c r="G57" s="36"/>
      <c r="H57" s="36"/>
      <c r="I57" s="36"/>
      <c r="J57" s="36"/>
      <c r="K57" s="36"/>
      <c r="L57" s="36"/>
      <c r="M57" s="36"/>
      <c r="N57" s="36"/>
      <c r="O57" s="36"/>
      <c r="P57" s="36"/>
      <c r="Q57" s="36"/>
    </row>
    <row r="58" spans="3:17" x14ac:dyDescent="0.25">
      <c r="C58" s="36"/>
      <c r="D58" s="36"/>
      <c r="E58" s="36"/>
      <c r="F58" s="36"/>
      <c r="G58" s="36"/>
      <c r="H58" s="36"/>
      <c r="I58" s="36"/>
      <c r="J58" s="36"/>
      <c r="K58" s="36"/>
      <c r="L58" s="36"/>
      <c r="M58" s="36"/>
      <c r="N58" s="36"/>
      <c r="O58" s="36"/>
      <c r="P58" s="36"/>
      <c r="Q58" s="36"/>
    </row>
    <row r="59" spans="3:17" x14ac:dyDescent="0.25">
      <c r="C59" s="36"/>
      <c r="D59" s="36"/>
      <c r="E59" s="36"/>
      <c r="F59" s="36"/>
      <c r="G59" s="36"/>
      <c r="H59" s="36"/>
      <c r="I59" s="36"/>
      <c r="J59" s="36"/>
      <c r="K59" s="36"/>
      <c r="L59" s="36"/>
      <c r="M59" s="36"/>
      <c r="N59" s="36"/>
      <c r="O59" s="36"/>
      <c r="P59" s="36"/>
      <c r="Q59" s="36"/>
    </row>
    <row r="60" spans="3:17" x14ac:dyDescent="0.25">
      <c r="C60" s="36"/>
      <c r="D60" s="36"/>
      <c r="E60" s="36"/>
      <c r="F60" s="36"/>
      <c r="G60" s="36"/>
      <c r="H60" s="36"/>
      <c r="I60" s="36"/>
      <c r="J60" s="36"/>
      <c r="K60" s="36"/>
      <c r="L60" s="36"/>
      <c r="M60" s="36"/>
      <c r="N60" s="36"/>
      <c r="O60" s="36"/>
      <c r="P60" s="36"/>
      <c r="Q60" s="36"/>
    </row>
    <row r="61" spans="3:17" x14ac:dyDescent="0.25">
      <c r="C61" s="36"/>
      <c r="D61" s="36"/>
      <c r="E61" s="36"/>
      <c r="F61" s="36"/>
      <c r="G61" s="36"/>
      <c r="H61" s="36"/>
      <c r="I61" s="36"/>
      <c r="J61" s="36"/>
      <c r="K61" s="36"/>
      <c r="L61" s="36"/>
      <c r="M61" s="36"/>
      <c r="N61" s="36"/>
      <c r="O61" s="36"/>
      <c r="P61" s="36"/>
      <c r="Q61" s="36"/>
    </row>
    <row r="62" spans="3:17" x14ac:dyDescent="0.25">
      <c r="C62" s="36"/>
      <c r="D62" s="36"/>
      <c r="E62" s="36"/>
      <c r="F62" s="36"/>
      <c r="G62" s="36"/>
      <c r="H62" s="36"/>
      <c r="I62" s="36"/>
      <c r="J62" s="36"/>
      <c r="K62" s="36"/>
      <c r="L62" s="36"/>
      <c r="M62" s="36"/>
      <c r="N62" s="36"/>
      <c r="O62" s="36"/>
      <c r="P62" s="36"/>
      <c r="Q62" s="36"/>
    </row>
    <row r="63" spans="3:17" x14ac:dyDescent="0.25">
      <c r="C63" s="36"/>
      <c r="D63" s="36"/>
      <c r="E63" s="36"/>
      <c r="F63" s="36"/>
      <c r="G63" s="36"/>
      <c r="H63" s="36"/>
      <c r="I63" s="36"/>
      <c r="J63" s="36"/>
      <c r="K63" s="36"/>
      <c r="L63" s="36"/>
      <c r="M63" s="36"/>
      <c r="N63" s="36"/>
      <c r="O63" s="36"/>
      <c r="P63" s="36"/>
      <c r="Q63" s="36"/>
    </row>
    <row r="64" spans="3:17" x14ac:dyDescent="0.25">
      <c r="C64" s="36"/>
      <c r="D64" s="36"/>
      <c r="E64" s="36"/>
      <c r="F64" s="36"/>
      <c r="G64" s="36"/>
      <c r="H64" s="36"/>
      <c r="I64" s="36"/>
      <c r="J64" s="36"/>
      <c r="K64" s="36"/>
      <c r="L64" s="36"/>
      <c r="M64" s="36"/>
      <c r="N64" s="36"/>
      <c r="O64" s="36"/>
      <c r="P64" s="36"/>
      <c r="Q64" s="36"/>
    </row>
    <row r="65" spans="3:17" x14ac:dyDescent="0.25">
      <c r="C65" s="36"/>
      <c r="D65" s="36"/>
      <c r="E65" s="36"/>
      <c r="F65" s="36"/>
      <c r="G65" s="36"/>
      <c r="H65" s="36"/>
      <c r="I65" s="36"/>
      <c r="J65" s="36"/>
      <c r="K65" s="36"/>
      <c r="L65" s="36"/>
      <c r="M65" s="36"/>
      <c r="N65" s="36"/>
      <c r="O65" s="36"/>
      <c r="P65" s="36"/>
      <c r="Q65" s="36"/>
    </row>
    <row r="66" spans="3:17" x14ac:dyDescent="0.25">
      <c r="C66" s="36"/>
      <c r="D66" s="36"/>
      <c r="E66" s="36"/>
      <c r="F66" s="36"/>
      <c r="G66" s="36"/>
      <c r="H66" s="36"/>
      <c r="I66" s="36"/>
      <c r="J66" s="36"/>
      <c r="K66" s="36"/>
      <c r="L66" s="36"/>
      <c r="M66" s="36"/>
      <c r="N66" s="36"/>
      <c r="O66" s="36"/>
      <c r="P66" s="36"/>
      <c r="Q66" s="36"/>
    </row>
    <row r="67" spans="3:17" x14ac:dyDescent="0.25">
      <c r="C67" s="36"/>
      <c r="D67" s="36"/>
      <c r="E67" s="36"/>
      <c r="F67" s="36"/>
      <c r="G67" s="36"/>
      <c r="H67" s="36"/>
      <c r="I67" s="36"/>
      <c r="J67" s="36"/>
      <c r="K67" s="36"/>
      <c r="L67" s="36"/>
      <c r="M67" s="36"/>
      <c r="N67" s="36"/>
      <c r="O67" s="36"/>
      <c r="P67" s="36"/>
      <c r="Q67" s="36"/>
    </row>
    <row r="68" spans="3:17" x14ac:dyDescent="0.25">
      <c r="C68" s="36"/>
      <c r="D68" s="36"/>
      <c r="E68" s="36"/>
      <c r="F68" s="36"/>
      <c r="G68" s="36"/>
      <c r="H68" s="36"/>
      <c r="I68" s="36"/>
      <c r="J68" s="36"/>
      <c r="K68" s="36"/>
      <c r="L68" s="36"/>
      <c r="M68" s="36"/>
      <c r="N68" s="36"/>
      <c r="O68" s="36"/>
      <c r="P68" s="36"/>
      <c r="Q68" s="36"/>
    </row>
    <row r="69" spans="3:17" x14ac:dyDescent="0.25">
      <c r="C69" s="36"/>
      <c r="D69" s="36"/>
      <c r="E69" s="36"/>
      <c r="F69" s="36"/>
      <c r="G69" s="36"/>
      <c r="H69" s="36"/>
      <c r="I69" s="36"/>
      <c r="J69" s="36"/>
      <c r="K69" s="36"/>
      <c r="L69" s="36"/>
      <c r="M69" s="36"/>
      <c r="N69" s="36"/>
      <c r="O69" s="36"/>
      <c r="P69" s="36"/>
      <c r="Q69" s="36"/>
    </row>
    <row r="70" spans="3:17" x14ac:dyDescent="0.25">
      <c r="C70" s="36"/>
      <c r="D70" s="36"/>
      <c r="E70" s="36"/>
      <c r="F70" s="36"/>
      <c r="G70" s="36"/>
      <c r="H70" s="36"/>
      <c r="I70" s="36"/>
      <c r="J70" s="36"/>
      <c r="K70" s="36"/>
      <c r="L70" s="36"/>
      <c r="M70" s="36"/>
      <c r="N70" s="36"/>
      <c r="O70" s="36"/>
      <c r="P70" s="36"/>
      <c r="Q70" s="36"/>
    </row>
    <row r="71" spans="3:17" x14ac:dyDescent="0.25">
      <c r="C71" s="36"/>
      <c r="D71" s="36"/>
      <c r="E71" s="36"/>
      <c r="F71" s="36"/>
      <c r="G71" s="36"/>
      <c r="H71" s="36"/>
      <c r="I71" s="36"/>
      <c r="J71" s="36"/>
      <c r="K71" s="36"/>
      <c r="L71" s="36"/>
      <c r="M71" s="36"/>
      <c r="N71" s="36"/>
      <c r="O71" s="36"/>
      <c r="P71" s="36"/>
      <c r="Q71" s="36"/>
    </row>
    <row r="72" spans="3:17" x14ac:dyDescent="0.25">
      <c r="C72" s="36"/>
      <c r="D72" s="36"/>
      <c r="E72" s="36"/>
      <c r="F72" s="36"/>
      <c r="G72" s="36"/>
      <c r="H72" s="36"/>
      <c r="I72" s="36"/>
      <c r="J72" s="36"/>
      <c r="K72" s="36"/>
      <c r="L72" s="36"/>
      <c r="M72" s="36"/>
      <c r="N72" s="36"/>
      <c r="O72" s="36"/>
      <c r="P72" s="36"/>
      <c r="Q72" s="36"/>
    </row>
    <row r="73" spans="3:17" x14ac:dyDescent="0.25">
      <c r="C73" s="36"/>
      <c r="D73" s="36"/>
      <c r="E73" s="36"/>
      <c r="F73" s="36"/>
      <c r="G73" s="36"/>
      <c r="H73" s="36"/>
      <c r="I73" s="36"/>
      <c r="J73" s="36"/>
      <c r="K73" s="36"/>
      <c r="L73" s="36"/>
      <c r="M73" s="36"/>
      <c r="N73" s="36"/>
      <c r="O73" s="36"/>
      <c r="P73" s="36"/>
      <c r="Q73" s="36"/>
    </row>
    <row r="74" spans="3:17" x14ac:dyDescent="0.25">
      <c r="C74" s="36"/>
      <c r="D74" s="36"/>
      <c r="E74" s="36"/>
      <c r="F74" s="36"/>
      <c r="G74" s="36"/>
      <c r="H74" s="36"/>
      <c r="I74" s="36"/>
      <c r="J74" s="36"/>
      <c r="K74" s="36"/>
      <c r="L74" s="36"/>
      <c r="M74" s="36"/>
      <c r="N74" s="36"/>
      <c r="O74" s="36"/>
      <c r="P74" s="36"/>
      <c r="Q74" s="36"/>
    </row>
    <row r="75" spans="3:17" x14ac:dyDescent="0.25">
      <c r="C75" s="36"/>
      <c r="D75" s="36"/>
      <c r="E75" s="36"/>
      <c r="F75" s="36"/>
      <c r="G75" s="36"/>
      <c r="H75" s="36"/>
      <c r="I75" s="36"/>
      <c r="J75" s="36"/>
      <c r="K75" s="36"/>
      <c r="L75" s="36"/>
      <c r="M75" s="36"/>
      <c r="N75" s="36"/>
      <c r="O75" s="36"/>
      <c r="P75" s="36"/>
      <c r="Q75" s="36"/>
    </row>
    <row r="76" spans="3:17" x14ac:dyDescent="0.25">
      <c r="C76" s="36"/>
      <c r="D76" s="36"/>
      <c r="E76" s="36"/>
      <c r="F76" s="36"/>
      <c r="G76" s="36"/>
      <c r="H76" s="36"/>
      <c r="I76" s="36"/>
      <c r="J76" s="36"/>
      <c r="K76" s="36"/>
      <c r="L76" s="36"/>
      <c r="M76" s="36"/>
      <c r="N76" s="36"/>
      <c r="O76" s="36"/>
      <c r="P76" s="36"/>
      <c r="Q76" s="36"/>
    </row>
    <row r="77" spans="3:17" x14ac:dyDescent="0.25">
      <c r="C77" s="36"/>
      <c r="D77" s="36"/>
      <c r="E77" s="36"/>
      <c r="F77" s="36"/>
      <c r="G77" s="36"/>
      <c r="H77" s="36"/>
      <c r="I77" s="36"/>
      <c r="J77" s="36"/>
      <c r="K77" s="36"/>
      <c r="L77" s="36"/>
      <c r="M77" s="36"/>
      <c r="N77" s="36"/>
      <c r="O77" s="36"/>
      <c r="P77" s="36"/>
      <c r="Q77" s="36"/>
    </row>
    <row r="78" spans="3:17" x14ac:dyDescent="0.25">
      <c r="C78" s="36"/>
      <c r="D78" s="36"/>
      <c r="E78" s="36"/>
      <c r="F78" s="36"/>
      <c r="G78" s="36"/>
      <c r="H78" s="36"/>
      <c r="I78" s="36"/>
      <c r="J78" s="36"/>
      <c r="K78" s="36"/>
      <c r="L78" s="36"/>
      <c r="M78" s="36"/>
      <c r="N78" s="36"/>
      <c r="O78" s="36"/>
      <c r="P78" s="36"/>
      <c r="Q78" s="36"/>
    </row>
    <row r="79" spans="3:17" x14ac:dyDescent="0.25">
      <c r="C79" s="36"/>
      <c r="D79" s="36"/>
      <c r="E79" s="36"/>
      <c r="F79" s="36"/>
      <c r="G79" s="36"/>
      <c r="H79" s="36"/>
      <c r="I79" s="36"/>
      <c r="J79" s="36"/>
      <c r="K79" s="36"/>
      <c r="L79" s="36"/>
      <c r="M79" s="36"/>
      <c r="N79" s="36"/>
      <c r="O79" s="36"/>
      <c r="P79" s="36"/>
      <c r="Q79" s="36"/>
    </row>
    <row r="80" spans="3:17" x14ac:dyDescent="0.25">
      <c r="C80" s="36"/>
      <c r="D80" s="36"/>
      <c r="E80" s="36"/>
      <c r="F80" s="36"/>
      <c r="G80" s="36"/>
      <c r="H80" s="36"/>
      <c r="I80" s="36"/>
      <c r="J80" s="36"/>
      <c r="K80" s="36"/>
      <c r="L80" s="36"/>
      <c r="M80" s="36"/>
      <c r="N80" s="36"/>
      <c r="O80" s="36"/>
      <c r="P80" s="36"/>
      <c r="Q80" s="36"/>
    </row>
    <row r="81" spans="3:17" x14ac:dyDescent="0.25">
      <c r="C81" s="36"/>
      <c r="D81" s="36"/>
      <c r="E81" s="36"/>
      <c r="F81" s="36"/>
      <c r="G81" s="36"/>
      <c r="H81" s="36"/>
      <c r="I81" s="36"/>
      <c r="J81" s="36"/>
      <c r="K81" s="36"/>
      <c r="L81" s="36"/>
      <c r="M81" s="36"/>
      <c r="N81" s="36"/>
      <c r="O81" s="36"/>
      <c r="P81" s="36"/>
      <c r="Q81" s="36"/>
    </row>
    <row r="82" spans="3:17" x14ac:dyDescent="0.25">
      <c r="C82" s="36"/>
      <c r="D82" s="36"/>
      <c r="E82" s="36"/>
      <c r="F82" s="36"/>
      <c r="G82" s="36"/>
      <c r="H82" s="36"/>
      <c r="I82" s="36"/>
      <c r="J82" s="36"/>
      <c r="K82" s="36"/>
      <c r="L82" s="36"/>
      <c r="M82" s="36"/>
      <c r="N82" s="36"/>
      <c r="O82" s="36"/>
      <c r="P82" s="36"/>
      <c r="Q82" s="36"/>
    </row>
    <row r="83" spans="3:17" x14ac:dyDescent="0.25">
      <c r="C83" s="36"/>
      <c r="D83" s="36"/>
      <c r="E83" s="36"/>
      <c r="F83" s="36"/>
      <c r="G83" s="36"/>
      <c r="H83" s="36"/>
      <c r="I83" s="36"/>
      <c r="J83" s="36"/>
      <c r="K83" s="36"/>
      <c r="L83" s="36"/>
      <c r="M83" s="36"/>
      <c r="N83" s="36"/>
      <c r="O83" s="36"/>
      <c r="P83" s="36"/>
      <c r="Q83" s="36"/>
    </row>
    <row r="84" spans="3:17" x14ac:dyDescent="0.25">
      <c r="C84" s="36"/>
      <c r="D84" s="36"/>
      <c r="E84" s="36"/>
      <c r="F84" s="36"/>
      <c r="G84" s="36"/>
      <c r="H84" s="36"/>
      <c r="I84" s="36"/>
      <c r="J84" s="36"/>
      <c r="K84" s="36"/>
      <c r="L84" s="36"/>
      <c r="M84" s="36"/>
      <c r="N84" s="36"/>
      <c r="O84" s="36"/>
      <c r="P84" s="36"/>
      <c r="Q84" s="36"/>
    </row>
    <row r="85" spans="3:17" x14ac:dyDescent="0.25">
      <c r="C85" s="36"/>
      <c r="D85" s="36"/>
      <c r="E85" s="36"/>
      <c r="F85" s="36"/>
      <c r="G85" s="36"/>
      <c r="H85" s="36"/>
      <c r="I85" s="36"/>
      <c r="J85" s="36"/>
      <c r="K85" s="36"/>
      <c r="L85" s="36"/>
      <c r="M85" s="36"/>
      <c r="N85" s="36"/>
      <c r="O85" s="36"/>
      <c r="P85" s="36"/>
      <c r="Q85" s="36"/>
    </row>
    <row r="86" spans="3:17" x14ac:dyDescent="0.25">
      <c r="C86" s="36"/>
      <c r="D86" s="36"/>
      <c r="E86" s="36"/>
      <c r="F86" s="36"/>
      <c r="G86" s="36"/>
      <c r="H86" s="36"/>
      <c r="I86" s="36"/>
      <c r="J86" s="36"/>
      <c r="K86" s="36"/>
      <c r="L86" s="36"/>
      <c r="M86" s="36"/>
      <c r="N86" s="36"/>
      <c r="O86" s="36"/>
      <c r="P86" s="36"/>
      <c r="Q86" s="36"/>
    </row>
    <row r="87" spans="3:17" x14ac:dyDescent="0.25">
      <c r="C87" s="36"/>
      <c r="D87" s="36"/>
      <c r="E87" s="36"/>
      <c r="F87" s="36"/>
      <c r="G87" s="36"/>
      <c r="H87" s="36"/>
      <c r="I87" s="36"/>
      <c r="J87" s="36"/>
      <c r="K87" s="36"/>
      <c r="L87" s="36"/>
      <c r="M87" s="36"/>
      <c r="N87" s="36"/>
      <c r="O87" s="36"/>
      <c r="P87" s="36"/>
      <c r="Q87" s="36"/>
    </row>
    <row r="88" spans="3:17" x14ac:dyDescent="0.25">
      <c r="C88" s="36"/>
      <c r="D88" s="36"/>
      <c r="E88" s="36"/>
      <c r="F88" s="36"/>
      <c r="G88" s="36"/>
      <c r="H88" s="36"/>
      <c r="I88" s="36"/>
      <c r="J88" s="36"/>
      <c r="K88" s="36"/>
      <c r="L88" s="36"/>
      <c r="M88" s="36"/>
      <c r="N88" s="36"/>
      <c r="O88" s="36"/>
      <c r="P88" s="36"/>
      <c r="Q88" s="36"/>
    </row>
    <row r="89" spans="3:17" x14ac:dyDescent="0.25">
      <c r="C89" s="36"/>
      <c r="D89" s="36"/>
      <c r="E89" s="36"/>
      <c r="F89" s="36"/>
      <c r="G89" s="36"/>
      <c r="H89" s="36"/>
      <c r="I89" s="36"/>
      <c r="J89" s="36"/>
      <c r="K89" s="36"/>
      <c r="L89" s="36"/>
      <c r="M89" s="36"/>
      <c r="N89" s="36"/>
      <c r="O89" s="36"/>
      <c r="P89" s="36"/>
      <c r="Q89" s="36"/>
    </row>
    <row r="90" spans="3:17" x14ac:dyDescent="0.25">
      <c r="C90" s="36"/>
      <c r="D90" s="36"/>
      <c r="E90" s="36"/>
      <c r="F90" s="36"/>
      <c r="G90" s="36"/>
      <c r="H90" s="36"/>
      <c r="I90" s="36"/>
      <c r="J90" s="36"/>
      <c r="K90" s="36"/>
      <c r="L90" s="36"/>
      <c r="M90" s="36"/>
      <c r="N90" s="36"/>
      <c r="O90" s="36"/>
      <c r="P90" s="36"/>
      <c r="Q90" s="36"/>
    </row>
    <row r="91" spans="3:17" x14ac:dyDescent="0.25">
      <c r="C91" s="36"/>
      <c r="D91" s="36"/>
      <c r="E91" s="36"/>
      <c r="F91" s="36"/>
      <c r="G91" s="36"/>
      <c r="H91" s="36"/>
      <c r="I91" s="36"/>
      <c r="J91" s="36"/>
      <c r="K91" s="36"/>
      <c r="L91" s="36"/>
      <c r="M91" s="36"/>
      <c r="N91" s="36"/>
      <c r="O91" s="36"/>
      <c r="P91" s="36"/>
      <c r="Q91" s="36"/>
    </row>
    <row r="92" spans="3:17" x14ac:dyDescent="0.25">
      <c r="C92" s="36"/>
      <c r="D92" s="36"/>
      <c r="E92" s="36"/>
      <c r="F92" s="36"/>
      <c r="G92" s="36"/>
      <c r="H92" s="36"/>
      <c r="I92" s="36"/>
      <c r="J92" s="36"/>
      <c r="K92" s="36"/>
      <c r="L92" s="36"/>
      <c r="M92" s="36"/>
      <c r="N92" s="36"/>
      <c r="O92" s="36"/>
      <c r="P92" s="36"/>
      <c r="Q92" s="36"/>
    </row>
    <row r="93" spans="3:17" x14ac:dyDescent="0.25">
      <c r="C93" s="36"/>
      <c r="D93" s="36"/>
      <c r="E93" s="36"/>
      <c r="F93" s="36"/>
      <c r="G93" s="36"/>
      <c r="H93" s="36"/>
      <c r="I93" s="36"/>
      <c r="J93" s="36"/>
      <c r="K93" s="36"/>
      <c r="L93" s="36"/>
      <c r="M93" s="36"/>
      <c r="N93" s="36"/>
      <c r="O93" s="36"/>
      <c r="P93" s="36"/>
      <c r="Q93" s="36"/>
    </row>
    <row r="94" spans="3:17" x14ac:dyDescent="0.25">
      <c r="C94" s="36"/>
      <c r="D94" s="36"/>
      <c r="E94" s="36"/>
      <c r="F94" s="36"/>
      <c r="G94" s="36"/>
      <c r="H94" s="36"/>
      <c r="I94" s="36"/>
      <c r="J94" s="36"/>
      <c r="K94" s="36"/>
      <c r="L94" s="36"/>
      <c r="M94" s="36"/>
      <c r="N94" s="36"/>
      <c r="O94" s="36"/>
      <c r="P94" s="36"/>
      <c r="Q94" s="36"/>
    </row>
    <row r="95" spans="3:17" x14ac:dyDescent="0.25">
      <c r="C95" s="36"/>
      <c r="D95" s="36"/>
      <c r="E95" s="36"/>
      <c r="F95" s="36"/>
      <c r="G95" s="36"/>
      <c r="H95" s="36"/>
      <c r="I95" s="36"/>
      <c r="J95" s="36"/>
      <c r="K95" s="36"/>
      <c r="L95" s="36"/>
      <c r="M95" s="36"/>
      <c r="N95" s="36"/>
      <c r="O95" s="36"/>
      <c r="P95" s="36"/>
      <c r="Q95" s="36"/>
    </row>
    <row r="96" spans="3:17" x14ac:dyDescent="0.25">
      <c r="C96" s="36"/>
      <c r="D96" s="36"/>
      <c r="E96" s="36"/>
      <c r="F96" s="36"/>
      <c r="G96" s="36"/>
      <c r="H96" s="36"/>
      <c r="I96" s="36"/>
      <c r="J96" s="36"/>
      <c r="K96" s="36"/>
      <c r="L96" s="36"/>
      <c r="M96" s="36"/>
      <c r="N96" s="36"/>
      <c r="O96" s="36"/>
      <c r="P96" s="36"/>
      <c r="Q96" s="36"/>
    </row>
    <row r="97" spans="3:17" x14ac:dyDescent="0.25">
      <c r="C97" s="36"/>
      <c r="D97" s="36"/>
      <c r="E97" s="36"/>
      <c r="F97" s="36"/>
      <c r="G97" s="36"/>
      <c r="H97" s="36"/>
      <c r="I97" s="36"/>
      <c r="J97" s="36"/>
      <c r="K97" s="36"/>
      <c r="L97" s="36"/>
      <c r="M97" s="36"/>
      <c r="N97" s="36"/>
      <c r="O97" s="36"/>
      <c r="P97" s="36"/>
      <c r="Q97" s="36"/>
    </row>
    <row r="98" spans="3:17" x14ac:dyDescent="0.25">
      <c r="C98" s="36"/>
      <c r="D98" s="36"/>
      <c r="E98" s="36"/>
      <c r="F98" s="36"/>
      <c r="G98" s="36"/>
      <c r="H98" s="36"/>
      <c r="I98" s="36"/>
      <c r="J98" s="36"/>
      <c r="K98" s="36"/>
      <c r="L98" s="36"/>
      <c r="M98" s="36"/>
      <c r="N98" s="36"/>
      <c r="O98" s="36"/>
      <c r="P98" s="36"/>
      <c r="Q98" s="36"/>
    </row>
    <row r="99" spans="3:17" x14ac:dyDescent="0.25">
      <c r="C99" s="36"/>
      <c r="D99" s="36"/>
      <c r="E99" s="36"/>
      <c r="F99" s="36"/>
      <c r="G99" s="36"/>
      <c r="H99" s="36"/>
      <c r="I99" s="36"/>
      <c r="J99" s="36"/>
      <c r="K99" s="36"/>
      <c r="L99" s="36"/>
      <c r="M99" s="36"/>
      <c r="N99" s="36"/>
      <c r="O99" s="36"/>
      <c r="P99" s="36"/>
      <c r="Q99" s="36"/>
    </row>
    <row r="100" spans="3:17" x14ac:dyDescent="0.25">
      <c r="C100" s="36"/>
      <c r="D100" s="36"/>
      <c r="E100" s="36"/>
      <c r="F100" s="36"/>
      <c r="G100" s="36"/>
      <c r="H100" s="36"/>
      <c r="I100" s="36"/>
      <c r="J100" s="36"/>
      <c r="K100" s="36"/>
      <c r="L100" s="36"/>
      <c r="M100" s="36"/>
      <c r="N100" s="36"/>
      <c r="O100" s="36"/>
      <c r="P100" s="36"/>
      <c r="Q100" s="36"/>
    </row>
    <row r="101" spans="3:17" x14ac:dyDescent="0.25">
      <c r="C101" s="36"/>
      <c r="D101" s="36"/>
      <c r="E101" s="36"/>
      <c r="F101" s="36"/>
      <c r="G101" s="36"/>
      <c r="H101" s="36"/>
      <c r="I101" s="36"/>
      <c r="J101" s="36"/>
      <c r="K101" s="36"/>
      <c r="L101" s="36"/>
      <c r="M101" s="36"/>
      <c r="N101" s="36"/>
      <c r="O101" s="36"/>
      <c r="P101" s="36"/>
      <c r="Q101" s="36"/>
    </row>
    <row r="102" spans="3:17" x14ac:dyDescent="0.25">
      <c r="C102" s="36"/>
      <c r="D102" s="36"/>
      <c r="E102" s="36"/>
      <c r="F102" s="36"/>
      <c r="G102" s="36"/>
      <c r="H102" s="36"/>
      <c r="I102" s="36"/>
      <c r="J102" s="36"/>
      <c r="K102" s="36"/>
      <c r="L102" s="36"/>
      <c r="M102" s="36"/>
      <c r="N102" s="36"/>
      <c r="O102" s="36"/>
      <c r="P102" s="36"/>
      <c r="Q102" s="36"/>
    </row>
    <row r="103" spans="3:17" x14ac:dyDescent="0.25">
      <c r="C103" s="36"/>
      <c r="D103" s="36"/>
      <c r="E103" s="36"/>
      <c r="F103" s="36"/>
      <c r="G103" s="36"/>
      <c r="H103" s="36"/>
      <c r="I103" s="36"/>
      <c r="J103" s="36"/>
      <c r="K103" s="36"/>
      <c r="L103" s="36"/>
      <c r="M103" s="36"/>
      <c r="N103" s="36"/>
      <c r="O103" s="36"/>
      <c r="P103" s="36"/>
      <c r="Q103" s="36"/>
    </row>
    <row r="104" spans="3:17" x14ac:dyDescent="0.25">
      <c r="C104" s="36"/>
      <c r="D104" s="36"/>
      <c r="E104" s="36"/>
      <c r="F104" s="36"/>
      <c r="G104" s="36"/>
      <c r="H104" s="36"/>
      <c r="I104" s="36"/>
      <c r="J104" s="36"/>
      <c r="K104" s="36"/>
      <c r="L104" s="36"/>
      <c r="M104" s="36"/>
      <c r="N104" s="36"/>
      <c r="O104" s="36"/>
      <c r="P104" s="36"/>
      <c r="Q104" s="36"/>
    </row>
    <row r="105" spans="3:17" x14ac:dyDescent="0.25">
      <c r="C105" s="36"/>
      <c r="D105" s="36"/>
      <c r="E105" s="36"/>
      <c r="F105" s="36"/>
      <c r="G105" s="36"/>
      <c r="H105" s="36"/>
      <c r="I105" s="36"/>
      <c r="J105" s="36"/>
      <c r="K105" s="36"/>
      <c r="L105" s="36"/>
      <c r="M105" s="36"/>
      <c r="N105" s="36"/>
      <c r="O105" s="36"/>
      <c r="P105" s="36"/>
      <c r="Q105" s="36"/>
    </row>
    <row r="106" spans="3:17" x14ac:dyDescent="0.25">
      <c r="C106" s="36"/>
      <c r="D106" s="36"/>
      <c r="E106" s="36"/>
      <c r="F106" s="36"/>
      <c r="G106" s="36"/>
      <c r="H106" s="36"/>
      <c r="I106" s="36"/>
      <c r="J106" s="36"/>
      <c r="K106" s="36"/>
      <c r="L106" s="36"/>
      <c r="M106" s="36"/>
      <c r="N106" s="36"/>
      <c r="O106" s="36"/>
      <c r="P106" s="36"/>
      <c r="Q106" s="36"/>
    </row>
    <row r="107" spans="3:17" x14ac:dyDescent="0.25">
      <c r="C107" s="36"/>
      <c r="D107" s="36"/>
      <c r="E107" s="36"/>
      <c r="F107" s="36"/>
      <c r="G107" s="36"/>
      <c r="H107" s="36"/>
      <c r="I107" s="36"/>
      <c r="J107" s="36"/>
      <c r="K107" s="36"/>
      <c r="L107" s="36"/>
      <c r="M107" s="36"/>
      <c r="N107" s="36"/>
      <c r="O107" s="36"/>
      <c r="P107" s="36"/>
      <c r="Q107" s="36"/>
    </row>
    <row r="108" spans="3:17" x14ac:dyDescent="0.25">
      <c r="C108" s="36"/>
      <c r="D108" s="36"/>
      <c r="E108" s="36"/>
      <c r="F108" s="36"/>
      <c r="G108" s="36"/>
      <c r="H108" s="36"/>
      <c r="I108" s="36"/>
      <c r="J108" s="36"/>
      <c r="K108" s="36"/>
      <c r="L108" s="36"/>
      <c r="M108" s="36"/>
      <c r="N108" s="36"/>
      <c r="O108" s="36"/>
      <c r="P108" s="36"/>
      <c r="Q108" s="36"/>
    </row>
    <row r="109" spans="3:17" x14ac:dyDescent="0.25">
      <c r="C109" s="36"/>
      <c r="D109" s="36"/>
      <c r="E109" s="36"/>
      <c r="F109" s="36"/>
      <c r="G109" s="36"/>
      <c r="H109" s="36"/>
      <c r="I109" s="36"/>
      <c r="J109" s="36"/>
      <c r="K109" s="36"/>
      <c r="L109" s="36"/>
      <c r="M109" s="36"/>
      <c r="N109" s="36"/>
      <c r="O109" s="36"/>
      <c r="P109" s="36"/>
      <c r="Q109" s="36"/>
    </row>
    <row r="110" spans="3:17" x14ac:dyDescent="0.25">
      <c r="C110" s="36"/>
      <c r="D110" s="36"/>
      <c r="E110" s="36"/>
      <c r="F110" s="36"/>
      <c r="G110" s="36"/>
      <c r="H110" s="36"/>
      <c r="I110" s="36"/>
      <c r="J110" s="36"/>
      <c r="K110" s="36"/>
      <c r="L110" s="36"/>
      <c r="M110" s="36"/>
      <c r="N110" s="36"/>
      <c r="O110" s="36"/>
      <c r="P110" s="36"/>
      <c r="Q110" s="36"/>
    </row>
    <row r="111" spans="3:17" x14ac:dyDescent="0.25">
      <c r="C111" s="36"/>
      <c r="D111" s="36"/>
      <c r="E111" s="36"/>
      <c r="F111" s="36"/>
      <c r="G111" s="36"/>
      <c r="H111" s="36"/>
      <c r="I111" s="36"/>
      <c r="J111" s="36"/>
      <c r="K111" s="36"/>
      <c r="L111" s="36"/>
      <c r="M111" s="36"/>
      <c r="N111" s="36"/>
      <c r="O111" s="36"/>
      <c r="P111" s="36"/>
      <c r="Q111" s="36"/>
    </row>
    <row r="112" spans="3:17" x14ac:dyDescent="0.25">
      <c r="C112" s="36"/>
      <c r="D112" s="36"/>
      <c r="E112" s="36"/>
      <c r="F112" s="36"/>
      <c r="G112" s="36"/>
      <c r="H112" s="36"/>
      <c r="I112" s="36"/>
      <c r="J112" s="36"/>
      <c r="K112" s="36"/>
      <c r="L112" s="36"/>
      <c r="M112" s="36"/>
      <c r="N112" s="36"/>
      <c r="O112" s="36"/>
      <c r="P112" s="36"/>
      <c r="Q112" s="36"/>
    </row>
    <row r="113" spans="3:17" x14ac:dyDescent="0.25">
      <c r="C113" s="36"/>
      <c r="D113" s="36"/>
      <c r="E113" s="36"/>
      <c r="F113" s="36"/>
      <c r="G113" s="36"/>
      <c r="H113" s="36"/>
      <c r="I113" s="36"/>
      <c r="J113" s="36"/>
      <c r="K113" s="36"/>
      <c r="L113" s="36"/>
      <c r="M113" s="36"/>
      <c r="N113" s="36"/>
      <c r="O113" s="36"/>
      <c r="P113" s="36"/>
      <c r="Q113" s="36"/>
    </row>
    <row r="114" spans="3:17" x14ac:dyDescent="0.25">
      <c r="C114" s="36"/>
      <c r="D114" s="36"/>
      <c r="E114" s="36"/>
      <c r="F114" s="36"/>
      <c r="G114" s="36"/>
      <c r="H114" s="36"/>
      <c r="I114" s="36"/>
      <c r="J114" s="36"/>
      <c r="K114" s="36"/>
      <c r="L114" s="36"/>
      <c r="M114" s="36"/>
      <c r="N114" s="36"/>
      <c r="O114" s="36"/>
      <c r="P114" s="36"/>
      <c r="Q114" s="36"/>
    </row>
    <row r="115" spans="3:17" x14ac:dyDescent="0.25">
      <c r="C115" s="36"/>
      <c r="D115" s="36"/>
      <c r="E115" s="36"/>
      <c r="F115" s="36"/>
      <c r="G115" s="36"/>
      <c r="H115" s="36"/>
      <c r="I115" s="36"/>
      <c r="J115" s="36"/>
      <c r="K115" s="36"/>
      <c r="L115" s="36"/>
      <c r="M115" s="36"/>
      <c r="N115" s="36"/>
      <c r="O115" s="36"/>
      <c r="P115" s="36"/>
      <c r="Q115" s="36"/>
    </row>
    <row r="116" spans="3:17" x14ac:dyDescent="0.25">
      <c r="C116" s="36"/>
      <c r="D116" s="36"/>
      <c r="E116" s="36"/>
      <c r="F116" s="36"/>
      <c r="G116" s="36"/>
      <c r="H116" s="36"/>
      <c r="I116" s="36"/>
      <c r="J116" s="36"/>
      <c r="K116" s="36"/>
      <c r="L116" s="36"/>
      <c r="M116" s="36"/>
      <c r="N116" s="36"/>
      <c r="O116" s="36"/>
      <c r="P116" s="36"/>
      <c r="Q116" s="36"/>
    </row>
    <row r="117" spans="3:17" x14ac:dyDescent="0.25">
      <c r="C117" s="36"/>
      <c r="D117" s="36"/>
      <c r="E117" s="36"/>
      <c r="F117" s="36"/>
      <c r="G117" s="36"/>
      <c r="H117" s="36"/>
      <c r="I117" s="36"/>
      <c r="J117" s="36"/>
      <c r="K117" s="36"/>
      <c r="L117" s="36"/>
      <c r="M117" s="36"/>
      <c r="N117" s="36"/>
      <c r="O117" s="36"/>
      <c r="P117" s="36"/>
      <c r="Q117" s="36"/>
    </row>
    <row r="118" spans="3:17" x14ac:dyDescent="0.25">
      <c r="C118" s="36"/>
      <c r="D118" s="36"/>
      <c r="E118" s="36"/>
      <c r="F118" s="36"/>
      <c r="G118" s="36"/>
      <c r="H118" s="36"/>
      <c r="I118" s="36"/>
      <c r="J118" s="36"/>
      <c r="K118" s="36"/>
      <c r="L118" s="36"/>
      <c r="M118" s="36"/>
      <c r="N118" s="36"/>
      <c r="O118" s="36"/>
      <c r="P118" s="36"/>
      <c r="Q118" s="36"/>
    </row>
    <row r="119" spans="3:17" x14ac:dyDescent="0.25">
      <c r="C119" s="36"/>
      <c r="D119" s="36"/>
      <c r="E119" s="36"/>
      <c r="F119" s="36"/>
      <c r="G119" s="36"/>
      <c r="H119" s="36"/>
      <c r="I119" s="36"/>
      <c r="J119" s="36"/>
      <c r="K119" s="36"/>
      <c r="L119" s="36"/>
      <c r="M119" s="36"/>
      <c r="N119" s="36"/>
      <c r="O119" s="36"/>
      <c r="P119" s="36"/>
      <c r="Q119" s="36"/>
    </row>
    <row r="120" spans="3:17" x14ac:dyDescent="0.25">
      <c r="C120" s="36"/>
      <c r="D120" s="36"/>
      <c r="E120" s="36"/>
      <c r="F120" s="36"/>
      <c r="G120" s="36"/>
      <c r="H120" s="36"/>
      <c r="I120" s="36"/>
      <c r="J120" s="36"/>
      <c r="K120" s="36"/>
      <c r="L120" s="36"/>
      <c r="M120" s="36"/>
      <c r="N120" s="36"/>
      <c r="O120" s="36"/>
      <c r="P120" s="36"/>
      <c r="Q120" s="36"/>
    </row>
    <row r="121" spans="3:17" x14ac:dyDescent="0.25">
      <c r="C121" s="36"/>
      <c r="D121" s="36"/>
      <c r="E121" s="36"/>
      <c r="F121" s="36"/>
      <c r="G121" s="36"/>
      <c r="H121" s="36"/>
      <c r="I121" s="36"/>
      <c r="J121" s="36"/>
      <c r="K121" s="36"/>
      <c r="L121" s="36"/>
      <c r="M121" s="36"/>
      <c r="N121" s="36"/>
      <c r="O121" s="36"/>
      <c r="P121" s="36"/>
      <c r="Q121" s="36"/>
    </row>
    <row r="122" spans="3:17" x14ac:dyDescent="0.25">
      <c r="C122" s="36"/>
      <c r="D122" s="36"/>
      <c r="E122" s="36"/>
      <c r="F122" s="36"/>
      <c r="G122" s="36"/>
      <c r="H122" s="36"/>
      <c r="I122" s="36"/>
      <c r="J122" s="36"/>
      <c r="K122" s="36"/>
      <c r="L122" s="36"/>
      <c r="M122" s="36"/>
      <c r="N122" s="36"/>
      <c r="O122" s="36"/>
      <c r="P122" s="36"/>
      <c r="Q122" s="36"/>
    </row>
    <row r="123" spans="3:17" x14ac:dyDescent="0.25">
      <c r="C123" s="36"/>
      <c r="D123" s="36"/>
      <c r="E123" s="36"/>
      <c r="F123" s="36"/>
      <c r="G123" s="36"/>
      <c r="H123" s="36"/>
      <c r="I123" s="36"/>
      <c r="J123" s="36"/>
      <c r="K123" s="36"/>
      <c r="L123" s="36"/>
      <c r="M123" s="36"/>
      <c r="N123" s="36"/>
      <c r="O123" s="36"/>
      <c r="P123" s="36"/>
      <c r="Q123" s="36"/>
    </row>
    <row r="124" spans="3:17" x14ac:dyDescent="0.25">
      <c r="C124" s="36"/>
      <c r="D124" s="36"/>
      <c r="E124" s="36"/>
      <c r="F124" s="36"/>
      <c r="G124" s="36"/>
      <c r="H124" s="36"/>
      <c r="I124" s="36"/>
      <c r="J124" s="36"/>
      <c r="K124" s="36"/>
      <c r="L124" s="36"/>
      <c r="M124" s="36"/>
      <c r="N124" s="36"/>
      <c r="O124" s="36"/>
      <c r="P124" s="36"/>
      <c r="Q124" s="36"/>
    </row>
    <row r="125" spans="3:17" x14ac:dyDescent="0.25">
      <c r="C125" s="36"/>
      <c r="D125" s="36"/>
      <c r="E125" s="36"/>
      <c r="F125" s="36"/>
      <c r="G125" s="36"/>
      <c r="H125" s="36"/>
      <c r="I125" s="36"/>
      <c r="J125" s="36"/>
      <c r="K125" s="36"/>
      <c r="L125" s="36"/>
      <c r="M125" s="36"/>
      <c r="N125" s="36"/>
      <c r="O125" s="36"/>
      <c r="P125" s="36"/>
      <c r="Q125" s="36"/>
    </row>
    <row r="126" spans="3:17" x14ac:dyDescent="0.25">
      <c r="C126" s="36"/>
      <c r="D126" s="36"/>
      <c r="E126" s="36"/>
      <c r="F126" s="36"/>
      <c r="G126" s="36"/>
      <c r="H126" s="36"/>
      <c r="I126" s="36"/>
      <c r="J126" s="36"/>
      <c r="K126" s="36"/>
      <c r="L126" s="36"/>
      <c r="M126" s="36"/>
      <c r="N126" s="36"/>
      <c r="O126" s="36"/>
      <c r="P126" s="36"/>
      <c r="Q126" s="36"/>
    </row>
    <row r="127" spans="3:17" x14ac:dyDescent="0.25">
      <c r="C127" s="36"/>
      <c r="D127" s="36"/>
      <c r="E127" s="36"/>
      <c r="F127" s="36"/>
      <c r="G127" s="36"/>
      <c r="H127" s="36"/>
      <c r="I127" s="36"/>
      <c r="J127" s="36"/>
      <c r="K127" s="36"/>
      <c r="L127" s="36"/>
      <c r="M127" s="36"/>
      <c r="N127" s="36"/>
      <c r="O127" s="36"/>
      <c r="P127" s="36"/>
      <c r="Q127" s="36"/>
    </row>
    <row r="128" spans="3:17" x14ac:dyDescent="0.25">
      <c r="C128" s="36"/>
      <c r="D128" s="36"/>
      <c r="E128" s="36"/>
      <c r="F128" s="36"/>
      <c r="G128" s="36"/>
      <c r="H128" s="36"/>
      <c r="I128" s="36"/>
      <c r="J128" s="36"/>
      <c r="K128" s="36"/>
      <c r="L128" s="36"/>
      <c r="M128" s="36"/>
      <c r="N128" s="36"/>
      <c r="O128" s="36"/>
      <c r="P128" s="36"/>
      <c r="Q128" s="36"/>
    </row>
    <row r="129" spans="3:17" x14ac:dyDescent="0.25">
      <c r="C129" s="36"/>
      <c r="D129" s="36"/>
      <c r="E129" s="36"/>
      <c r="F129" s="36"/>
      <c r="G129" s="36"/>
      <c r="H129" s="36"/>
      <c r="I129" s="36"/>
      <c r="J129" s="36"/>
      <c r="K129" s="36"/>
      <c r="L129" s="36"/>
      <c r="M129" s="36"/>
      <c r="N129" s="36"/>
      <c r="O129" s="36"/>
      <c r="P129" s="36"/>
      <c r="Q129" s="36"/>
    </row>
    <row r="130" spans="3:17" x14ac:dyDescent="0.25">
      <c r="C130" s="36"/>
      <c r="D130" s="36"/>
      <c r="E130" s="36"/>
      <c r="F130" s="36"/>
      <c r="G130" s="36"/>
      <c r="H130" s="36"/>
      <c r="I130" s="36"/>
      <c r="J130" s="36"/>
      <c r="K130" s="36"/>
      <c r="L130" s="36"/>
      <c r="M130" s="36"/>
      <c r="N130" s="36"/>
      <c r="O130" s="36"/>
      <c r="P130" s="36"/>
      <c r="Q130" s="36"/>
    </row>
    <row r="131" spans="3:17" x14ac:dyDescent="0.25">
      <c r="C131" s="36"/>
      <c r="D131" s="36"/>
      <c r="E131" s="36"/>
      <c r="F131" s="36"/>
      <c r="G131" s="36"/>
      <c r="H131" s="36"/>
      <c r="I131" s="36"/>
      <c r="J131" s="36"/>
      <c r="K131" s="36"/>
      <c r="L131" s="36"/>
      <c r="M131" s="36"/>
      <c r="N131" s="36"/>
      <c r="O131" s="36"/>
      <c r="P131" s="36"/>
      <c r="Q131" s="36"/>
    </row>
    <row r="132" spans="3:17" x14ac:dyDescent="0.25">
      <c r="C132" s="36"/>
      <c r="D132" s="36"/>
      <c r="E132" s="36"/>
      <c r="F132" s="36"/>
      <c r="G132" s="36"/>
      <c r="H132" s="36"/>
      <c r="I132" s="36"/>
      <c r="J132" s="36"/>
      <c r="K132" s="36"/>
      <c r="L132" s="36"/>
      <c r="M132" s="36"/>
      <c r="N132" s="36"/>
      <c r="O132" s="36"/>
      <c r="P132" s="36"/>
      <c r="Q132" s="36"/>
    </row>
    <row r="133" spans="3:17" x14ac:dyDescent="0.25">
      <c r="C133" s="36"/>
      <c r="D133" s="36"/>
      <c r="E133" s="36"/>
      <c r="F133" s="36"/>
      <c r="G133" s="36"/>
      <c r="H133" s="36"/>
      <c r="I133" s="36"/>
      <c r="J133" s="36"/>
      <c r="K133" s="36"/>
      <c r="L133" s="36"/>
      <c r="M133" s="36"/>
      <c r="N133" s="36"/>
      <c r="O133" s="36"/>
      <c r="P133" s="36"/>
      <c r="Q133" s="36"/>
    </row>
    <row r="134" spans="3:17" x14ac:dyDescent="0.25">
      <c r="C134" s="36"/>
      <c r="D134" s="36"/>
      <c r="E134" s="36"/>
      <c r="F134" s="36"/>
      <c r="G134" s="36"/>
      <c r="H134" s="36"/>
      <c r="I134" s="36"/>
      <c r="J134" s="36"/>
      <c r="K134" s="36"/>
      <c r="L134" s="36"/>
      <c r="M134" s="36"/>
      <c r="N134" s="36"/>
      <c r="O134" s="36"/>
      <c r="P134" s="36"/>
      <c r="Q134" s="36"/>
    </row>
    <row r="135" spans="3:17" x14ac:dyDescent="0.25">
      <c r="C135" s="36"/>
      <c r="D135" s="36"/>
      <c r="E135" s="36"/>
      <c r="F135" s="36"/>
      <c r="G135" s="36"/>
      <c r="H135" s="36"/>
      <c r="I135" s="36"/>
      <c r="J135" s="36"/>
      <c r="K135" s="36"/>
      <c r="L135" s="36"/>
      <c r="M135" s="36"/>
      <c r="N135" s="36"/>
      <c r="O135" s="36"/>
      <c r="P135" s="36"/>
      <c r="Q135" s="36"/>
    </row>
    <row r="136" spans="3:17" x14ac:dyDescent="0.25">
      <c r="C136" s="36"/>
      <c r="D136" s="36"/>
      <c r="E136" s="36"/>
      <c r="F136" s="36"/>
      <c r="G136" s="36"/>
      <c r="H136" s="36"/>
      <c r="I136" s="36"/>
      <c r="J136" s="36"/>
      <c r="K136" s="36"/>
      <c r="L136" s="36"/>
      <c r="M136" s="36"/>
      <c r="N136" s="36"/>
      <c r="O136" s="36"/>
      <c r="P136" s="36"/>
      <c r="Q136" s="36"/>
    </row>
    <row r="137" spans="3:17" x14ac:dyDescent="0.25">
      <c r="C137" s="36"/>
      <c r="D137" s="36"/>
      <c r="E137" s="36"/>
      <c r="F137" s="36"/>
      <c r="G137" s="36"/>
      <c r="H137" s="36"/>
      <c r="I137" s="36"/>
      <c r="J137" s="36"/>
      <c r="K137" s="36"/>
      <c r="L137" s="36"/>
      <c r="M137" s="36"/>
      <c r="N137" s="36"/>
      <c r="O137" s="36"/>
      <c r="P137" s="36"/>
      <c r="Q137" s="36"/>
    </row>
  </sheetData>
  <mergeCells count="1">
    <mergeCell ref="C4:Q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70"/>
  <sheetViews>
    <sheetView showGridLines="0" tabSelected="1" topLeftCell="C44" zoomScale="80" zoomScaleNormal="80" zoomScaleSheetLayoutView="90" workbookViewId="0">
      <selection activeCell="I46" sqref="I46"/>
    </sheetView>
  </sheetViews>
  <sheetFormatPr defaultRowHeight="15" x14ac:dyDescent="0.25"/>
  <cols>
    <col min="1" max="1" width="1.85546875" customWidth="1"/>
    <col min="2" max="2" width="31.42578125" customWidth="1"/>
    <col min="3" max="3" width="11.5703125" customWidth="1"/>
    <col min="4" max="4" width="12.85546875" customWidth="1"/>
    <col min="5" max="5" width="15.140625" customWidth="1"/>
    <col min="6" max="7" width="12.5703125" customWidth="1"/>
    <col min="8" max="8" width="1.140625" customWidth="1"/>
    <col min="9" max="9" width="12.5703125" customWidth="1"/>
    <col min="10" max="10" width="13.85546875" customWidth="1"/>
    <col min="11" max="11" width="13.140625" customWidth="1"/>
    <col min="12" max="12" width="2.140625" customWidth="1"/>
    <col min="13" max="17" width="9.140625" style="45"/>
    <col min="19" max="19" width="12" bestFit="1" customWidth="1"/>
  </cols>
  <sheetData>
    <row r="2" spans="2:17" ht="18.75" x14ac:dyDescent="0.3">
      <c r="B2" s="95" t="str">
        <f>'Data Sheet'!B1&amp;" - One Page Profile"</f>
        <v>INFOSYS LTD - One Page Profile</v>
      </c>
      <c r="C2" s="95"/>
      <c r="D2" s="95"/>
      <c r="E2" s="95"/>
      <c r="F2" s="95"/>
      <c r="G2" s="95"/>
      <c r="H2" s="95"/>
      <c r="I2" s="95"/>
      <c r="J2" s="95"/>
      <c r="K2" s="95"/>
    </row>
    <row r="3" spans="2:17" s="33" customFormat="1" ht="6.75" customHeight="1" x14ac:dyDescent="0.25">
      <c r="B3" s="32"/>
      <c r="C3" s="32"/>
      <c r="D3" s="32"/>
      <c r="E3" s="32"/>
      <c r="F3" s="32"/>
      <c r="G3" s="32"/>
      <c r="H3" s="32"/>
      <c r="I3" s="32"/>
      <c r="J3" s="32"/>
      <c r="K3" s="32"/>
      <c r="M3" s="45"/>
      <c r="N3" s="45"/>
      <c r="O3" s="45"/>
      <c r="P3" s="45"/>
      <c r="Q3" s="45"/>
    </row>
    <row r="4" spans="2:17" ht="90" customHeight="1" x14ac:dyDescent="0.25">
      <c r="B4" s="38"/>
      <c r="C4" s="94" t="str">
        <f>'Input Sheet'!C4:Q4</f>
        <v>Infosys Limited is one of India's leading multinational information technology (IT) services and consulting companies, established in 1981 by N. R. Narayana Murthy and six other engineers. Headquartered in Bengaluru, the company provides a wide range of services, including IT consulting, software development, cloud computing, artificial intelligence (AI), data analytics, cybersecurity, digital transformation, and business process management. Infosys serves clients across various industries such as banking, healthcare, retail, manufacturing, telecommunications, and financial services in more than 50 countries.</v>
      </c>
      <c r="D4" s="94"/>
      <c r="E4" s="94"/>
      <c r="F4" s="94"/>
      <c r="G4" s="94"/>
      <c r="H4" s="94"/>
      <c r="I4" s="94"/>
      <c r="J4" s="94"/>
      <c r="K4" s="94"/>
    </row>
    <row r="5" spans="2:17" x14ac:dyDescent="0.25">
      <c r="B5" s="65" t="s">
        <v>96</v>
      </c>
    </row>
    <row r="6" spans="2:17" ht="15.75" x14ac:dyDescent="0.25">
      <c r="B6" s="39" t="s">
        <v>94</v>
      </c>
      <c r="C6" s="40">
        <f>'Profit &amp; Loss'!G3</f>
        <v>44651</v>
      </c>
      <c r="D6" s="40">
        <f>'Profit &amp; Loss'!H3</f>
        <v>45016</v>
      </c>
      <c r="E6" s="40">
        <f>'Profit &amp; Loss'!I3</f>
        <v>45382</v>
      </c>
      <c r="F6" s="40">
        <f>'Profit &amp; Loss'!J3</f>
        <v>45747</v>
      </c>
      <c r="G6" s="40">
        <f>'Profit &amp; Loss'!K3</f>
        <v>46112</v>
      </c>
      <c r="I6" s="96" t="s">
        <v>117</v>
      </c>
      <c r="J6" s="96"/>
      <c r="K6" s="96"/>
    </row>
    <row r="7" spans="2:17" ht="3" customHeight="1" x14ac:dyDescent="0.25"/>
    <row r="8" spans="2:17" x14ac:dyDescent="0.25">
      <c r="B8" s="59" t="s">
        <v>95</v>
      </c>
      <c r="C8" s="60">
        <f>'Profit &amp; Loss'!G4</f>
        <v>121641</v>
      </c>
      <c r="D8" s="60">
        <f>'Profit &amp; Loss'!H4</f>
        <v>146767</v>
      </c>
      <c r="E8" s="60">
        <f>'Profit &amp; Loss'!I4</f>
        <v>153670</v>
      </c>
      <c r="F8" s="60">
        <f>'Profit &amp; Loss'!J4</f>
        <v>162990</v>
      </c>
      <c r="G8" s="60">
        <f>'Profit &amp; Loss'!K4</f>
        <v>178650</v>
      </c>
    </row>
    <row r="9" spans="2:17" x14ac:dyDescent="0.25">
      <c r="B9" s="61" t="s">
        <v>97</v>
      </c>
      <c r="C9" s="62">
        <f>'Profit &amp; Loss'!G27</f>
        <v>0.21069551715900947</v>
      </c>
      <c r="D9" s="62">
        <f>'Profit &amp; Loss'!H27</f>
        <v>0.20655864387829759</v>
      </c>
      <c r="E9" s="62">
        <f>'Profit &amp; Loss'!I27</f>
        <v>4.7033733741236095E-2</v>
      </c>
      <c r="F9" s="62">
        <f>'Profit &amp; Loss'!J27</f>
        <v>6.0649443612936782E-2</v>
      </c>
      <c r="G9" s="62">
        <f>'Profit &amp; Loss'!K27</f>
        <v>9.6079514080618544E-2</v>
      </c>
    </row>
    <row r="10" spans="2:17" x14ac:dyDescent="0.25">
      <c r="B10" s="59" t="s">
        <v>101</v>
      </c>
      <c r="C10" s="63">
        <f>'Profit &amp; Loss'!G30</f>
        <v>0.82882416290559924</v>
      </c>
      <c r="D10" s="63">
        <f>'Profit &amp; Loss'!H30</f>
        <v>0.81940081898519423</v>
      </c>
      <c r="E10" s="63">
        <f>'Profit &amp; Loss'!I30</f>
        <v>0.8217348864449795</v>
      </c>
      <c r="F10" s="63">
        <f>'Profit &amp; Loss'!J30</f>
        <v>0.81215411988465547</v>
      </c>
      <c r="G10" s="63">
        <f>'Profit &amp; Loss'!K30</f>
        <v>0.81446963336132105</v>
      </c>
    </row>
    <row r="11" spans="2:17" x14ac:dyDescent="0.25">
      <c r="B11" s="59" t="s">
        <v>105</v>
      </c>
      <c r="C11" s="63">
        <f>'Profit &amp; Loss'!G32</f>
        <v>0.25888475102966929</v>
      </c>
      <c r="D11" s="63">
        <f>'Profit &amp; Loss'!H32</f>
        <v>0.23935898396778568</v>
      </c>
      <c r="E11" s="63">
        <f>'Profit &amp; Loss'!I32</f>
        <v>0.23703390381987374</v>
      </c>
      <c r="F11" s="63">
        <f>'Profit &amp; Loss'!J32</f>
        <v>0.24072642493404503</v>
      </c>
      <c r="G11" s="63">
        <f>'Profit &amp; Loss'!K32</f>
        <v>0.23666386789812482</v>
      </c>
    </row>
    <row r="12" spans="2:17" x14ac:dyDescent="0.25">
      <c r="B12" s="59" t="s">
        <v>104</v>
      </c>
      <c r="C12" s="63">
        <f>'Profit &amp; Loss'!G34</f>
        <v>0.23030885967724699</v>
      </c>
      <c r="D12" s="63">
        <f>'Profit &amp; Loss'!H34</f>
        <v>0.21057185879659596</v>
      </c>
      <c r="E12" s="63">
        <f>'Profit &amp; Loss'!I34</f>
        <v>0.20659204789483959</v>
      </c>
      <c r="F12" s="63">
        <f>'Profit &amp; Loss'!J34</f>
        <v>0.21120314129701209</v>
      </c>
      <c r="G12" s="63">
        <f>'Profit &amp; Loss'!K34</f>
        <v>0.20922474111390987</v>
      </c>
    </row>
    <row r="13" spans="2:17" x14ac:dyDescent="0.25">
      <c r="B13" s="59" t="s">
        <v>107</v>
      </c>
      <c r="C13" s="63">
        <f>'Profit &amp; Loss'!G36</f>
        <v>0.18176437221002786</v>
      </c>
      <c r="D13" s="63">
        <f>'Profit &amp; Loss'!H36</f>
        <v>0.16417178248516356</v>
      </c>
      <c r="E13" s="63">
        <f>'Profit &amp; Loss'!I36</f>
        <v>0.17070996290752913</v>
      </c>
      <c r="F13" s="63">
        <f>'Profit &amp; Loss'!J36</f>
        <v>0.16389349039818393</v>
      </c>
      <c r="G13" s="63">
        <f>'Profit &amp; Loss'!K36</f>
        <v>0.16479149174363281</v>
      </c>
    </row>
    <row r="14" spans="2:17" x14ac:dyDescent="0.25">
      <c r="B14" s="59" t="s">
        <v>108</v>
      </c>
      <c r="C14" s="64">
        <f>'Profit &amp; Loss'!G13</f>
        <v>52.559013003066532</v>
      </c>
      <c r="D14" s="64">
        <f>'Profit &amp; Loss'!H13</f>
        <v>58.079834160921756</v>
      </c>
      <c r="E14" s="64">
        <f>'Profit &amp; Loss'!I13</f>
        <v>63.198342528126432</v>
      </c>
      <c r="F14" s="64">
        <f>'Profit &amp; Loss'!J13</f>
        <v>64.317530638287636</v>
      </c>
      <c r="G14" s="64">
        <f>'Profit &amp; Loss'!K13</f>
        <v>72.590985304270632</v>
      </c>
    </row>
    <row r="15" spans="2:17" x14ac:dyDescent="0.25">
      <c r="B15" s="61" t="s">
        <v>109</v>
      </c>
      <c r="C15" s="62">
        <f>'Profit &amp; Loss'!G38</f>
        <v>0.15724348458563164</v>
      </c>
      <c r="D15" s="62">
        <f>'Profit &amp; Loss'!H38</f>
        <v>0.10504042679669645</v>
      </c>
      <c r="E15" s="62">
        <f>'Profit &amp; Loss'!I38</f>
        <v>8.812883922882464E-2</v>
      </c>
      <c r="F15" s="62">
        <f>'Profit &amp; Loss'!J38</f>
        <v>1.7709137065787806E-2</v>
      </c>
      <c r="G15" s="62">
        <f>'Profit &amp; Loss'!K38</f>
        <v>0.12863451976276408</v>
      </c>
    </row>
    <row r="16" spans="2:17" x14ac:dyDescent="0.25">
      <c r="B16" s="59" t="s">
        <v>113</v>
      </c>
      <c r="C16" s="64">
        <f>'Profit &amp; Loss'!G40</f>
        <v>30.921149594694175</v>
      </c>
      <c r="D16" s="64">
        <f>'Profit &amp; Loss'!H40</f>
        <v>33.913127320059779</v>
      </c>
      <c r="E16" s="64">
        <f>'Profit &amp; Loss'!I40</f>
        <v>45.901370787058227</v>
      </c>
      <c r="F16" s="64">
        <f>'Profit &amp; Loss'!J40</f>
        <v>42.924421544314164</v>
      </c>
      <c r="G16" s="64">
        <f>'Profit &amp; Loss'!K40</f>
        <v>47.910050300818618</v>
      </c>
    </row>
    <row r="17" spans="2:11" x14ac:dyDescent="0.25">
      <c r="B17" s="61" t="s">
        <v>114</v>
      </c>
      <c r="C17" s="62">
        <f>'Profit &amp; Loss'!G41</f>
        <v>0.148651583996944</v>
      </c>
      <c r="D17" s="62">
        <f>'Profit &amp; Loss'!H41</f>
        <v>9.6761529392781931E-2</v>
      </c>
      <c r="E17" s="62">
        <f>'Profit &amp; Loss'!I41</f>
        <v>0.35349861290755524</v>
      </c>
      <c r="F17" s="62">
        <f>'Profit &amp; Loss'!J41</f>
        <v>-6.4855345095345296E-2</v>
      </c>
      <c r="G17" s="62">
        <f>'Profit &amp; Loss'!K41</f>
        <v>0.11614900276192208</v>
      </c>
    </row>
    <row r="18" spans="2:11" ht="10.5" customHeight="1" x14ac:dyDescent="0.25"/>
    <row r="19" spans="2:11" ht="15.75" x14ac:dyDescent="0.25">
      <c r="B19" s="39" t="s">
        <v>126</v>
      </c>
      <c r="C19" s="51">
        <f t="shared" ref="C19:G19" si="0">C6</f>
        <v>44651</v>
      </c>
      <c r="D19" s="51">
        <f t="shared" si="0"/>
        <v>45016</v>
      </c>
      <c r="E19" s="51">
        <f t="shared" si="0"/>
        <v>45382</v>
      </c>
      <c r="F19" s="51">
        <f t="shared" si="0"/>
        <v>45747</v>
      </c>
      <c r="G19" s="51">
        <f t="shared" si="0"/>
        <v>46112</v>
      </c>
      <c r="I19" s="96" t="s">
        <v>134</v>
      </c>
      <c r="J19" s="96"/>
      <c r="K19" s="96"/>
    </row>
    <row r="20" spans="2:11" ht="3" customHeight="1" x14ac:dyDescent="0.25"/>
    <row r="21" spans="2:11" x14ac:dyDescent="0.25">
      <c r="B21" s="59" t="s">
        <v>127</v>
      </c>
      <c r="C21" s="66">
        <f>'Profit &amp; Loss'!G14</f>
        <v>36.280171393034827</v>
      </c>
      <c r="D21" s="66">
        <f>'Profit &amp; Loss'!H14</f>
        <v>24.585986179705333</v>
      </c>
      <c r="E21" s="66">
        <f>'Profit &amp; Loss'!I14</f>
        <v>23.703944440208897</v>
      </c>
      <c r="F21" s="66">
        <f>'Profit &amp; Loss'!J14</f>
        <v>24.420247239171935</v>
      </c>
      <c r="G21" s="66">
        <f>'Profit &amp; Loss'!K14</f>
        <v>17.228034510869566</v>
      </c>
    </row>
    <row r="22" spans="2:11" x14ac:dyDescent="0.25">
      <c r="B22" s="59" t="s">
        <v>128</v>
      </c>
      <c r="C22" s="66">
        <f>'Profit &amp; Loss'!G48</f>
        <v>25.091505176082055</v>
      </c>
      <c r="D22" s="66">
        <f>'Profit &amp; Loss'!H48</f>
        <v>16.752784998576718</v>
      </c>
      <c r="E22" s="66">
        <f>'Profit &amp; Loss'!I48</f>
        <v>16.894950569663692</v>
      </c>
      <c r="F22" s="66">
        <f>'Profit &amp; Loss'!J48</f>
        <v>16.21240861708635</v>
      </c>
      <c r="G22" s="66">
        <f>'Profit &amp; Loss'!K48</f>
        <v>11.687992809839166</v>
      </c>
    </row>
    <row r="23" spans="2:11" x14ac:dyDescent="0.25">
      <c r="B23" s="59" t="s">
        <v>129</v>
      </c>
      <c r="C23" s="66">
        <f>'Profit &amp; Loss'!G49</f>
        <v>6.4958080704696606</v>
      </c>
      <c r="D23" s="66">
        <f>'Profit &amp; Loss'!H49</f>
        <v>4.0099295958900845</v>
      </c>
      <c r="E23" s="66">
        <f>'Profit &amp; Loss'!I49</f>
        <v>4.0046760883711849</v>
      </c>
      <c r="F23" s="66">
        <f>'Profit &amp; Loss'!J49</f>
        <v>3.9027551659611017</v>
      </c>
      <c r="G23" s="66">
        <f>'Profit &amp; Loss'!K49</f>
        <v>2.7661255863420093</v>
      </c>
    </row>
    <row r="24" spans="2:11" x14ac:dyDescent="0.25">
      <c r="B24" s="59" t="s">
        <v>130</v>
      </c>
      <c r="C24" s="66">
        <f>'Profit &amp; Loss'!G51</f>
        <v>10.645714525547445</v>
      </c>
      <c r="D24" s="66">
        <f>'Profit &amp; Loss'!H51</f>
        <v>7.8560257933613595</v>
      </c>
      <c r="E24" s="66">
        <f>'Profit &amp; Loss'!I51</f>
        <v>7.056897436333923</v>
      </c>
      <c r="F24" s="66">
        <f>'Profit &amp; Loss'!J51</f>
        <v>6.8080951856644889</v>
      </c>
      <c r="G24" s="66">
        <f>'Profit &amp; Loss'!K51</f>
        <v>5.4623846120708217</v>
      </c>
    </row>
    <row r="25" spans="2:11" x14ac:dyDescent="0.25">
      <c r="B25" s="59" t="s">
        <v>131</v>
      </c>
      <c r="C25" s="63">
        <f>'Balance Sheet'!G23</f>
        <v>0.29343065693430659</v>
      </c>
      <c r="D25" s="63">
        <f>'Balance Sheet'!H23</f>
        <v>0.31953266938082669</v>
      </c>
      <c r="E25" s="63">
        <f>'Balance Sheet'!I23</f>
        <v>0.29770983703300197</v>
      </c>
      <c r="F25" s="63">
        <f>'Balance Sheet'!J23</f>
        <v>0.27878895405873633</v>
      </c>
      <c r="G25" s="63">
        <f>'Balance Sheet'!K23</f>
        <v>0.31706371429802266</v>
      </c>
      <c r="H25" s="52"/>
    </row>
    <row r="26" spans="2:11" x14ac:dyDescent="0.25">
      <c r="B26" s="59" t="s">
        <v>132</v>
      </c>
      <c r="C26" s="63">
        <f>'Balance Sheet'!G24</f>
        <v>0.37304615384615386</v>
      </c>
      <c r="D26" s="63">
        <f>'Balance Sheet'!H24</f>
        <v>0.40850908648878625</v>
      </c>
      <c r="E26" s="63">
        <f>'Balance Sheet'!I24</f>
        <v>0.40468195869708795</v>
      </c>
      <c r="F26" s="63">
        <f>'Balance Sheet'!J24</f>
        <v>0.37925393975663274</v>
      </c>
      <c r="G26" s="63">
        <f>'Balance Sheet'!K24</f>
        <v>0.39220082203879209</v>
      </c>
      <c r="H26" s="52"/>
    </row>
    <row r="27" spans="2:11" ht="10.5" customHeight="1" x14ac:dyDescent="0.25"/>
    <row r="28" spans="2:11" ht="15.75" x14ac:dyDescent="0.25">
      <c r="B28" s="56" t="s">
        <v>145</v>
      </c>
      <c r="C28" s="92" t="str">
        <f>'Share Price'!I18</f>
        <v>N. Share (In Crs)</v>
      </c>
      <c r="D28" s="92"/>
      <c r="E28" s="56" t="str">
        <f>'Share Price'!J18</f>
        <v>Holding %</v>
      </c>
      <c r="F28" s="92" t="str">
        <f>'Share Price'!K18</f>
        <v>Market Value  (In Crs)</v>
      </c>
      <c r="G28" s="92"/>
      <c r="I28" s="97" t="s">
        <v>156</v>
      </c>
      <c r="J28" s="97"/>
      <c r="K28" s="97"/>
    </row>
    <row r="29" spans="2:11" ht="3" customHeight="1" x14ac:dyDescent="0.25"/>
    <row r="30" spans="2:11" x14ac:dyDescent="0.25">
      <c r="B30" s="59" t="str">
        <f>'Share Price'!H19</f>
        <v>LIFE INSURANCE CORPORATION OF INDIA</v>
      </c>
      <c r="C30" s="98">
        <f>'Share Price'!I19</f>
        <v>43.278287200000001</v>
      </c>
      <c r="D30" s="98"/>
      <c r="E30" s="63">
        <f>'Share Price'!J19</f>
        <v>0.11539999999999999</v>
      </c>
      <c r="F30" s="99">
        <f>'Share Price'!K19</f>
        <v>49358.886551600001</v>
      </c>
      <c r="G30" s="99"/>
    </row>
    <row r="31" spans="2:11" x14ac:dyDescent="0.25">
      <c r="B31" s="59" t="str">
        <f>'Share Price'!H20</f>
        <v>ICICI PRUDENTIAL MUTUAL FUND</v>
      </c>
      <c r="C31" s="98">
        <f>'Share Price'!I20</f>
        <v>17.7653879</v>
      </c>
      <c r="D31" s="98"/>
      <c r="E31" s="63">
        <f>'Share Price'!J20</f>
        <v>4.7400000000000005E-2</v>
      </c>
      <c r="F31" s="99">
        <f>'Share Price'!K20</f>
        <v>20261.424899950001</v>
      </c>
      <c r="G31" s="99"/>
    </row>
    <row r="32" spans="2:11" x14ac:dyDescent="0.25">
      <c r="B32" s="59" t="str">
        <f>'Share Price'!H21</f>
        <v>SBI MUTUAL FUND</v>
      </c>
      <c r="C32" s="98">
        <f>'Share Price'!I21</f>
        <v>17.4628701</v>
      </c>
      <c r="D32" s="98"/>
      <c r="E32" s="63">
        <f>'Share Price'!J21</f>
        <v>4.6600000000000003E-2</v>
      </c>
      <c r="F32" s="99">
        <f>'Share Price'!K21</f>
        <v>19916.403349050001</v>
      </c>
      <c r="G32" s="99"/>
    </row>
    <row r="33" spans="2:20" x14ac:dyDescent="0.25">
      <c r="B33" s="59" t="str">
        <f>'Share Price'!H22</f>
        <v>National Pension System Trust</v>
      </c>
      <c r="C33" s="98">
        <f>'Share Price'!I22</f>
        <v>11.2180175</v>
      </c>
      <c r="D33" s="98"/>
      <c r="E33" s="63">
        <f>'Share Price'!J22</f>
        <v>2.9900000000000003E-2</v>
      </c>
      <c r="F33" s="99">
        <f>'Share Price'!K22</f>
        <v>12794.14895875</v>
      </c>
      <c r="G33" s="99"/>
    </row>
    <row r="34" spans="2:20" x14ac:dyDescent="0.25">
      <c r="B34" s="59" t="str">
        <f>'Share Price'!H23</f>
        <v>SUDHA GOPALAKRISHNAN</v>
      </c>
      <c r="C34" s="98">
        <f>'Share Price'!I23</f>
        <v>9.5357000000000003</v>
      </c>
      <c r="D34" s="98"/>
      <c r="E34" s="63">
        <f>'Share Price'!J23</f>
        <v>2.5399999999999999E-2</v>
      </c>
      <c r="F34" s="99">
        <f>'Share Price'!K23</f>
        <v>10875.465850000001</v>
      </c>
      <c r="G34" s="99"/>
    </row>
    <row r="35" spans="2:20" x14ac:dyDescent="0.25">
      <c r="B35" s="59" t="str">
        <f>'Share Price'!H24</f>
        <v>NIPPON LIFE INDIA TRUSTEE</v>
      </c>
      <c r="C35" s="98">
        <f>'Share Price'!I24</f>
        <v>8.4066206999999995</v>
      </c>
      <c r="D35" s="98"/>
      <c r="E35" s="63">
        <f>'Share Price'!J24</f>
        <v>2.2400000000000003E-2</v>
      </c>
      <c r="F35" s="99">
        <f>'Share Price'!K24</f>
        <v>9587.750908349999</v>
      </c>
      <c r="G35" s="99"/>
    </row>
    <row r="36" spans="2:20" x14ac:dyDescent="0.25">
      <c r="B36" s="59" t="str">
        <f>'Share Price'!H25</f>
        <v>HDFC MUTUAL FUND</v>
      </c>
      <c r="C36" s="98">
        <f>'Share Price'!I25</f>
        <v>7.6375295000000003</v>
      </c>
      <c r="D36" s="98"/>
      <c r="E36" s="63">
        <f>'Share Price'!J25</f>
        <v>2.0400000000000001E-2</v>
      </c>
      <c r="F36" s="99">
        <f>'Share Price'!K25</f>
        <v>8710.6023947499998</v>
      </c>
      <c r="G36" s="99"/>
    </row>
    <row r="37" spans="2:20" x14ac:dyDescent="0.25">
      <c r="B37" s="59" t="str">
        <f>'Share Price'!H26</f>
        <v>UTI MUTUAL FUND</v>
      </c>
      <c r="C37" s="98">
        <f>'Share Price'!I26</f>
        <v>6.6441622999999996</v>
      </c>
      <c r="D37" s="98"/>
      <c r="E37" s="63">
        <f>'Share Price'!J26</f>
        <v>1.77E-2</v>
      </c>
      <c r="F37" s="99">
        <f>'Share Price'!K26</f>
        <v>7577.66710315</v>
      </c>
      <c r="G37" s="99"/>
    </row>
    <row r="38" spans="2:20" x14ac:dyDescent="0.25">
      <c r="B38" s="59" t="str">
        <f>'Share Price'!H27</f>
        <v>ROHAN MURTY</v>
      </c>
      <c r="C38" s="98">
        <f>'Share Price'!I27</f>
        <v>6.0812891999999996</v>
      </c>
      <c r="D38" s="98"/>
      <c r="E38" s="63">
        <f>'Share Price'!J27</f>
        <v>1.6200000000000003E-2</v>
      </c>
      <c r="F38" s="99">
        <f>'Share Price'!K27</f>
        <v>6935.7103325999997</v>
      </c>
      <c r="G38" s="99"/>
      <c r="S38" s="87"/>
      <c r="T38" s="88"/>
    </row>
    <row r="39" spans="2:20" x14ac:dyDescent="0.25">
      <c r="B39" s="59" t="str">
        <f>'Share Price'!H28</f>
        <v>SBI LIFE INSURANCE CO. LTD</v>
      </c>
      <c r="C39" s="98">
        <f>'Share Price'!I28</f>
        <v>5.2826814000000004</v>
      </c>
      <c r="D39" s="98"/>
      <c r="E39" s="63">
        <f>'Share Price'!J28</f>
        <v>1.41E-2</v>
      </c>
      <c r="F39" s="99">
        <f>'Share Price'!K28</f>
        <v>6024.8981367000006</v>
      </c>
      <c r="G39" s="99"/>
      <c r="S39" s="87"/>
      <c r="T39" s="88"/>
    </row>
    <row r="40" spans="2:20" ht="10.5" customHeight="1" x14ac:dyDescent="0.25">
      <c r="B40" s="69"/>
      <c r="C40" s="69"/>
      <c r="D40" s="69"/>
      <c r="E40" s="69"/>
      <c r="F40" s="69"/>
      <c r="G40" s="69"/>
      <c r="S40" s="87"/>
      <c r="T40" s="88"/>
    </row>
    <row r="41" spans="2:20" ht="15.75" x14ac:dyDescent="0.25">
      <c r="B41" s="56" t="s">
        <v>164</v>
      </c>
      <c r="C41" s="92" t="s">
        <v>167</v>
      </c>
      <c r="D41" s="92"/>
      <c r="E41" s="56" t="s">
        <v>166</v>
      </c>
      <c r="F41" s="92" t="s">
        <v>168</v>
      </c>
      <c r="G41" s="92"/>
      <c r="I41" s="54" t="s">
        <v>157</v>
      </c>
      <c r="J41" s="46"/>
      <c r="K41" s="46"/>
      <c r="S41" s="87"/>
      <c r="T41" s="88"/>
    </row>
    <row r="42" spans="2:20" ht="5.25" customHeight="1" x14ac:dyDescent="0.25">
      <c r="C42" s="93"/>
      <c r="D42" s="93"/>
      <c r="S42" s="87"/>
      <c r="T42" s="88"/>
    </row>
    <row r="43" spans="2:20" x14ac:dyDescent="0.25">
      <c r="B43" s="71" t="s">
        <v>169</v>
      </c>
      <c r="C43" s="89" t="s">
        <v>170</v>
      </c>
      <c r="D43" s="89"/>
      <c r="E43" s="72">
        <v>3.18</v>
      </c>
      <c r="F43" s="90">
        <v>29</v>
      </c>
      <c r="G43" s="91"/>
      <c r="I43" s="59" t="s">
        <v>158</v>
      </c>
      <c r="J43" s="59"/>
      <c r="K43" s="68">
        <f>'Data Sheet'!B8</f>
        <v>1159.75</v>
      </c>
      <c r="S43" s="87"/>
      <c r="T43" s="88"/>
    </row>
    <row r="44" spans="2:20" x14ac:dyDescent="0.25">
      <c r="B44" s="59" t="s">
        <v>171</v>
      </c>
      <c r="C44" s="89" t="s">
        <v>170</v>
      </c>
      <c r="D44" s="89"/>
      <c r="E44" s="67">
        <v>3.5</v>
      </c>
      <c r="F44" s="90">
        <v>31</v>
      </c>
      <c r="G44" s="91"/>
      <c r="I44" s="69" t="s">
        <v>159</v>
      </c>
      <c r="J44" s="69"/>
      <c r="K44" s="73">
        <f>'Data Sheet'!B6</f>
        <v>405.82829057986635</v>
      </c>
      <c r="S44" s="87"/>
      <c r="T44" s="88"/>
    </row>
    <row r="45" spans="2:20" ht="15.75" thickBot="1" x14ac:dyDescent="0.3">
      <c r="B45" s="59" t="s">
        <v>172</v>
      </c>
      <c r="C45" s="89" t="s">
        <v>170</v>
      </c>
      <c r="D45" s="89"/>
      <c r="E45" s="72">
        <v>2.5099999999999998</v>
      </c>
      <c r="F45" s="90">
        <v>23</v>
      </c>
      <c r="G45" s="91"/>
      <c r="I45" s="74" t="s">
        <v>79</v>
      </c>
      <c r="J45" s="74"/>
      <c r="K45" s="75">
        <f>K43*K44</f>
        <v>470659.36</v>
      </c>
      <c r="S45" s="87"/>
      <c r="T45" s="88"/>
    </row>
    <row r="46" spans="2:20" x14ac:dyDescent="0.25">
      <c r="B46" s="59" t="s">
        <v>173</v>
      </c>
      <c r="C46" s="89" t="s">
        <v>170</v>
      </c>
      <c r="D46" s="89"/>
      <c r="E46" s="72">
        <v>3.12</v>
      </c>
      <c r="F46" s="90">
        <v>28</v>
      </c>
      <c r="G46" s="91"/>
      <c r="I46" s="77" t="s">
        <v>160</v>
      </c>
      <c r="J46" s="77"/>
      <c r="K46" s="78">
        <f>'Data Sheet'!K69*-1</f>
        <v>-22201</v>
      </c>
      <c r="S46" s="87"/>
      <c r="T46" s="88"/>
    </row>
    <row r="47" spans="2:20" x14ac:dyDescent="0.25">
      <c r="B47" s="59" t="s">
        <v>174</v>
      </c>
      <c r="C47" s="89" t="s">
        <v>170</v>
      </c>
      <c r="D47" s="89"/>
      <c r="E47" s="67">
        <v>2.7</v>
      </c>
      <c r="F47" s="90">
        <v>24</v>
      </c>
      <c r="G47" s="91"/>
      <c r="I47" s="79" t="s">
        <v>161</v>
      </c>
      <c r="J47" s="79"/>
      <c r="K47" s="68">
        <f>'Data Sheet'!K59</f>
        <v>9176</v>
      </c>
      <c r="S47" s="87"/>
      <c r="T47" s="88"/>
    </row>
    <row r="48" spans="2:20" x14ac:dyDescent="0.25">
      <c r="B48" s="59" t="s">
        <v>175</v>
      </c>
      <c r="C48" s="89" t="s">
        <v>170</v>
      </c>
      <c r="D48" s="89"/>
      <c r="E48" s="72">
        <v>2.58</v>
      </c>
      <c r="F48" s="90">
        <v>23</v>
      </c>
      <c r="G48" s="91"/>
      <c r="I48" s="57" t="s">
        <v>162</v>
      </c>
      <c r="J48" s="57"/>
      <c r="K48" s="58">
        <v>445</v>
      </c>
    </row>
    <row r="49" spans="2:11" ht="15.75" thickBot="1" x14ac:dyDescent="0.3">
      <c r="B49" s="59" t="s">
        <v>176</v>
      </c>
      <c r="C49" s="89" t="s">
        <v>170</v>
      </c>
      <c r="D49" s="89"/>
      <c r="E49" s="72">
        <v>2.31</v>
      </c>
      <c r="F49" s="90">
        <v>21</v>
      </c>
      <c r="G49" s="91"/>
      <c r="I49" s="74" t="s">
        <v>163</v>
      </c>
      <c r="J49" s="76"/>
      <c r="K49" s="75">
        <f>SUM(K45:K48)</f>
        <v>458079.36</v>
      </c>
    </row>
    <row r="50" spans="2:11" x14ac:dyDescent="0.25">
      <c r="B50" s="59" t="s">
        <v>165</v>
      </c>
      <c r="C50" s="89" t="s">
        <v>177</v>
      </c>
      <c r="D50" s="89"/>
      <c r="E50" s="67">
        <v>82.6</v>
      </c>
      <c r="F50" s="90">
        <v>742</v>
      </c>
      <c r="G50" s="91"/>
      <c r="I50" s="57"/>
      <c r="J50" s="57"/>
    </row>
    <row r="51" spans="2:11" x14ac:dyDescent="0.25">
      <c r="B51" s="59" t="s">
        <v>178</v>
      </c>
      <c r="C51" s="89" t="s">
        <v>179</v>
      </c>
      <c r="D51" s="89"/>
      <c r="E51" s="72">
        <v>5.53</v>
      </c>
      <c r="F51" s="90">
        <v>91</v>
      </c>
      <c r="G51" s="91"/>
      <c r="I51" s="57"/>
      <c r="J51" s="57"/>
    </row>
    <row r="52" spans="2:11" x14ac:dyDescent="0.25">
      <c r="B52" s="59" t="s">
        <v>180</v>
      </c>
      <c r="C52" s="89" t="s">
        <v>181</v>
      </c>
      <c r="D52" s="89"/>
      <c r="E52" s="72">
        <v>0.38</v>
      </c>
      <c r="F52" s="90">
        <v>16</v>
      </c>
      <c r="G52" s="91"/>
    </row>
    <row r="55" spans="2:11" ht="15.75" x14ac:dyDescent="0.25">
      <c r="B55" s="39" t="s">
        <v>182</v>
      </c>
      <c r="C55" s="80"/>
      <c r="D55" s="80"/>
      <c r="E55" s="39"/>
      <c r="F55" s="80"/>
      <c r="G55" s="80"/>
      <c r="H55" s="81"/>
      <c r="I55" s="81"/>
      <c r="J55" s="81"/>
      <c r="K55" s="81"/>
    </row>
    <row r="56" spans="2:11" ht="5.25" customHeight="1" x14ac:dyDescent="0.25"/>
    <row r="57" spans="2:11" x14ac:dyDescent="0.25">
      <c r="B57" s="84" t="s">
        <v>183</v>
      </c>
      <c r="C57" s="84"/>
      <c r="D57" s="84"/>
      <c r="E57" s="84"/>
      <c r="F57" s="84"/>
      <c r="G57" s="84"/>
      <c r="H57" s="84"/>
      <c r="I57" s="84"/>
      <c r="J57" s="84"/>
      <c r="K57" s="84"/>
    </row>
    <row r="58" spans="2:11" x14ac:dyDescent="0.25">
      <c r="B58" s="84" t="s">
        <v>184</v>
      </c>
      <c r="C58" s="84"/>
      <c r="D58" s="84"/>
      <c r="E58" s="84"/>
      <c r="F58" s="84"/>
      <c r="G58" s="84"/>
      <c r="H58" s="84"/>
      <c r="I58" s="84"/>
      <c r="J58" s="84"/>
      <c r="K58" s="84"/>
    </row>
    <row r="59" spans="2:11" x14ac:dyDescent="0.25">
      <c r="B59" s="85" t="s">
        <v>192</v>
      </c>
      <c r="C59" s="85"/>
      <c r="D59" s="85"/>
      <c r="E59" s="85"/>
      <c r="F59" s="85"/>
      <c r="G59" s="85"/>
      <c r="H59" s="85"/>
      <c r="I59" s="85"/>
      <c r="J59" s="85"/>
      <c r="K59" s="85"/>
    </row>
    <row r="60" spans="2:11" x14ac:dyDescent="0.25">
      <c r="B60" s="84" t="s">
        <v>186</v>
      </c>
      <c r="C60" s="84"/>
      <c r="D60" s="84"/>
      <c r="E60" s="84"/>
      <c r="F60" s="84"/>
      <c r="G60" s="84"/>
      <c r="H60" s="84"/>
      <c r="I60" s="84"/>
      <c r="J60" s="84"/>
      <c r="K60" s="84"/>
    </row>
    <row r="61" spans="2:11" x14ac:dyDescent="0.25">
      <c r="B61" s="84" t="s">
        <v>185</v>
      </c>
      <c r="C61" s="84"/>
      <c r="D61" s="84"/>
      <c r="E61" s="84"/>
      <c r="F61" s="84"/>
      <c r="G61" s="84"/>
      <c r="H61" s="84"/>
      <c r="I61" s="84"/>
      <c r="J61" s="84"/>
      <c r="K61" s="84"/>
    </row>
    <row r="62" spans="2:11" x14ac:dyDescent="0.25">
      <c r="B62" s="84" t="s">
        <v>187</v>
      </c>
      <c r="C62" s="84"/>
      <c r="D62" s="84"/>
      <c r="E62" s="84"/>
      <c r="F62" s="84"/>
      <c r="G62" s="84"/>
      <c r="H62" s="84"/>
      <c r="I62" s="84"/>
      <c r="J62" s="84"/>
      <c r="K62" s="84"/>
    </row>
    <row r="63" spans="2:11" x14ac:dyDescent="0.25">
      <c r="B63" s="85" t="s">
        <v>188</v>
      </c>
      <c r="C63" s="84"/>
      <c r="D63" s="84"/>
      <c r="E63" s="84"/>
      <c r="F63" s="84"/>
      <c r="G63" s="84"/>
      <c r="H63" s="84"/>
      <c r="I63" s="84"/>
      <c r="J63" s="84"/>
      <c r="K63" s="84"/>
    </row>
    <row r="64" spans="2:11" x14ac:dyDescent="0.25">
      <c r="B64" s="85" t="s">
        <v>189</v>
      </c>
      <c r="C64" s="84"/>
      <c r="D64" s="84"/>
      <c r="E64" s="84"/>
      <c r="F64" s="84"/>
      <c r="G64" s="84"/>
      <c r="H64" s="84"/>
      <c r="I64" s="84"/>
      <c r="J64" s="84"/>
      <c r="K64" s="84"/>
    </row>
    <row r="65" spans="2:11" x14ac:dyDescent="0.25">
      <c r="B65" s="84" t="s">
        <v>190</v>
      </c>
      <c r="C65" s="84"/>
      <c r="D65" s="84"/>
      <c r="E65" s="84"/>
      <c r="F65" s="84"/>
      <c r="G65" s="84"/>
      <c r="H65" s="84"/>
      <c r="I65" s="84"/>
      <c r="J65" s="84"/>
      <c r="K65" s="84"/>
    </row>
    <row r="66" spans="2:11" x14ac:dyDescent="0.25">
      <c r="B66" s="85" t="s">
        <v>191</v>
      </c>
      <c r="C66" s="84"/>
      <c r="D66" s="84"/>
      <c r="E66" s="84"/>
      <c r="F66" s="84"/>
      <c r="G66" s="84"/>
      <c r="H66" s="84"/>
      <c r="I66" s="84"/>
      <c r="J66" s="84"/>
      <c r="K66" s="84"/>
    </row>
    <row r="67" spans="2:11" x14ac:dyDescent="0.25">
      <c r="B67" s="82"/>
      <c r="C67" s="70"/>
      <c r="D67" s="70"/>
      <c r="E67" s="70"/>
      <c r="F67" s="70"/>
      <c r="G67" s="70"/>
      <c r="H67" s="70"/>
      <c r="I67" s="70"/>
      <c r="J67" s="70"/>
      <c r="K67" s="70"/>
    </row>
    <row r="68" spans="2:11" x14ac:dyDescent="0.25">
      <c r="B68" s="86" t="s">
        <v>193</v>
      </c>
      <c r="C68" s="86"/>
      <c r="D68" s="86"/>
      <c r="E68" s="86"/>
      <c r="F68" s="86"/>
      <c r="G68" s="86"/>
      <c r="H68" s="86"/>
      <c r="I68" s="86"/>
      <c r="J68" s="86"/>
      <c r="K68" s="86"/>
    </row>
    <row r="69" spans="2:11" x14ac:dyDescent="0.25">
      <c r="B69" s="82"/>
      <c r="C69" s="70"/>
      <c r="D69" s="70"/>
      <c r="E69" s="70"/>
      <c r="F69" s="70"/>
      <c r="G69" s="70"/>
      <c r="H69" s="70"/>
      <c r="I69" s="70"/>
      <c r="J69" s="70"/>
      <c r="K69" s="70"/>
    </row>
    <row r="70" spans="2:11" x14ac:dyDescent="0.25">
      <c r="B70" s="81"/>
      <c r="C70" s="81"/>
      <c r="D70" s="81"/>
      <c r="E70" s="81"/>
      <c r="F70" s="81"/>
      <c r="G70" s="81"/>
      <c r="H70" s="81"/>
      <c r="I70" s="81"/>
      <c r="J70" s="81"/>
      <c r="K70" s="81"/>
    </row>
  </sheetData>
  <mergeCells count="71">
    <mergeCell ref="F35:G35"/>
    <mergeCell ref="F36:G36"/>
    <mergeCell ref="F37:G37"/>
    <mergeCell ref="F38:G38"/>
    <mergeCell ref="F39:G39"/>
    <mergeCell ref="F30:G30"/>
    <mergeCell ref="F31:G31"/>
    <mergeCell ref="F32:G32"/>
    <mergeCell ref="F33:G33"/>
    <mergeCell ref="F34:G34"/>
    <mergeCell ref="C35:D35"/>
    <mergeCell ref="C36:D36"/>
    <mergeCell ref="C37:D37"/>
    <mergeCell ref="C38:D38"/>
    <mergeCell ref="C39:D39"/>
    <mergeCell ref="C30:D30"/>
    <mergeCell ref="C31:D31"/>
    <mergeCell ref="C32:D32"/>
    <mergeCell ref="C33:D33"/>
    <mergeCell ref="C34:D34"/>
    <mergeCell ref="C4:K4"/>
    <mergeCell ref="B2:K2"/>
    <mergeCell ref="I6:K6"/>
    <mergeCell ref="I19:K19"/>
    <mergeCell ref="C28:D28"/>
    <mergeCell ref="F28:G28"/>
    <mergeCell ref="I28:K28"/>
    <mergeCell ref="C41:D41"/>
    <mergeCell ref="F41:G41"/>
    <mergeCell ref="C42:D42"/>
    <mergeCell ref="C43:D43"/>
    <mergeCell ref="C44:D44"/>
    <mergeCell ref="C45:D45"/>
    <mergeCell ref="C46:D46"/>
    <mergeCell ref="C47:D47"/>
    <mergeCell ref="C48:D48"/>
    <mergeCell ref="C49:D49"/>
    <mergeCell ref="F48:G48"/>
    <mergeCell ref="F49:G49"/>
    <mergeCell ref="F50:G50"/>
    <mergeCell ref="F51:G51"/>
    <mergeCell ref="F52:G52"/>
    <mergeCell ref="S38:T38"/>
    <mergeCell ref="S39:T39"/>
    <mergeCell ref="S40:T40"/>
    <mergeCell ref="S41:T41"/>
    <mergeCell ref="S42:T42"/>
    <mergeCell ref="B57:K57"/>
    <mergeCell ref="B58:K58"/>
    <mergeCell ref="B59:K59"/>
    <mergeCell ref="S43:T43"/>
    <mergeCell ref="S44:T44"/>
    <mergeCell ref="S45:T45"/>
    <mergeCell ref="S46:T46"/>
    <mergeCell ref="S47:T47"/>
    <mergeCell ref="C50:D50"/>
    <mergeCell ref="C51:D51"/>
    <mergeCell ref="C52:D52"/>
    <mergeCell ref="F43:G43"/>
    <mergeCell ref="F44:G44"/>
    <mergeCell ref="F45:G45"/>
    <mergeCell ref="F46:G46"/>
    <mergeCell ref="F47:G47"/>
    <mergeCell ref="B65:K65"/>
    <mergeCell ref="B66:K66"/>
    <mergeCell ref="B68:K68"/>
    <mergeCell ref="B60:K60"/>
    <mergeCell ref="B61:K61"/>
    <mergeCell ref="B62:K62"/>
    <mergeCell ref="B63:K63"/>
    <mergeCell ref="B64:K64"/>
  </mergeCells>
  <pageMargins left="0.59055118110236227" right="0.70866141732283472" top="0.74803149606299213" bottom="0.74803149606299213" header="0.31496062992125984" footer="0.31496062992125984"/>
  <pageSetup paperSize="9" scale="63" orientation="portrait" r:id="rId1"/>
  <colBreaks count="1" manualBreakCount="1">
    <brk id="12"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256"/>
  <sheetViews>
    <sheetView showGridLines="0" workbookViewId="0">
      <selection activeCell="U10" sqref="U10"/>
    </sheetView>
  </sheetViews>
  <sheetFormatPr defaultRowHeight="15" x14ac:dyDescent="0.25"/>
  <cols>
    <col min="1" max="1" width="3.7109375" customWidth="1"/>
    <col min="2" max="2" width="11.7109375" customWidth="1"/>
    <col min="3" max="3" width="9.42578125" customWidth="1"/>
    <col min="7" max="7" width="13.85546875" customWidth="1"/>
    <col min="8" max="8" width="51.85546875" bestFit="1" customWidth="1"/>
    <col min="9" max="9" width="13" customWidth="1"/>
    <col min="10" max="10" width="16.28515625" bestFit="1" customWidth="1"/>
    <col min="11" max="11" width="14.42578125" bestFit="1" customWidth="1"/>
  </cols>
  <sheetData>
    <row r="1" spans="2:5" x14ac:dyDescent="0.25">
      <c r="B1" s="44"/>
      <c r="C1" s="44"/>
    </row>
    <row r="2" spans="2:5" x14ac:dyDescent="0.25">
      <c r="B2" s="44" t="s">
        <v>116</v>
      </c>
      <c r="C2" s="44" t="s">
        <v>115</v>
      </c>
      <c r="D2" t="s">
        <v>133</v>
      </c>
    </row>
    <row r="3" spans="2:5" x14ac:dyDescent="0.25">
      <c r="B3" s="48">
        <v>44287</v>
      </c>
      <c r="C3" s="47">
        <v>16.37508392333984</v>
      </c>
      <c r="D3">
        <v>4.2130999999999998</v>
      </c>
      <c r="E3">
        <v>1000000</v>
      </c>
    </row>
    <row r="4" spans="2:5" x14ac:dyDescent="0.25">
      <c r="B4" s="48">
        <v>44291</v>
      </c>
      <c r="C4" s="47">
        <v>16.685182571411129</v>
      </c>
      <c r="D4">
        <v>3.9190999999999998</v>
      </c>
    </row>
    <row r="5" spans="2:5" x14ac:dyDescent="0.25">
      <c r="B5" s="48">
        <v>44292</v>
      </c>
      <c r="C5" s="47">
        <v>16.65933990478516</v>
      </c>
      <c r="D5">
        <v>4.4286000000000003</v>
      </c>
    </row>
    <row r="6" spans="2:5" x14ac:dyDescent="0.25">
      <c r="B6" s="48">
        <v>44293</v>
      </c>
      <c r="C6" s="47">
        <v>16.547359466552731</v>
      </c>
      <c r="D6">
        <v>4.6436000000000002</v>
      </c>
    </row>
    <row r="7" spans="2:5" x14ac:dyDescent="0.25">
      <c r="B7" s="48">
        <v>44294</v>
      </c>
      <c r="C7" s="47">
        <v>16.64211273193359</v>
      </c>
      <c r="D7">
        <v>3.8622999999999998</v>
      </c>
    </row>
    <row r="8" spans="2:5" x14ac:dyDescent="0.25">
      <c r="B8" s="48">
        <v>44295</v>
      </c>
      <c r="C8" s="47">
        <v>16.831619262695309</v>
      </c>
      <c r="D8">
        <v>5.2141999999999999</v>
      </c>
    </row>
    <row r="9" spans="2:5" x14ac:dyDescent="0.25">
      <c r="B9" s="48">
        <v>44298</v>
      </c>
      <c r="C9" s="47">
        <v>16.469833374023441</v>
      </c>
      <c r="D9">
        <v>8.0592000000000006</v>
      </c>
    </row>
    <row r="10" spans="2:5" x14ac:dyDescent="0.25">
      <c r="B10" s="48">
        <v>44299</v>
      </c>
      <c r="C10" s="47">
        <v>15.85824584960938</v>
      </c>
      <c r="D10">
        <v>11.356299999999999</v>
      </c>
    </row>
    <row r="11" spans="2:5" x14ac:dyDescent="0.25">
      <c r="B11" s="48">
        <v>44300</v>
      </c>
      <c r="C11" s="47">
        <v>14.91071224212646</v>
      </c>
      <c r="D11">
        <v>16.177499999999998</v>
      </c>
    </row>
    <row r="12" spans="2:5" x14ac:dyDescent="0.25">
      <c r="B12" s="48">
        <v>44301</v>
      </c>
      <c r="C12" s="47">
        <v>15.50507164001465</v>
      </c>
      <c r="D12">
        <v>13.117599999999999</v>
      </c>
    </row>
    <row r="13" spans="2:5" x14ac:dyDescent="0.25">
      <c r="B13" s="48">
        <v>44302</v>
      </c>
      <c r="C13" s="47">
        <v>15.660122871398929</v>
      </c>
      <c r="D13">
        <v>15.0055</v>
      </c>
    </row>
    <row r="14" spans="2:5" x14ac:dyDescent="0.25">
      <c r="B14" s="48">
        <v>44305</v>
      </c>
      <c r="C14" s="47">
        <v>15.729039192199711</v>
      </c>
      <c r="D14">
        <v>5.4695</v>
      </c>
    </row>
    <row r="15" spans="2:5" x14ac:dyDescent="0.25">
      <c r="B15" s="48">
        <v>44306</v>
      </c>
      <c r="C15" s="47">
        <v>15.530917167663571</v>
      </c>
      <c r="D15">
        <v>6.9851999999999999</v>
      </c>
    </row>
    <row r="16" spans="2:5" x14ac:dyDescent="0.25">
      <c r="B16" s="48">
        <v>44307</v>
      </c>
      <c r="C16" s="47">
        <v>15.591213226318359</v>
      </c>
      <c r="D16">
        <v>7.2251000000000003</v>
      </c>
    </row>
    <row r="17" spans="2:11" x14ac:dyDescent="0.25">
      <c r="B17" s="48">
        <v>44308</v>
      </c>
      <c r="C17" s="47">
        <v>15.3758659362793</v>
      </c>
      <c r="D17">
        <v>9.3737999999999992</v>
      </c>
      <c r="I17">
        <v>10000000</v>
      </c>
      <c r="J17">
        <v>100</v>
      </c>
    </row>
    <row r="18" spans="2:11" x14ac:dyDescent="0.25">
      <c r="B18" s="48">
        <v>44309</v>
      </c>
      <c r="C18" s="47">
        <v>15.41032028198242</v>
      </c>
      <c r="D18">
        <v>4.6177999999999999</v>
      </c>
      <c r="G18" t="s">
        <v>146</v>
      </c>
      <c r="H18" t="s">
        <v>135</v>
      </c>
      <c r="I18" t="s">
        <v>147</v>
      </c>
      <c r="J18" t="s">
        <v>148</v>
      </c>
      <c r="K18" t="s">
        <v>149</v>
      </c>
    </row>
    <row r="19" spans="2:11" x14ac:dyDescent="0.25">
      <c r="B19" s="48">
        <v>44312</v>
      </c>
      <c r="C19" s="47">
        <v>15.513689041137701</v>
      </c>
      <c r="D19">
        <v>5.3131000000000004</v>
      </c>
      <c r="H19" t="s">
        <v>150</v>
      </c>
      <c r="I19" s="47">
        <v>43.278287200000001</v>
      </c>
      <c r="J19" s="53">
        <v>0.11539999999999999</v>
      </c>
      <c r="K19" s="47">
        <f>1140.5*I19</f>
        <v>49358.886551600001</v>
      </c>
    </row>
    <row r="20" spans="2:11" x14ac:dyDescent="0.25">
      <c r="B20" s="48">
        <v>44313</v>
      </c>
      <c r="C20" s="47">
        <v>15.599825859069821</v>
      </c>
      <c r="D20">
        <v>5.0422000000000002</v>
      </c>
      <c r="H20" t="s">
        <v>136</v>
      </c>
      <c r="I20" s="47">
        <v>17.7653879</v>
      </c>
      <c r="J20" s="53">
        <v>4.7400000000000005E-2</v>
      </c>
      <c r="K20" s="47">
        <f>1140.5*I20</f>
        <v>20261.424899950001</v>
      </c>
    </row>
    <row r="21" spans="2:11" x14ac:dyDescent="0.25">
      <c r="B21" s="48">
        <v>44314</v>
      </c>
      <c r="C21" s="47">
        <v>15.70319175720215</v>
      </c>
      <c r="D21">
        <v>5.157</v>
      </c>
      <c r="H21" t="s">
        <v>137</v>
      </c>
      <c r="I21" s="47">
        <v>17.4628701</v>
      </c>
      <c r="J21" s="53">
        <v>4.6600000000000003E-2</v>
      </c>
      <c r="K21" s="47">
        <f t="shared" ref="K21:K28" si="0">1140.5*I21</f>
        <v>19916.403349050001</v>
      </c>
    </row>
    <row r="22" spans="2:11" x14ac:dyDescent="0.25">
      <c r="B22" s="48">
        <v>44315</v>
      </c>
      <c r="C22" s="47">
        <v>15.90131282806396</v>
      </c>
      <c r="D22">
        <v>6.5453999999999999</v>
      </c>
      <c r="H22" t="s">
        <v>138</v>
      </c>
      <c r="I22" s="47">
        <v>11.2180175</v>
      </c>
      <c r="J22" s="53">
        <v>2.9900000000000003E-2</v>
      </c>
      <c r="K22" s="47">
        <f t="shared" si="0"/>
        <v>12794.14895875</v>
      </c>
    </row>
    <row r="23" spans="2:11" x14ac:dyDescent="0.25">
      <c r="B23" s="48">
        <v>44316</v>
      </c>
      <c r="C23" s="47">
        <v>15.57398796081543</v>
      </c>
      <c r="D23">
        <v>7.0735000000000001</v>
      </c>
      <c r="H23" t="s">
        <v>139</v>
      </c>
      <c r="I23" s="47">
        <v>9.5357000000000003</v>
      </c>
      <c r="J23" s="53">
        <v>2.5399999999999999E-2</v>
      </c>
      <c r="K23" s="47">
        <f t="shared" si="0"/>
        <v>10875.465850000001</v>
      </c>
    </row>
    <row r="24" spans="2:11" x14ac:dyDescent="0.25">
      <c r="B24" s="48">
        <v>44319</v>
      </c>
      <c r="C24" s="47">
        <v>15.67735481262207</v>
      </c>
      <c r="D24">
        <v>3.8005</v>
      </c>
      <c r="H24" t="s">
        <v>140</v>
      </c>
      <c r="I24" s="47">
        <v>8.4066206999999995</v>
      </c>
      <c r="J24" s="53">
        <v>2.2400000000000003E-2</v>
      </c>
      <c r="K24" s="47">
        <f t="shared" si="0"/>
        <v>9587.750908349999</v>
      </c>
    </row>
    <row r="25" spans="2:11" x14ac:dyDescent="0.25">
      <c r="B25" s="48">
        <v>44320</v>
      </c>
      <c r="C25" s="47">
        <v>15.599825859069821</v>
      </c>
      <c r="D25">
        <v>4.0876999999999999</v>
      </c>
      <c r="H25" t="s">
        <v>141</v>
      </c>
      <c r="I25" s="47">
        <v>7.6375295000000003</v>
      </c>
      <c r="J25" s="53">
        <v>2.0400000000000001E-2</v>
      </c>
      <c r="K25" s="47">
        <f t="shared" si="0"/>
        <v>8710.6023947499998</v>
      </c>
    </row>
    <row r="26" spans="2:11" x14ac:dyDescent="0.25">
      <c r="B26" s="48">
        <v>44321</v>
      </c>
      <c r="C26" s="47">
        <v>15.754875183105471</v>
      </c>
      <c r="D26">
        <v>3.7624</v>
      </c>
      <c r="H26" t="s">
        <v>142</v>
      </c>
      <c r="I26" s="47">
        <v>6.6441622999999996</v>
      </c>
      <c r="J26" s="53">
        <v>1.77E-2</v>
      </c>
      <c r="K26" s="47">
        <f t="shared" si="0"/>
        <v>7577.66710315</v>
      </c>
    </row>
    <row r="27" spans="2:11" x14ac:dyDescent="0.25">
      <c r="B27" s="48">
        <v>44322</v>
      </c>
      <c r="C27" s="47">
        <v>16.021907806396481</v>
      </c>
      <c r="D27">
        <v>10.426600000000001</v>
      </c>
      <c r="H27" t="s">
        <v>143</v>
      </c>
      <c r="I27" s="47">
        <v>6.0812891999999996</v>
      </c>
      <c r="J27" s="53">
        <v>1.6200000000000003E-2</v>
      </c>
      <c r="K27" s="47">
        <f t="shared" si="0"/>
        <v>6935.7103325999997</v>
      </c>
    </row>
    <row r="28" spans="2:11" x14ac:dyDescent="0.25">
      <c r="B28" s="48">
        <v>44323</v>
      </c>
      <c r="C28" s="47">
        <f>'Share Price'!I181</f>
        <v>0</v>
      </c>
      <c r="D28">
        <v>5.2207999999999997</v>
      </c>
      <c r="H28" t="s">
        <v>144</v>
      </c>
      <c r="I28" s="47">
        <v>5.2826814000000004</v>
      </c>
      <c r="J28" s="53">
        <v>1.41E-2</v>
      </c>
      <c r="K28" s="47">
        <f t="shared" si="0"/>
        <v>6024.8981367000006</v>
      </c>
    </row>
    <row r="29" spans="2:11" x14ac:dyDescent="0.25">
      <c r="B29" s="48">
        <v>44326</v>
      </c>
      <c r="C29" s="47">
        <v>15.81517505645752</v>
      </c>
      <c r="D29">
        <v>9.1795000000000009</v>
      </c>
    </row>
    <row r="30" spans="2:11" x14ac:dyDescent="0.25">
      <c r="B30" s="48">
        <v>44327</v>
      </c>
      <c r="C30" s="47">
        <v>15.66873931884766</v>
      </c>
      <c r="D30">
        <v>3.7294</v>
      </c>
    </row>
    <row r="31" spans="2:11" x14ac:dyDescent="0.25">
      <c r="B31" s="48">
        <v>44328</v>
      </c>
      <c r="C31" s="47">
        <v>15.367250442504879</v>
      </c>
      <c r="D31">
        <v>5.6706000000000003</v>
      </c>
    </row>
    <row r="32" spans="2:11" x14ac:dyDescent="0.25">
      <c r="B32" s="48">
        <v>44329</v>
      </c>
      <c r="C32" s="47">
        <v>15.401706695556641</v>
      </c>
      <c r="D32">
        <v>6.2648999999999999</v>
      </c>
    </row>
    <row r="33" spans="2:10" x14ac:dyDescent="0.25">
      <c r="B33" s="48">
        <v>44330</v>
      </c>
      <c r="C33" s="47">
        <v>15.642898559570311</v>
      </c>
      <c r="D33">
        <v>3.2932000000000001</v>
      </c>
    </row>
    <row r="34" spans="2:10" x14ac:dyDescent="0.25">
      <c r="B34" s="48">
        <v>44333</v>
      </c>
      <c r="C34" s="47">
        <v>15.651510238647459</v>
      </c>
      <c r="D34">
        <v>2.7345000000000002</v>
      </c>
      <c r="I34" t="s">
        <v>153</v>
      </c>
      <c r="J34" s="42">
        <v>0.43190000000000001</v>
      </c>
    </row>
    <row r="35" spans="2:10" x14ac:dyDescent="0.25">
      <c r="B35" s="48">
        <v>44334</v>
      </c>
      <c r="C35" s="47">
        <v>15.729039192199711</v>
      </c>
      <c r="D35">
        <v>5.3029999999999999</v>
      </c>
      <c r="I35" t="s">
        <v>152</v>
      </c>
      <c r="J35" s="42">
        <v>0.28449999999999998</v>
      </c>
    </row>
    <row r="36" spans="2:10" x14ac:dyDescent="0.25">
      <c r="B36" s="48">
        <v>44335</v>
      </c>
      <c r="C36" s="47">
        <v>15.88408756256104</v>
      </c>
      <c r="D36">
        <v>4.3227000000000002</v>
      </c>
      <c r="I36" t="s">
        <v>151</v>
      </c>
      <c r="J36" s="42">
        <v>0.14380000000000001</v>
      </c>
    </row>
    <row r="37" spans="2:10" ht="27.75" customHeight="1" x14ac:dyDescent="0.25">
      <c r="B37" s="48">
        <v>44336</v>
      </c>
      <c r="C37" s="47">
        <v>16.06497955322266</v>
      </c>
      <c r="D37">
        <v>7.0195999999999996</v>
      </c>
      <c r="I37" s="55" t="s">
        <v>154</v>
      </c>
      <c r="J37" s="42">
        <f>13.54%+0.2%</f>
        <v>0.13739999999999999</v>
      </c>
    </row>
    <row r="38" spans="2:10" x14ac:dyDescent="0.25">
      <c r="B38" s="48">
        <v>44337</v>
      </c>
      <c r="C38" s="47">
        <v>16.125276565551761</v>
      </c>
      <c r="D38">
        <v>6.4482999999999997</v>
      </c>
      <c r="I38" t="s">
        <v>155</v>
      </c>
      <c r="J38" s="42">
        <v>2.3E-3</v>
      </c>
    </row>
    <row r="39" spans="2:10" x14ac:dyDescent="0.25">
      <c r="B39" s="48">
        <v>44340</v>
      </c>
      <c r="C39" s="47">
        <v>16.082206726074219</v>
      </c>
      <c r="D39">
        <v>3.8403999999999998</v>
      </c>
    </row>
    <row r="40" spans="2:10" x14ac:dyDescent="0.25">
      <c r="B40" s="48">
        <v>44341</v>
      </c>
      <c r="C40" s="47">
        <v>16.13388633728027</v>
      </c>
      <c r="D40">
        <v>7.1719999999999997</v>
      </c>
    </row>
    <row r="41" spans="2:10" x14ac:dyDescent="0.25">
      <c r="B41" s="48">
        <v>44342</v>
      </c>
      <c r="C41" s="47">
        <v>16.59042930603027</v>
      </c>
      <c r="D41">
        <v>3.7534999999999998</v>
      </c>
    </row>
    <row r="42" spans="2:10" x14ac:dyDescent="0.25">
      <c r="B42" s="48">
        <v>44343</v>
      </c>
      <c r="C42" s="47">
        <v>16.685182571411129</v>
      </c>
      <c r="D42">
        <v>2.9319000000000002</v>
      </c>
    </row>
    <row r="43" spans="2:10" x14ac:dyDescent="0.25">
      <c r="B43" s="48">
        <v>44344</v>
      </c>
      <c r="C43" s="47">
        <v>16.833147048950199</v>
      </c>
      <c r="D43">
        <v>2.1514000000000002</v>
      </c>
    </row>
    <row r="44" spans="2:10" x14ac:dyDescent="0.25">
      <c r="B44" s="48">
        <v>44348</v>
      </c>
      <c r="C44" s="47">
        <v>16.772218704223629</v>
      </c>
      <c r="D44">
        <v>9.1073000000000004</v>
      </c>
    </row>
    <row r="45" spans="2:10" x14ac:dyDescent="0.25">
      <c r="B45" s="48">
        <v>44349</v>
      </c>
      <c r="C45" s="47">
        <v>16.789630889892582</v>
      </c>
      <c r="D45">
        <v>6.8864000000000001</v>
      </c>
      <c r="I45" s="55"/>
    </row>
    <row r="46" spans="2:10" x14ac:dyDescent="0.25">
      <c r="B46" s="48">
        <v>44350</v>
      </c>
      <c r="C46" s="47">
        <v>16.6590690612793</v>
      </c>
      <c r="D46">
        <v>5.8273999999999999</v>
      </c>
    </row>
    <row r="47" spans="2:10" x14ac:dyDescent="0.25">
      <c r="B47" s="48">
        <v>44351</v>
      </c>
      <c r="C47" s="47">
        <v>16.789630889892582</v>
      </c>
      <c r="D47">
        <v>6.484</v>
      </c>
    </row>
    <row r="48" spans="2:10" x14ac:dyDescent="0.25">
      <c r="B48" s="48">
        <v>44354</v>
      </c>
      <c r="C48" s="47">
        <v>16.885368347167969</v>
      </c>
      <c r="D48">
        <v>10.7651</v>
      </c>
    </row>
    <row r="49" spans="2:4" x14ac:dyDescent="0.25">
      <c r="B49" s="48">
        <v>44355</v>
      </c>
      <c r="C49" s="47">
        <v>16.972406387329102</v>
      </c>
      <c r="D49">
        <v>7.9169</v>
      </c>
    </row>
    <row r="50" spans="2:4" x14ac:dyDescent="0.25">
      <c r="B50" s="48">
        <v>44356</v>
      </c>
      <c r="C50" s="47">
        <v>17.11166954040527</v>
      </c>
      <c r="D50">
        <v>4.9728000000000003</v>
      </c>
    </row>
    <row r="51" spans="2:4" x14ac:dyDescent="0.25">
      <c r="B51" s="48">
        <v>44357</v>
      </c>
      <c r="C51" s="47">
        <v>17.31185340881348</v>
      </c>
      <c r="D51">
        <v>6.7164000000000001</v>
      </c>
    </row>
    <row r="52" spans="2:4" x14ac:dyDescent="0.25">
      <c r="B52" s="48">
        <v>44358</v>
      </c>
      <c r="C52" s="47">
        <v>17.877603530883789</v>
      </c>
      <c r="D52">
        <v>14.076000000000001</v>
      </c>
    </row>
    <row r="53" spans="2:4" x14ac:dyDescent="0.25">
      <c r="B53" s="48">
        <v>44361</v>
      </c>
      <c r="C53" s="47">
        <v>17.79926872253418</v>
      </c>
      <c r="D53">
        <v>10.214</v>
      </c>
    </row>
    <row r="54" spans="2:4" x14ac:dyDescent="0.25">
      <c r="B54" s="48">
        <v>44362</v>
      </c>
      <c r="C54" s="47">
        <v>17.607782363891602</v>
      </c>
      <c r="D54">
        <v>7.4774000000000003</v>
      </c>
    </row>
    <row r="55" spans="2:4" x14ac:dyDescent="0.25">
      <c r="B55" s="48">
        <v>44363</v>
      </c>
      <c r="C55" s="47">
        <v>17.738338470458981</v>
      </c>
      <c r="D55">
        <v>5.7975000000000003</v>
      </c>
    </row>
    <row r="56" spans="2:4" x14ac:dyDescent="0.25">
      <c r="B56" s="48">
        <v>44364</v>
      </c>
      <c r="C56" s="47">
        <v>17.990753173828121</v>
      </c>
      <c r="D56">
        <v>8.5685000000000002</v>
      </c>
    </row>
    <row r="57" spans="2:4" x14ac:dyDescent="0.25">
      <c r="B57" s="48">
        <v>44365</v>
      </c>
      <c r="C57" s="47">
        <v>17.572971343994141</v>
      </c>
      <c r="D57">
        <v>11.423400000000001</v>
      </c>
    </row>
    <row r="58" spans="2:4" x14ac:dyDescent="0.25">
      <c r="B58" s="48">
        <v>44368</v>
      </c>
      <c r="C58" s="47">
        <v>17.868898391723629</v>
      </c>
      <c r="D58">
        <v>4.0076000000000001</v>
      </c>
    </row>
    <row r="59" spans="2:4" x14ac:dyDescent="0.25">
      <c r="B59" s="48">
        <v>44369</v>
      </c>
      <c r="C59" s="47">
        <v>18.069086074829102</v>
      </c>
      <c r="D59">
        <v>5.5960999999999999</v>
      </c>
    </row>
    <row r="60" spans="2:4" x14ac:dyDescent="0.25">
      <c r="B60" s="48">
        <v>44370</v>
      </c>
      <c r="C60" s="47">
        <v>18.008161544799801</v>
      </c>
      <c r="D60">
        <v>5.7100999999999997</v>
      </c>
    </row>
    <row r="61" spans="2:4" x14ac:dyDescent="0.25">
      <c r="B61" s="48">
        <v>44371</v>
      </c>
      <c r="C61" s="47">
        <v>18.443349838256839</v>
      </c>
      <c r="D61">
        <v>5.9370000000000003</v>
      </c>
    </row>
    <row r="62" spans="2:4" x14ac:dyDescent="0.25">
      <c r="B62" s="48">
        <v>44372</v>
      </c>
      <c r="C62" s="47">
        <v>18.495573043823239</v>
      </c>
      <c r="D62">
        <v>5.2492000000000001</v>
      </c>
    </row>
    <row r="63" spans="2:4" x14ac:dyDescent="0.25">
      <c r="B63" s="48">
        <v>44375</v>
      </c>
      <c r="C63" s="47">
        <v>18.530389785766602</v>
      </c>
      <c r="D63">
        <v>4.6689999999999996</v>
      </c>
    </row>
    <row r="64" spans="2:4" x14ac:dyDescent="0.25">
      <c r="B64" s="48">
        <v>44376</v>
      </c>
      <c r="C64" s="47">
        <v>18.669651031494141</v>
      </c>
      <c r="D64">
        <v>4.7485999999999997</v>
      </c>
    </row>
    <row r="65" spans="2:4" x14ac:dyDescent="0.25">
      <c r="B65" s="48">
        <v>44377</v>
      </c>
      <c r="C65" s="47">
        <v>18.443349838256839</v>
      </c>
      <c r="D65">
        <v>6.4935</v>
      </c>
    </row>
    <row r="66" spans="2:4" x14ac:dyDescent="0.25">
      <c r="B66" s="48">
        <v>44378</v>
      </c>
      <c r="C66" s="47">
        <v>18.243160247802731</v>
      </c>
      <c r="D66">
        <v>4.6706000000000003</v>
      </c>
    </row>
    <row r="67" spans="2:4" x14ac:dyDescent="0.25">
      <c r="B67" s="48">
        <v>44379</v>
      </c>
      <c r="C67" s="47">
        <v>18.33890342712402</v>
      </c>
      <c r="D67">
        <v>4.9085999999999999</v>
      </c>
    </row>
    <row r="68" spans="2:4" x14ac:dyDescent="0.25">
      <c r="B68" s="48">
        <v>44383</v>
      </c>
      <c r="C68" s="47">
        <v>18.373722076416019</v>
      </c>
      <c r="D68">
        <v>5.7286000000000001</v>
      </c>
    </row>
    <row r="69" spans="2:4" x14ac:dyDescent="0.25">
      <c r="B69" s="48">
        <v>44384</v>
      </c>
      <c r="C69" s="47">
        <v>18.43464469909668</v>
      </c>
      <c r="D69">
        <v>4.2561999999999998</v>
      </c>
    </row>
    <row r="70" spans="2:4" x14ac:dyDescent="0.25">
      <c r="B70" s="48">
        <v>44385</v>
      </c>
      <c r="C70" s="47">
        <v>18.23445892333984</v>
      </c>
      <c r="D70">
        <v>5.4394</v>
      </c>
    </row>
    <row r="71" spans="2:4" x14ac:dyDescent="0.25">
      <c r="B71" s="48">
        <v>44386</v>
      </c>
      <c r="C71" s="47">
        <v>18.573907852172852</v>
      </c>
      <c r="D71">
        <v>4.8083999999999998</v>
      </c>
    </row>
    <row r="72" spans="2:4" x14ac:dyDescent="0.25">
      <c r="B72" s="48">
        <v>44389</v>
      </c>
      <c r="C72" s="47">
        <v>18.32149505615234</v>
      </c>
      <c r="D72">
        <v>5.2470999999999997</v>
      </c>
    </row>
    <row r="73" spans="2:4" x14ac:dyDescent="0.25">
      <c r="B73" s="48">
        <v>44390</v>
      </c>
      <c r="C73" s="47">
        <v>18.32149505615234</v>
      </c>
      <c r="D73">
        <v>8.8725000000000005</v>
      </c>
    </row>
    <row r="74" spans="2:4" x14ac:dyDescent="0.25">
      <c r="B74" s="48">
        <v>44391</v>
      </c>
      <c r="C74" s="47">
        <v>18.617425918579102</v>
      </c>
      <c r="D74">
        <v>6.8372000000000002</v>
      </c>
    </row>
    <row r="75" spans="2:4" x14ac:dyDescent="0.25">
      <c r="B75" s="48">
        <v>44392</v>
      </c>
      <c r="C75" s="47">
        <v>18.39112663269043</v>
      </c>
      <c r="D75">
        <v>5.0269000000000004</v>
      </c>
    </row>
    <row r="76" spans="2:4" x14ac:dyDescent="0.25">
      <c r="B76" s="48">
        <v>44393</v>
      </c>
      <c r="C76" s="47">
        <v>18.156126022338871</v>
      </c>
      <c r="D76">
        <v>10.6532</v>
      </c>
    </row>
    <row r="77" spans="2:4" x14ac:dyDescent="0.25">
      <c r="B77" s="48">
        <v>44396</v>
      </c>
      <c r="C77" s="47">
        <v>17.96463775634766</v>
      </c>
      <c r="D77">
        <v>6.2127999999999997</v>
      </c>
    </row>
    <row r="78" spans="2:4" x14ac:dyDescent="0.25">
      <c r="B78" s="48">
        <v>44397</v>
      </c>
      <c r="C78" s="47">
        <v>18.225753784179691</v>
      </c>
      <c r="D78">
        <v>3.7277</v>
      </c>
    </row>
    <row r="79" spans="2:4" x14ac:dyDescent="0.25">
      <c r="B79" s="48">
        <v>44398</v>
      </c>
      <c r="C79" s="47">
        <v>18.547792434692379</v>
      </c>
      <c r="D79">
        <v>4.0235000000000003</v>
      </c>
    </row>
    <row r="80" spans="2:4" x14ac:dyDescent="0.25">
      <c r="B80" s="48">
        <v>44399</v>
      </c>
      <c r="C80" s="47">
        <v>18.565202713012699</v>
      </c>
      <c r="D80">
        <v>4.1067999999999998</v>
      </c>
    </row>
    <row r="81" spans="2:4" x14ac:dyDescent="0.25">
      <c r="B81" s="48">
        <v>44400</v>
      </c>
      <c r="C81" s="47">
        <v>18.91335296630859</v>
      </c>
      <c r="D81">
        <v>4.8148</v>
      </c>
    </row>
    <row r="82" spans="2:4" x14ac:dyDescent="0.25">
      <c r="B82" s="48">
        <v>44403</v>
      </c>
      <c r="C82" s="47">
        <v>18.89594650268555</v>
      </c>
      <c r="D82">
        <v>4.8784000000000001</v>
      </c>
    </row>
    <row r="83" spans="2:4" x14ac:dyDescent="0.25">
      <c r="B83" s="48">
        <v>44404</v>
      </c>
      <c r="C83" s="47">
        <v>18.89594650268555</v>
      </c>
      <c r="D83">
        <v>9.2266999999999992</v>
      </c>
    </row>
    <row r="84" spans="2:4" x14ac:dyDescent="0.25">
      <c r="B84" s="48">
        <v>44405</v>
      </c>
      <c r="C84" s="47">
        <v>19.017801284790039</v>
      </c>
      <c r="D84">
        <v>3.5933999999999999</v>
      </c>
    </row>
    <row r="85" spans="2:4" x14ac:dyDescent="0.25">
      <c r="B85" s="48">
        <v>44406</v>
      </c>
      <c r="C85" s="47">
        <v>19.078727722167969</v>
      </c>
      <c r="D85">
        <v>5.9478</v>
      </c>
    </row>
    <row r="86" spans="2:4" x14ac:dyDescent="0.25">
      <c r="B86" s="48">
        <v>44407</v>
      </c>
      <c r="C86" s="47">
        <v>19.252801895141602</v>
      </c>
      <c r="D86">
        <v>4.4640000000000004</v>
      </c>
    </row>
    <row r="87" spans="2:4" x14ac:dyDescent="0.25">
      <c r="B87" s="48">
        <v>44410</v>
      </c>
      <c r="C87" s="47">
        <v>19.383359909057621</v>
      </c>
      <c r="D87">
        <v>5.5381999999999998</v>
      </c>
    </row>
    <row r="88" spans="2:4" x14ac:dyDescent="0.25">
      <c r="B88" s="48">
        <v>44411</v>
      </c>
      <c r="C88" s="47">
        <v>19.9142951965332</v>
      </c>
      <c r="D88">
        <v>6.6078000000000001</v>
      </c>
    </row>
    <row r="89" spans="2:4" x14ac:dyDescent="0.25">
      <c r="B89" s="48">
        <v>44412</v>
      </c>
      <c r="C89" s="47">
        <v>19.705400466918949</v>
      </c>
      <c r="D89">
        <v>5.6650999999999998</v>
      </c>
    </row>
    <row r="90" spans="2:4" x14ac:dyDescent="0.25">
      <c r="B90" s="48">
        <v>44413</v>
      </c>
      <c r="C90" s="47">
        <v>19.653179168701168</v>
      </c>
      <c r="D90">
        <v>5.2531999999999996</v>
      </c>
    </row>
    <row r="91" spans="2:4" x14ac:dyDescent="0.25">
      <c r="B91" s="48">
        <v>44414</v>
      </c>
      <c r="C91" s="47">
        <v>19.853364944458011</v>
      </c>
      <c r="D91">
        <v>4.0670000000000002</v>
      </c>
    </row>
    <row r="92" spans="2:4" x14ac:dyDescent="0.25">
      <c r="B92" s="48">
        <v>44417</v>
      </c>
      <c r="C92" s="47">
        <v>19.9142951965332</v>
      </c>
      <c r="D92">
        <v>4.9177999999999997</v>
      </c>
    </row>
    <row r="93" spans="2:4" x14ac:dyDescent="0.25">
      <c r="B93" s="48">
        <v>44418</v>
      </c>
      <c r="C93" s="47">
        <v>19.827255249023441</v>
      </c>
      <c r="D93">
        <v>4.7941000000000003</v>
      </c>
    </row>
    <row r="94" spans="2:4" x14ac:dyDescent="0.25">
      <c r="B94" s="48">
        <v>44419</v>
      </c>
      <c r="C94" s="47">
        <v>20.01003456115723</v>
      </c>
      <c r="D94">
        <v>2.8298000000000001</v>
      </c>
    </row>
    <row r="95" spans="2:4" x14ac:dyDescent="0.25">
      <c r="B95" s="48">
        <v>44420</v>
      </c>
      <c r="C95" s="47">
        <v>20.297256469726559</v>
      </c>
      <c r="D95">
        <v>4.1478999999999999</v>
      </c>
    </row>
    <row r="96" spans="2:4" x14ac:dyDescent="0.25">
      <c r="B96" s="48">
        <v>44421</v>
      </c>
      <c r="C96" s="47">
        <v>20.567075729370121</v>
      </c>
      <c r="D96">
        <v>3.6865000000000001</v>
      </c>
    </row>
    <row r="97" spans="2:4" x14ac:dyDescent="0.25">
      <c r="B97" s="48">
        <v>44424</v>
      </c>
      <c r="C97" s="47">
        <v>20.366888046264648</v>
      </c>
      <c r="D97">
        <v>3.6354000000000002</v>
      </c>
    </row>
    <row r="98" spans="2:4" x14ac:dyDescent="0.25">
      <c r="B98" s="48">
        <v>44425</v>
      </c>
      <c r="C98" s="47">
        <v>20.50615119934082</v>
      </c>
      <c r="D98">
        <v>4.8247</v>
      </c>
    </row>
    <row r="99" spans="2:4" x14ac:dyDescent="0.25">
      <c r="B99" s="48">
        <v>44426</v>
      </c>
      <c r="C99" s="47">
        <v>20.436517715454102</v>
      </c>
      <c r="D99">
        <v>5.9356999999999998</v>
      </c>
    </row>
    <row r="100" spans="2:4" x14ac:dyDescent="0.25">
      <c r="B100" s="48">
        <v>44427</v>
      </c>
      <c r="C100" s="47">
        <v>20.4974479675293</v>
      </c>
      <c r="D100">
        <v>4.9114000000000004</v>
      </c>
    </row>
    <row r="101" spans="2:4" x14ac:dyDescent="0.25">
      <c r="B101" s="48">
        <v>44428</v>
      </c>
      <c r="C101" s="47">
        <v>20.784671783447269</v>
      </c>
      <c r="D101">
        <v>3.3727999999999998</v>
      </c>
    </row>
    <row r="102" spans="2:4" x14ac:dyDescent="0.25">
      <c r="B102" s="48">
        <v>44431</v>
      </c>
      <c r="C102" s="47">
        <v>20.97616004943848</v>
      </c>
      <c r="D102">
        <v>4.5279999999999996</v>
      </c>
    </row>
    <row r="103" spans="2:4" x14ac:dyDescent="0.25">
      <c r="B103" s="48">
        <v>44432</v>
      </c>
      <c r="C103" s="47">
        <v>20.784671783447269</v>
      </c>
      <c r="D103">
        <v>6.4272</v>
      </c>
    </row>
    <row r="104" spans="2:4" x14ac:dyDescent="0.25">
      <c r="B104" s="48">
        <v>44433</v>
      </c>
      <c r="C104" s="47">
        <v>20.871707916259769</v>
      </c>
      <c r="D104">
        <v>4.1227999999999998</v>
      </c>
    </row>
    <row r="105" spans="2:4" x14ac:dyDescent="0.25">
      <c r="B105" s="48">
        <v>44434</v>
      </c>
      <c r="C105" s="47">
        <v>20.59318733215332</v>
      </c>
      <c r="D105">
        <v>4.1426999999999996</v>
      </c>
    </row>
    <row r="106" spans="2:4" x14ac:dyDescent="0.25">
      <c r="B106" s="48">
        <v>44435</v>
      </c>
      <c r="C106" s="47">
        <v>20.654115676879879</v>
      </c>
      <c r="D106">
        <v>4.6161000000000003</v>
      </c>
    </row>
    <row r="107" spans="2:4" x14ac:dyDescent="0.25">
      <c r="B107" s="48">
        <v>44438</v>
      </c>
      <c r="C107" s="47">
        <v>20.645412445068359</v>
      </c>
      <c r="D107">
        <v>3.4119999999999999</v>
      </c>
    </row>
    <row r="108" spans="2:4" x14ac:dyDescent="0.25">
      <c r="B108" s="48">
        <v>44439</v>
      </c>
      <c r="C108" s="47">
        <v>20.73244476318359</v>
      </c>
      <c r="D108">
        <v>5.4394</v>
      </c>
    </row>
    <row r="109" spans="2:4" x14ac:dyDescent="0.25">
      <c r="B109" s="48">
        <v>44440</v>
      </c>
      <c r="C109" s="47">
        <v>20.4974479675293</v>
      </c>
      <c r="D109">
        <v>9.3688000000000002</v>
      </c>
    </row>
    <row r="110" spans="2:4" x14ac:dyDescent="0.25">
      <c r="B110" s="48">
        <v>44441</v>
      </c>
      <c r="C110" s="47">
        <v>20.628005981445309</v>
      </c>
      <c r="D110">
        <v>6.1952999999999996</v>
      </c>
    </row>
    <row r="111" spans="2:4" x14ac:dyDescent="0.25">
      <c r="B111" s="48">
        <v>44442</v>
      </c>
      <c r="C111" s="47">
        <v>20.915227890014648</v>
      </c>
      <c r="D111">
        <v>3.7812000000000001</v>
      </c>
    </row>
    <row r="112" spans="2:4" x14ac:dyDescent="0.25">
      <c r="B112" s="48">
        <v>44446</v>
      </c>
      <c r="C112" s="47">
        <v>20.393001556396481</v>
      </c>
      <c r="D112">
        <v>8.4247999999999994</v>
      </c>
    </row>
    <row r="113" spans="2:4" x14ac:dyDescent="0.25">
      <c r="B113" s="48">
        <v>44447</v>
      </c>
      <c r="C113" s="47">
        <v>20.184112548828121</v>
      </c>
      <c r="D113">
        <v>4.3517000000000001</v>
      </c>
    </row>
    <row r="114" spans="2:4" x14ac:dyDescent="0.25">
      <c r="B114" s="48">
        <v>44448</v>
      </c>
      <c r="C114" s="47">
        <v>19.95781135559082</v>
      </c>
      <c r="D114">
        <v>8.2978000000000005</v>
      </c>
    </row>
    <row r="115" spans="2:4" x14ac:dyDescent="0.25">
      <c r="B115" s="48">
        <v>44449</v>
      </c>
      <c r="C115" s="47">
        <v>20.01003456115723</v>
      </c>
      <c r="D115">
        <v>4.2012999999999998</v>
      </c>
    </row>
    <row r="116" spans="2:4" x14ac:dyDescent="0.25">
      <c r="B116" s="48">
        <v>44452</v>
      </c>
      <c r="C116" s="47">
        <v>19.983921051025391</v>
      </c>
      <c r="D116">
        <v>5.8727999999999998</v>
      </c>
    </row>
    <row r="117" spans="2:4" x14ac:dyDescent="0.25">
      <c r="B117" s="48">
        <v>44453</v>
      </c>
      <c r="C117" s="47">
        <v>20.02744102478027</v>
      </c>
      <c r="D117">
        <v>3.9702999999999999</v>
      </c>
    </row>
    <row r="118" spans="2:4" x14ac:dyDescent="0.25">
      <c r="B118" s="48">
        <v>44454</v>
      </c>
      <c r="C118" s="47">
        <v>20.340778350830082</v>
      </c>
      <c r="D118">
        <v>4.8354999999999997</v>
      </c>
    </row>
    <row r="119" spans="2:4" x14ac:dyDescent="0.25">
      <c r="B119" s="48">
        <v>44455</v>
      </c>
      <c r="C119" s="47">
        <v>20.09707069396973</v>
      </c>
      <c r="D119">
        <v>6.5540000000000003</v>
      </c>
    </row>
    <row r="120" spans="2:4" x14ac:dyDescent="0.25">
      <c r="B120" s="48">
        <v>44456</v>
      </c>
      <c r="C120" s="47">
        <v>19.888181686401371</v>
      </c>
      <c r="D120">
        <v>8.0703999999999994</v>
      </c>
    </row>
    <row r="121" spans="2:4" x14ac:dyDescent="0.25">
      <c r="B121" s="48">
        <v>44459</v>
      </c>
      <c r="C121" s="47">
        <v>19.809844970703121</v>
      </c>
      <c r="D121">
        <v>7.1487999999999996</v>
      </c>
    </row>
    <row r="122" spans="2:4" x14ac:dyDescent="0.25">
      <c r="B122" s="48">
        <v>44460</v>
      </c>
      <c r="C122" s="47">
        <v>20.12318229675293</v>
      </c>
      <c r="D122">
        <v>4.7850000000000001</v>
      </c>
    </row>
    <row r="123" spans="2:4" x14ac:dyDescent="0.25">
      <c r="B123" s="48">
        <v>44461</v>
      </c>
      <c r="C123" s="47">
        <v>20.253738403320309</v>
      </c>
      <c r="D123">
        <v>6.6138000000000003</v>
      </c>
    </row>
    <row r="124" spans="2:4" x14ac:dyDescent="0.25">
      <c r="B124" s="48">
        <v>44462</v>
      </c>
      <c r="C124" s="47">
        <v>20.654115676879879</v>
      </c>
      <c r="D124">
        <v>5.3238000000000003</v>
      </c>
    </row>
    <row r="125" spans="2:4" x14ac:dyDescent="0.25">
      <c r="B125" s="48">
        <v>44463</v>
      </c>
      <c r="C125" s="47">
        <v>20.610595703125</v>
      </c>
      <c r="D125">
        <v>5.4551999999999996</v>
      </c>
    </row>
    <row r="126" spans="2:4" x14ac:dyDescent="0.25">
      <c r="B126" s="48">
        <v>44466</v>
      </c>
      <c r="C126" s="47">
        <v>19.931699752807621</v>
      </c>
      <c r="D126">
        <v>7.4588000000000001</v>
      </c>
    </row>
    <row r="127" spans="2:4" x14ac:dyDescent="0.25">
      <c r="B127" s="48">
        <v>44467</v>
      </c>
      <c r="C127" s="47">
        <v>19.226692199707031</v>
      </c>
      <c r="D127">
        <v>8.5226000000000006</v>
      </c>
    </row>
    <row r="128" spans="2:4" x14ac:dyDescent="0.25">
      <c r="B128" s="48">
        <v>44468</v>
      </c>
      <c r="C128" s="47">
        <v>19.56613922119141</v>
      </c>
      <c r="D128">
        <v>9.6523000000000003</v>
      </c>
    </row>
    <row r="129" spans="2:4" x14ac:dyDescent="0.25">
      <c r="B129" s="48">
        <v>44469</v>
      </c>
      <c r="C129" s="47">
        <v>19.36595344543457</v>
      </c>
      <c r="D129">
        <v>7.3379000000000003</v>
      </c>
    </row>
    <row r="130" spans="2:4" x14ac:dyDescent="0.25">
      <c r="B130" s="48">
        <v>44470</v>
      </c>
      <c r="C130" s="47">
        <v>19.43558311462402</v>
      </c>
      <c r="D130">
        <v>7.1951999999999998</v>
      </c>
    </row>
    <row r="131" spans="2:4" x14ac:dyDescent="0.25">
      <c r="B131" s="48">
        <v>44473</v>
      </c>
      <c r="C131" s="47">
        <v>19.278913497924801</v>
      </c>
      <c r="D131">
        <v>8.6544000000000008</v>
      </c>
    </row>
    <row r="132" spans="2:4" x14ac:dyDescent="0.25">
      <c r="B132" s="48">
        <v>44474</v>
      </c>
      <c r="C132" s="47">
        <v>19.801143646240231</v>
      </c>
      <c r="D132">
        <v>9.4989000000000008</v>
      </c>
    </row>
    <row r="133" spans="2:4" x14ac:dyDescent="0.25">
      <c r="B133" s="48">
        <v>44475</v>
      </c>
      <c r="C133" s="47">
        <v>19.5400276184082</v>
      </c>
      <c r="D133">
        <v>7.1345999999999998</v>
      </c>
    </row>
    <row r="134" spans="2:4" x14ac:dyDescent="0.25">
      <c r="B134" s="48">
        <v>44476</v>
      </c>
      <c r="C134" s="47">
        <v>19.818550109863281</v>
      </c>
      <c r="D134">
        <v>9.5898000000000003</v>
      </c>
    </row>
    <row r="135" spans="2:4" x14ac:dyDescent="0.25">
      <c r="B135" s="48">
        <v>44477</v>
      </c>
      <c r="C135" s="47">
        <v>19.087432861328121</v>
      </c>
      <c r="D135">
        <v>15.7399</v>
      </c>
    </row>
    <row r="136" spans="2:4" x14ac:dyDescent="0.25">
      <c r="B136" s="48">
        <v>44480</v>
      </c>
      <c r="C136" s="47">
        <v>18.991689682006839</v>
      </c>
      <c r="D136">
        <v>11.872400000000001</v>
      </c>
    </row>
    <row r="137" spans="2:4" x14ac:dyDescent="0.25">
      <c r="B137" s="48">
        <v>44481</v>
      </c>
      <c r="C137" s="47">
        <v>19.043910980224609</v>
      </c>
      <c r="D137">
        <v>14.046799999999999</v>
      </c>
    </row>
    <row r="138" spans="2:4" x14ac:dyDescent="0.25">
      <c r="B138" s="48">
        <v>44482</v>
      </c>
      <c r="C138" s="47">
        <v>19.714105606079102</v>
      </c>
      <c r="D138">
        <v>13.0991</v>
      </c>
    </row>
    <row r="139" spans="2:4" x14ac:dyDescent="0.25">
      <c r="B139" s="48">
        <v>44483</v>
      </c>
      <c r="C139" s="47">
        <v>19.766324996948239</v>
      </c>
      <c r="D139">
        <v>11.3439</v>
      </c>
    </row>
    <row r="140" spans="2:4" x14ac:dyDescent="0.25">
      <c r="B140" s="48">
        <v>44484</v>
      </c>
      <c r="C140" s="47">
        <v>20.349479675292969</v>
      </c>
      <c r="D140">
        <v>22.2956</v>
      </c>
    </row>
    <row r="141" spans="2:4" x14ac:dyDescent="0.25">
      <c r="B141" s="48">
        <v>44487</v>
      </c>
      <c r="C141" s="47">
        <v>20.697635650634769</v>
      </c>
      <c r="D141">
        <v>12.6183</v>
      </c>
    </row>
    <row r="142" spans="2:4" x14ac:dyDescent="0.25">
      <c r="B142" s="48">
        <v>44488</v>
      </c>
      <c r="C142" s="47">
        <v>21.080598831176761</v>
      </c>
      <c r="D142">
        <v>7.7599</v>
      </c>
    </row>
    <row r="143" spans="2:4" x14ac:dyDescent="0.25">
      <c r="B143" s="48">
        <v>44489</v>
      </c>
      <c r="C143" s="47">
        <v>21.002265930175781</v>
      </c>
      <c r="D143">
        <v>8.4345999999999997</v>
      </c>
    </row>
    <row r="144" spans="2:4" x14ac:dyDescent="0.25">
      <c r="B144" s="48">
        <v>44490</v>
      </c>
      <c r="C144" s="47">
        <v>20.375591278076168</v>
      </c>
      <c r="D144">
        <v>6.2446000000000002</v>
      </c>
    </row>
    <row r="145" spans="2:4" x14ac:dyDescent="0.25">
      <c r="B145" s="48">
        <v>44491</v>
      </c>
      <c r="C145" s="47">
        <v>20.02744102478027</v>
      </c>
      <c r="D145">
        <v>7.6967999999999996</v>
      </c>
    </row>
    <row r="146" spans="2:4" x14ac:dyDescent="0.25">
      <c r="B146" s="48">
        <v>44494</v>
      </c>
      <c r="C146" s="47">
        <v>19.95781135559082</v>
      </c>
      <c r="D146">
        <v>10.86</v>
      </c>
    </row>
    <row r="147" spans="2:4" x14ac:dyDescent="0.25">
      <c r="B147" s="48">
        <v>44495</v>
      </c>
      <c r="C147" s="47">
        <v>19.921812057495121</v>
      </c>
      <c r="D147">
        <v>5.8445999999999998</v>
      </c>
    </row>
    <row r="148" spans="2:4" x14ac:dyDescent="0.25">
      <c r="B148" s="48">
        <v>44496</v>
      </c>
      <c r="C148" s="47">
        <v>19.798892974853519</v>
      </c>
      <c r="D148">
        <v>17.484500000000001</v>
      </c>
    </row>
    <row r="149" spans="2:4" x14ac:dyDescent="0.25">
      <c r="B149" s="48">
        <v>44497</v>
      </c>
      <c r="C149" s="47">
        <v>19.807674407958981</v>
      </c>
      <c r="D149">
        <v>6.915</v>
      </c>
    </row>
    <row r="150" spans="2:4" x14ac:dyDescent="0.25">
      <c r="B150" s="48">
        <v>44498</v>
      </c>
      <c r="C150" s="47">
        <v>19.561836242675781</v>
      </c>
      <c r="D150">
        <v>5.6881000000000004</v>
      </c>
    </row>
    <row r="151" spans="2:4" x14ac:dyDescent="0.25">
      <c r="B151" s="48">
        <v>44501</v>
      </c>
      <c r="C151" s="47">
        <v>19.728652954101559</v>
      </c>
      <c r="D151">
        <v>4.7664999999999997</v>
      </c>
    </row>
    <row r="152" spans="2:4" x14ac:dyDescent="0.25">
      <c r="B152" s="48">
        <v>44502</v>
      </c>
      <c r="C152" s="47">
        <v>19.89547157287598</v>
      </c>
      <c r="D152">
        <v>3.7863000000000002</v>
      </c>
    </row>
    <row r="153" spans="2:4" x14ac:dyDescent="0.25">
      <c r="B153" s="48">
        <v>44503</v>
      </c>
      <c r="C153" s="47">
        <v>19.939371109008789</v>
      </c>
      <c r="D153">
        <v>7.0891999999999999</v>
      </c>
    </row>
    <row r="154" spans="2:4" x14ac:dyDescent="0.25">
      <c r="B154" s="48">
        <v>44504</v>
      </c>
      <c r="C154" s="47">
        <v>19.939371109008789</v>
      </c>
      <c r="D154">
        <v>4.0776000000000003</v>
      </c>
    </row>
    <row r="155" spans="2:4" x14ac:dyDescent="0.25">
      <c r="B155" s="48">
        <v>44505</v>
      </c>
      <c r="C155" s="47">
        <v>20.009613037109379</v>
      </c>
      <c r="D155">
        <v>4.7230999999999996</v>
      </c>
    </row>
    <row r="156" spans="2:4" x14ac:dyDescent="0.25">
      <c r="B156" s="48">
        <v>44508</v>
      </c>
      <c r="C156" s="47">
        <v>20.580312728881839</v>
      </c>
      <c r="D156">
        <v>6.8487999999999998</v>
      </c>
    </row>
    <row r="157" spans="2:4" x14ac:dyDescent="0.25">
      <c r="B157" s="48">
        <v>44509</v>
      </c>
      <c r="C157" s="47">
        <v>20.457391738891602</v>
      </c>
      <c r="D157">
        <v>5.5320999999999998</v>
      </c>
    </row>
    <row r="158" spans="2:4" x14ac:dyDescent="0.25">
      <c r="B158" s="48">
        <v>44510</v>
      </c>
      <c r="C158" s="47">
        <v>20.15887451171875</v>
      </c>
      <c r="D158">
        <v>6.0602</v>
      </c>
    </row>
    <row r="159" spans="2:4" x14ac:dyDescent="0.25">
      <c r="B159" s="48">
        <v>44511</v>
      </c>
      <c r="C159" s="47">
        <v>20.36959266662598</v>
      </c>
      <c r="D159">
        <v>3.6394000000000002</v>
      </c>
    </row>
    <row r="160" spans="2:4" x14ac:dyDescent="0.25">
      <c r="B160" s="48">
        <v>44512</v>
      </c>
      <c r="C160" s="47">
        <v>20.808595657348629</v>
      </c>
      <c r="D160">
        <v>5.3047000000000004</v>
      </c>
    </row>
    <row r="161" spans="2:4" x14ac:dyDescent="0.25">
      <c r="B161" s="48">
        <v>44515</v>
      </c>
      <c r="C161" s="47">
        <v>20.74713134765625</v>
      </c>
      <c r="D161">
        <v>3.6671</v>
      </c>
    </row>
    <row r="162" spans="2:4" x14ac:dyDescent="0.25">
      <c r="B162" s="48">
        <v>44516</v>
      </c>
      <c r="C162" s="47">
        <v>21.098335266113281</v>
      </c>
      <c r="D162">
        <v>8.3890999999999991</v>
      </c>
    </row>
    <row r="163" spans="2:4" x14ac:dyDescent="0.25">
      <c r="B163" s="48">
        <v>44517</v>
      </c>
      <c r="C163" s="47">
        <v>20.84371185302734</v>
      </c>
      <c r="D163">
        <v>5.1779000000000002</v>
      </c>
    </row>
    <row r="164" spans="2:4" x14ac:dyDescent="0.25">
      <c r="B164" s="48">
        <v>44518</v>
      </c>
      <c r="C164" s="47">
        <v>20.764694213867191</v>
      </c>
      <c r="D164">
        <v>6.4535</v>
      </c>
    </row>
    <row r="165" spans="2:4" x14ac:dyDescent="0.25">
      <c r="B165" s="48">
        <v>44519</v>
      </c>
      <c r="C165" s="47">
        <v>20.712015151977539</v>
      </c>
      <c r="D165">
        <v>3.0840000000000001</v>
      </c>
    </row>
    <row r="166" spans="2:4" x14ac:dyDescent="0.25">
      <c r="B166" s="48">
        <v>44522</v>
      </c>
      <c r="C166" s="47">
        <v>19.992055892944339</v>
      </c>
      <c r="D166">
        <v>12.581200000000001</v>
      </c>
    </row>
    <row r="167" spans="2:4" x14ac:dyDescent="0.25">
      <c r="B167" s="48">
        <v>44523</v>
      </c>
      <c r="C167" s="47">
        <v>20.097410202026371</v>
      </c>
      <c r="D167">
        <v>8.4962</v>
      </c>
    </row>
    <row r="168" spans="2:4" x14ac:dyDescent="0.25">
      <c r="B168" s="48">
        <v>44524</v>
      </c>
      <c r="C168" s="47">
        <v>19.8515739440918</v>
      </c>
      <c r="D168">
        <v>3.9921000000000002</v>
      </c>
    </row>
    <row r="169" spans="2:4" x14ac:dyDescent="0.25">
      <c r="B169" s="48">
        <v>44526</v>
      </c>
      <c r="C169" s="47">
        <v>19.491594314575199</v>
      </c>
      <c r="D169">
        <v>3.5276000000000001</v>
      </c>
    </row>
    <row r="170" spans="2:4" x14ac:dyDescent="0.25">
      <c r="B170" s="48">
        <v>44529</v>
      </c>
      <c r="C170" s="47">
        <v>19.860353469848629</v>
      </c>
      <c r="D170">
        <v>9.9429999999999996</v>
      </c>
    </row>
    <row r="171" spans="2:4" x14ac:dyDescent="0.25">
      <c r="B171" s="48">
        <v>44530</v>
      </c>
      <c r="C171" s="47">
        <v>19.82523345947266</v>
      </c>
      <c r="D171">
        <v>8.7446999999999999</v>
      </c>
    </row>
    <row r="172" spans="2:4" x14ac:dyDescent="0.25">
      <c r="B172" s="48">
        <v>44531</v>
      </c>
      <c r="C172" s="47">
        <v>19.702314376831051</v>
      </c>
      <c r="D172">
        <v>6.6961000000000004</v>
      </c>
    </row>
    <row r="173" spans="2:4" x14ac:dyDescent="0.25">
      <c r="B173" s="48">
        <v>44532</v>
      </c>
      <c r="C173" s="47">
        <v>20.580312728881839</v>
      </c>
      <c r="D173">
        <v>9.3375000000000004</v>
      </c>
    </row>
    <row r="174" spans="2:4" x14ac:dyDescent="0.25">
      <c r="B174" s="48">
        <v>44533</v>
      </c>
      <c r="C174" s="47">
        <v>20.088632583618161</v>
      </c>
      <c r="D174">
        <v>6.7549000000000001</v>
      </c>
    </row>
    <row r="175" spans="2:4" x14ac:dyDescent="0.25">
      <c r="B175" s="48">
        <v>44536</v>
      </c>
      <c r="C175" s="47">
        <v>19.535495758056641</v>
      </c>
      <c r="D175">
        <v>6.8571999999999997</v>
      </c>
    </row>
    <row r="176" spans="2:4" x14ac:dyDescent="0.25">
      <c r="B176" s="48">
        <v>44537</v>
      </c>
      <c r="C176" s="47">
        <v>20.246673583984379</v>
      </c>
      <c r="D176">
        <v>8.3972999999999995</v>
      </c>
    </row>
    <row r="177" spans="2:4" x14ac:dyDescent="0.25">
      <c r="B177" s="48">
        <v>44538</v>
      </c>
      <c r="C177" s="47">
        <v>20.580312728881839</v>
      </c>
      <c r="D177">
        <v>5.1936999999999998</v>
      </c>
    </row>
    <row r="178" spans="2:4" x14ac:dyDescent="0.25">
      <c r="B178" s="48">
        <v>44539</v>
      </c>
      <c r="C178" s="47">
        <v>20.41349029541016</v>
      </c>
      <c r="D178">
        <v>4.4808000000000003</v>
      </c>
    </row>
    <row r="179" spans="2:4" x14ac:dyDescent="0.25">
      <c r="B179" s="48">
        <v>44540</v>
      </c>
      <c r="C179" s="47">
        <v>20.360813140869141</v>
      </c>
      <c r="D179">
        <v>4.0012999999999996</v>
      </c>
    </row>
    <row r="180" spans="2:4" x14ac:dyDescent="0.25">
      <c r="B180" s="48">
        <v>44543</v>
      </c>
      <c r="C180" s="47">
        <v>19.8515739440918</v>
      </c>
      <c r="D180">
        <v>4.5515999999999996</v>
      </c>
    </row>
    <row r="181" spans="2:4" x14ac:dyDescent="0.25">
      <c r="B181" s="48">
        <v>44544</v>
      </c>
      <c r="C181" s="47">
        <v>20.097410202026371</v>
      </c>
      <c r="D181">
        <v>5.2531999999999996</v>
      </c>
    </row>
    <row r="182" spans="2:4" x14ac:dyDescent="0.25">
      <c r="B182" s="48">
        <v>44545</v>
      </c>
      <c r="C182" s="47">
        <v>20.422271728515621</v>
      </c>
      <c r="D182">
        <v>6.8361999999999998</v>
      </c>
    </row>
    <row r="183" spans="2:4" x14ac:dyDescent="0.25">
      <c r="B183" s="48">
        <v>44546</v>
      </c>
      <c r="C183" s="47">
        <v>21.168575286865231</v>
      </c>
      <c r="D183">
        <v>11.307499999999999</v>
      </c>
    </row>
    <row r="184" spans="2:4" x14ac:dyDescent="0.25">
      <c r="B184" s="48">
        <v>44547</v>
      </c>
      <c r="C184" s="47">
        <v>21.107114791870121</v>
      </c>
      <c r="D184">
        <v>6.5170000000000003</v>
      </c>
    </row>
    <row r="185" spans="2:4" x14ac:dyDescent="0.25">
      <c r="B185" s="48">
        <v>44550</v>
      </c>
      <c r="C185" s="47">
        <v>20.799814224243161</v>
      </c>
      <c r="D185">
        <v>4.0309999999999997</v>
      </c>
    </row>
    <row r="186" spans="2:4" x14ac:dyDescent="0.25">
      <c r="B186" s="48">
        <v>44551</v>
      </c>
      <c r="C186" s="47">
        <v>21.265151977539059</v>
      </c>
      <c r="D186">
        <v>3.7503000000000002</v>
      </c>
    </row>
    <row r="187" spans="2:4" x14ac:dyDescent="0.25">
      <c r="B187" s="48">
        <v>44552</v>
      </c>
      <c r="C187" s="47">
        <v>21.537332534790039</v>
      </c>
      <c r="D187">
        <v>6.9687999999999999</v>
      </c>
    </row>
    <row r="188" spans="2:4" x14ac:dyDescent="0.25">
      <c r="B188" s="48">
        <v>44553</v>
      </c>
      <c r="C188" s="47">
        <v>21.712932586669918</v>
      </c>
      <c r="D188">
        <v>2.4885999999999999</v>
      </c>
    </row>
    <row r="189" spans="2:4" x14ac:dyDescent="0.25">
      <c r="B189" s="48">
        <v>44557</v>
      </c>
      <c r="C189" s="47">
        <v>22.2397346496582</v>
      </c>
      <c r="D189">
        <v>3.5272000000000001</v>
      </c>
    </row>
    <row r="190" spans="2:4" x14ac:dyDescent="0.25">
      <c r="B190" s="48">
        <v>44558</v>
      </c>
      <c r="C190" s="47">
        <v>22.2133903503418</v>
      </c>
      <c r="D190">
        <v>3.4058000000000002</v>
      </c>
    </row>
    <row r="191" spans="2:4" x14ac:dyDescent="0.25">
      <c r="B191" s="48">
        <v>44559</v>
      </c>
      <c r="C191" s="47">
        <v>22.283632278442379</v>
      </c>
      <c r="D191">
        <v>2.3304</v>
      </c>
    </row>
    <row r="192" spans="2:4" x14ac:dyDescent="0.25">
      <c r="B192" s="48">
        <v>44560</v>
      </c>
      <c r="C192" s="47">
        <v>22.309970855712891</v>
      </c>
      <c r="D192">
        <v>2.2938999999999998</v>
      </c>
    </row>
    <row r="193" spans="2:4" x14ac:dyDescent="0.25">
      <c r="B193" s="48">
        <v>44561</v>
      </c>
      <c r="C193" s="47">
        <v>22.222169876098629</v>
      </c>
      <c r="D193">
        <v>3.0097</v>
      </c>
    </row>
    <row r="194" spans="2:4" x14ac:dyDescent="0.25">
      <c r="B194" s="48">
        <v>44564</v>
      </c>
      <c r="C194" s="47">
        <v>22.17827224731445</v>
      </c>
      <c r="D194">
        <v>4.5266999999999999</v>
      </c>
    </row>
    <row r="195" spans="2:4" x14ac:dyDescent="0.25">
      <c r="B195" s="48">
        <v>44565</v>
      </c>
      <c r="C195" s="47">
        <v>22.046575546264648</v>
      </c>
      <c r="D195">
        <v>8.1808999999999994</v>
      </c>
    </row>
    <row r="196" spans="2:4" x14ac:dyDescent="0.25">
      <c r="B196" s="48">
        <v>44566</v>
      </c>
      <c r="C196" s="47">
        <v>21.335391998291019</v>
      </c>
      <c r="D196">
        <v>8.8813999999999993</v>
      </c>
    </row>
    <row r="197" spans="2:4" x14ac:dyDescent="0.25">
      <c r="B197" s="48">
        <v>44567</v>
      </c>
      <c r="C197" s="47">
        <v>21.168575286865231</v>
      </c>
      <c r="D197">
        <v>11.523300000000001</v>
      </c>
    </row>
    <row r="198" spans="2:4" x14ac:dyDescent="0.25">
      <c r="B198" s="48">
        <v>44568</v>
      </c>
      <c r="C198" s="47">
        <v>21.247592926025391</v>
      </c>
      <c r="D198">
        <v>6.5964999999999998</v>
      </c>
    </row>
    <row r="199" spans="2:4" x14ac:dyDescent="0.25">
      <c r="B199" s="48">
        <v>44571</v>
      </c>
      <c r="C199" s="47">
        <v>21.748054504394531</v>
      </c>
      <c r="D199">
        <v>10.032</v>
      </c>
    </row>
    <row r="200" spans="2:4" x14ac:dyDescent="0.25">
      <c r="B200" s="48">
        <v>44572</v>
      </c>
      <c r="C200" s="47">
        <v>21.96755218505859</v>
      </c>
      <c r="D200">
        <v>9.8839000000000006</v>
      </c>
    </row>
    <row r="201" spans="2:4" x14ac:dyDescent="0.25">
      <c r="B201" s="48">
        <v>44573</v>
      </c>
      <c r="C201" s="47">
        <v>22.608493804931641</v>
      </c>
      <c r="D201">
        <v>15.578799999999999</v>
      </c>
    </row>
    <row r="202" spans="2:4" x14ac:dyDescent="0.25">
      <c r="B202" s="48">
        <v>44574</v>
      </c>
      <c r="C202" s="47">
        <v>22.47679328918457</v>
      </c>
      <c r="D202">
        <v>20.147500000000001</v>
      </c>
    </row>
    <row r="203" spans="2:4" x14ac:dyDescent="0.25">
      <c r="B203" s="48">
        <v>44575</v>
      </c>
      <c r="C203" s="47">
        <v>23.003593444824219</v>
      </c>
      <c r="D203">
        <v>11.294700000000001</v>
      </c>
    </row>
    <row r="204" spans="2:4" x14ac:dyDescent="0.25">
      <c r="B204" s="48">
        <v>44579</v>
      </c>
      <c r="C204" s="47">
        <v>22.397773742675781</v>
      </c>
      <c r="D204">
        <v>6.915</v>
      </c>
    </row>
    <row r="205" spans="2:4" x14ac:dyDescent="0.25">
      <c r="B205" s="48">
        <v>44580</v>
      </c>
      <c r="C205" s="47">
        <v>21.484651565551761</v>
      </c>
      <c r="D205">
        <v>13.7561</v>
      </c>
    </row>
    <row r="206" spans="2:4" x14ac:dyDescent="0.25">
      <c r="B206" s="48">
        <v>44581</v>
      </c>
      <c r="C206" s="47">
        <v>20.791032791137699</v>
      </c>
      <c r="D206">
        <v>19.4175</v>
      </c>
    </row>
    <row r="207" spans="2:4" x14ac:dyDescent="0.25">
      <c r="B207" s="48">
        <v>44582</v>
      </c>
      <c r="C207" s="47">
        <v>20.553970336914059</v>
      </c>
      <c r="D207">
        <v>13.813599999999999</v>
      </c>
    </row>
    <row r="208" spans="2:4" x14ac:dyDescent="0.25">
      <c r="B208" s="48">
        <v>44585</v>
      </c>
      <c r="C208" s="47">
        <v>20.141313552856449</v>
      </c>
      <c r="D208">
        <v>18.128</v>
      </c>
    </row>
    <row r="209" spans="2:4" x14ac:dyDescent="0.25">
      <c r="B209" s="48">
        <v>44586</v>
      </c>
      <c r="C209" s="47">
        <v>19.737432479858398</v>
      </c>
      <c r="D209">
        <v>9.5881000000000007</v>
      </c>
    </row>
    <row r="210" spans="2:4" x14ac:dyDescent="0.25">
      <c r="B210" s="48">
        <v>44587</v>
      </c>
      <c r="C210" s="47">
        <v>19.658416748046879</v>
      </c>
      <c r="D210">
        <v>11.662800000000001</v>
      </c>
    </row>
    <row r="211" spans="2:4" x14ac:dyDescent="0.25">
      <c r="B211" s="48">
        <v>44588</v>
      </c>
      <c r="C211" s="47">
        <v>19.149171829223629</v>
      </c>
      <c r="D211">
        <v>17.0869</v>
      </c>
    </row>
    <row r="212" spans="2:4" x14ac:dyDescent="0.25">
      <c r="B212" s="48">
        <v>44589</v>
      </c>
      <c r="C212" s="47">
        <v>19.89547157287598</v>
      </c>
      <c r="D212">
        <v>15.420199999999999</v>
      </c>
    </row>
    <row r="213" spans="2:4" x14ac:dyDescent="0.25">
      <c r="B213" s="48">
        <v>44592</v>
      </c>
      <c r="C213" s="47">
        <v>20.694452285766602</v>
      </c>
      <c r="D213">
        <v>5.6867999999999999</v>
      </c>
    </row>
    <row r="214" spans="2:4" x14ac:dyDescent="0.25">
      <c r="B214" s="48">
        <v>44593</v>
      </c>
      <c r="C214" s="47">
        <v>20.650552749633789</v>
      </c>
      <c r="D214">
        <v>10.309699999999999</v>
      </c>
    </row>
    <row r="215" spans="2:4" x14ac:dyDescent="0.25">
      <c r="B215" s="48">
        <v>44594</v>
      </c>
      <c r="C215" s="47">
        <v>20.870054244995121</v>
      </c>
      <c r="D215">
        <v>9.0334000000000003</v>
      </c>
    </row>
    <row r="216" spans="2:4" x14ac:dyDescent="0.25">
      <c r="B216" s="48">
        <v>44595</v>
      </c>
      <c r="C216" s="47">
        <v>19.983272552490231</v>
      </c>
      <c r="D216">
        <v>12.135</v>
      </c>
    </row>
    <row r="217" spans="2:4" x14ac:dyDescent="0.25">
      <c r="B217" s="48">
        <v>44596</v>
      </c>
      <c r="C217" s="47">
        <v>20.097410202026371</v>
      </c>
      <c r="D217">
        <v>18.2531</v>
      </c>
    </row>
    <row r="218" spans="2:4" x14ac:dyDescent="0.25">
      <c r="B218" s="48">
        <v>44599</v>
      </c>
      <c r="C218" s="47">
        <v>19.728652954101559</v>
      </c>
      <c r="D218">
        <v>15.889900000000001</v>
      </c>
    </row>
    <row r="219" spans="2:4" x14ac:dyDescent="0.25">
      <c r="B219" s="48">
        <v>44600</v>
      </c>
      <c r="C219" s="47">
        <v>20.097410202026371</v>
      </c>
      <c r="D219">
        <v>21.190899999999999</v>
      </c>
    </row>
    <row r="220" spans="2:4" x14ac:dyDescent="0.25">
      <c r="B220" s="48">
        <v>44601</v>
      </c>
      <c r="C220" s="47">
        <v>20.553970336914059</v>
      </c>
      <c r="D220">
        <v>7.4728000000000003</v>
      </c>
    </row>
    <row r="221" spans="2:4" x14ac:dyDescent="0.25">
      <c r="B221" s="48">
        <v>44602</v>
      </c>
      <c r="C221" s="47">
        <v>20.141313552856449</v>
      </c>
      <c r="D221">
        <v>10.6008</v>
      </c>
    </row>
    <row r="222" spans="2:4" x14ac:dyDescent="0.25">
      <c r="B222" s="48">
        <v>44603</v>
      </c>
      <c r="C222" s="47">
        <v>19.553054809570309</v>
      </c>
      <c r="D222">
        <v>7.7614999999999998</v>
      </c>
    </row>
    <row r="223" spans="2:4" x14ac:dyDescent="0.25">
      <c r="B223" s="48">
        <v>44606</v>
      </c>
      <c r="C223" s="47">
        <v>19.48281288146973</v>
      </c>
      <c r="D223">
        <v>6.5029000000000003</v>
      </c>
    </row>
    <row r="224" spans="2:4" x14ac:dyDescent="0.25">
      <c r="B224" s="48">
        <v>44607</v>
      </c>
      <c r="C224" s="47">
        <v>20.097410202026371</v>
      </c>
      <c r="D224">
        <v>9.9762000000000004</v>
      </c>
    </row>
    <row r="225" spans="2:4" x14ac:dyDescent="0.25">
      <c r="B225" s="48">
        <v>44608</v>
      </c>
      <c r="C225" s="47">
        <v>20.053512573242191</v>
      </c>
      <c r="D225">
        <v>6.6050000000000004</v>
      </c>
    </row>
    <row r="226" spans="2:4" x14ac:dyDescent="0.25">
      <c r="B226" s="48">
        <v>44609</v>
      </c>
      <c r="C226" s="47">
        <v>19.693534851074219</v>
      </c>
      <c r="D226">
        <v>8.4702000000000002</v>
      </c>
    </row>
    <row r="227" spans="2:4" x14ac:dyDescent="0.25">
      <c r="B227" s="48">
        <v>44610</v>
      </c>
      <c r="C227" s="47">
        <v>19.76377105712891</v>
      </c>
      <c r="D227">
        <v>8.9327000000000005</v>
      </c>
    </row>
    <row r="228" spans="2:4" x14ac:dyDescent="0.25">
      <c r="B228" s="48">
        <v>44614</v>
      </c>
      <c r="C228" s="47">
        <v>20.23789215087891</v>
      </c>
      <c r="D228">
        <v>17.2683</v>
      </c>
    </row>
    <row r="229" spans="2:4" x14ac:dyDescent="0.25">
      <c r="B229" s="48">
        <v>44615</v>
      </c>
      <c r="C229" s="47">
        <v>19.948150634765621</v>
      </c>
      <c r="D229">
        <v>8.42</v>
      </c>
    </row>
    <row r="230" spans="2:4" x14ac:dyDescent="0.25">
      <c r="B230" s="48">
        <v>44616</v>
      </c>
      <c r="C230" s="47">
        <v>19.526716232299801</v>
      </c>
      <c r="D230">
        <v>21.155100000000001</v>
      </c>
    </row>
    <row r="231" spans="2:4" x14ac:dyDescent="0.25">
      <c r="B231" s="48">
        <v>44617</v>
      </c>
      <c r="C231" s="47">
        <v>20.053512573242191</v>
      </c>
      <c r="D231">
        <v>8.2692999999999994</v>
      </c>
    </row>
    <row r="232" spans="2:4" x14ac:dyDescent="0.25">
      <c r="B232" s="48">
        <v>44620</v>
      </c>
      <c r="C232" s="47">
        <v>19.71987152099609</v>
      </c>
      <c r="D232">
        <v>6.9657</v>
      </c>
    </row>
    <row r="233" spans="2:4" x14ac:dyDescent="0.25">
      <c r="B233" s="48">
        <v>44621</v>
      </c>
      <c r="C233" s="47">
        <v>19.456472396850589</v>
      </c>
      <c r="D233">
        <v>6.9302999999999999</v>
      </c>
    </row>
    <row r="234" spans="2:4" x14ac:dyDescent="0.25">
      <c r="B234" s="48">
        <v>44622</v>
      </c>
      <c r="C234" s="47">
        <v>19.834014892578121</v>
      </c>
      <c r="D234">
        <v>8.7494999999999994</v>
      </c>
    </row>
    <row r="235" spans="2:4" x14ac:dyDescent="0.25">
      <c r="B235" s="48">
        <v>44623</v>
      </c>
      <c r="C235" s="47">
        <v>19.772552490234379</v>
      </c>
      <c r="D235">
        <v>7.0236000000000001</v>
      </c>
    </row>
    <row r="236" spans="2:4" x14ac:dyDescent="0.25">
      <c r="B236" s="48">
        <v>44624</v>
      </c>
      <c r="C236" s="47">
        <v>19.71987152099609</v>
      </c>
      <c r="D236">
        <v>13.4245</v>
      </c>
    </row>
    <row r="237" spans="2:4" x14ac:dyDescent="0.25">
      <c r="B237" s="48">
        <v>44627</v>
      </c>
      <c r="C237" s="47">
        <v>19.82523345947266</v>
      </c>
      <c r="D237">
        <v>14.1951</v>
      </c>
    </row>
    <row r="238" spans="2:4" x14ac:dyDescent="0.25">
      <c r="B238" s="48">
        <v>44628</v>
      </c>
      <c r="C238" s="47">
        <v>20.483732223510739</v>
      </c>
      <c r="D238">
        <v>20.4268</v>
      </c>
    </row>
    <row r="239" spans="2:4" x14ac:dyDescent="0.25">
      <c r="B239" s="48">
        <v>44629</v>
      </c>
      <c r="C239" s="47">
        <v>20.98419189453125</v>
      </c>
      <c r="D239">
        <v>10.5992</v>
      </c>
    </row>
    <row r="240" spans="2:4" x14ac:dyDescent="0.25">
      <c r="B240" s="48">
        <v>44630</v>
      </c>
      <c r="C240" s="47">
        <v>20.931512832641602</v>
      </c>
      <c r="D240">
        <v>7.7889999999999997</v>
      </c>
    </row>
    <row r="241" spans="2:4" x14ac:dyDescent="0.25">
      <c r="B241" s="48">
        <v>44631</v>
      </c>
      <c r="C241" s="47">
        <v>21.08077430725098</v>
      </c>
      <c r="D241">
        <v>7.8928000000000003</v>
      </c>
    </row>
    <row r="242" spans="2:4" x14ac:dyDescent="0.25">
      <c r="B242" s="48">
        <v>44634</v>
      </c>
      <c r="C242" s="47">
        <v>21.677816390991211</v>
      </c>
      <c r="D242">
        <v>13.9453</v>
      </c>
    </row>
    <row r="243" spans="2:4" x14ac:dyDescent="0.25">
      <c r="B243" s="48">
        <v>44635</v>
      </c>
      <c r="C243" s="47">
        <v>21.238811492919918</v>
      </c>
      <c r="D243">
        <v>9.1861999999999995</v>
      </c>
    </row>
    <row r="244" spans="2:4" x14ac:dyDescent="0.25">
      <c r="B244" s="48">
        <v>44636</v>
      </c>
      <c r="C244" s="47">
        <v>22.046575546264648</v>
      </c>
      <c r="D244">
        <v>12.327299999999999</v>
      </c>
    </row>
    <row r="245" spans="2:4" x14ac:dyDescent="0.25">
      <c r="B245" s="48">
        <v>44637</v>
      </c>
      <c r="C245" s="47">
        <v>21.502214431762699</v>
      </c>
      <c r="D245">
        <v>14.8149</v>
      </c>
    </row>
    <row r="246" spans="2:4" x14ac:dyDescent="0.25">
      <c r="B246" s="48">
        <v>44638</v>
      </c>
      <c r="C246" s="47">
        <v>21.985113143920898</v>
      </c>
      <c r="D246">
        <v>29.035599999999999</v>
      </c>
    </row>
    <row r="247" spans="2:4" x14ac:dyDescent="0.25">
      <c r="B247" s="48">
        <v>44641</v>
      </c>
      <c r="C247" s="47">
        <v>21.25637054443359</v>
      </c>
      <c r="D247">
        <v>8.2007999999999992</v>
      </c>
    </row>
    <row r="248" spans="2:4" x14ac:dyDescent="0.25">
      <c r="B248" s="48">
        <v>44642</v>
      </c>
      <c r="C248" s="47">
        <v>21.76561164855957</v>
      </c>
      <c r="D248">
        <v>5.3673000000000002</v>
      </c>
    </row>
    <row r="249" spans="2:4" x14ac:dyDescent="0.25">
      <c r="B249" s="48">
        <v>44643</v>
      </c>
      <c r="C249" s="47">
        <v>21.344173431396481</v>
      </c>
      <c r="D249">
        <v>9.0222999999999995</v>
      </c>
    </row>
    <row r="250" spans="2:4" x14ac:dyDescent="0.25">
      <c r="B250" s="48">
        <v>44644</v>
      </c>
      <c r="C250" s="47">
        <v>21.66025352478027</v>
      </c>
      <c r="D250">
        <v>3.5943999999999998</v>
      </c>
    </row>
    <row r="251" spans="2:4" x14ac:dyDescent="0.25">
      <c r="B251" s="48">
        <v>44645</v>
      </c>
      <c r="C251" s="47">
        <v>21.712932586669918</v>
      </c>
      <c r="D251">
        <v>3.3654000000000002</v>
      </c>
    </row>
    <row r="252" spans="2:4" x14ac:dyDescent="0.25">
      <c r="B252" s="48">
        <v>44648</v>
      </c>
      <c r="C252" s="47">
        <v>21.70415115356445</v>
      </c>
      <c r="D252">
        <v>2.8344</v>
      </c>
    </row>
    <row r="253" spans="2:4" x14ac:dyDescent="0.25">
      <c r="B253" s="48">
        <v>44649</v>
      </c>
      <c r="C253" s="47">
        <v>22.046575546264648</v>
      </c>
      <c r="D253">
        <v>3.8172000000000001</v>
      </c>
    </row>
    <row r="254" spans="2:4" x14ac:dyDescent="0.25">
      <c r="B254" s="48">
        <v>44650</v>
      </c>
      <c r="C254" s="47">
        <v>21.923652648925781</v>
      </c>
      <c r="D254">
        <v>6.9455</v>
      </c>
    </row>
    <row r="255" spans="2:4" x14ac:dyDescent="0.25">
      <c r="B255" s="48">
        <v>44651</v>
      </c>
      <c r="C255" s="47">
        <v>21.853410720825199</v>
      </c>
      <c r="D255">
        <v>7.8494999999999999</v>
      </c>
    </row>
    <row r="256" spans="2:4" x14ac:dyDescent="0.25">
      <c r="B256" s="48">
        <v>44652</v>
      </c>
      <c r="C256" s="47">
        <v>21.607572555541989</v>
      </c>
      <c r="D256">
        <v>14.712</v>
      </c>
    </row>
    <row r="257" spans="2:4" x14ac:dyDescent="0.25">
      <c r="B257" s="48">
        <v>44655</v>
      </c>
      <c r="C257" s="47">
        <v>21.721710205078121</v>
      </c>
      <c r="D257">
        <v>12.357900000000001</v>
      </c>
    </row>
    <row r="258" spans="2:4" x14ac:dyDescent="0.25">
      <c r="B258" s="48">
        <v>44656</v>
      </c>
      <c r="C258" s="47">
        <v>21.405632019042969</v>
      </c>
      <c r="D258">
        <v>6.2930000000000001</v>
      </c>
    </row>
    <row r="259" spans="2:4" x14ac:dyDescent="0.25">
      <c r="B259" s="48">
        <v>44657</v>
      </c>
      <c r="C259" s="47">
        <v>21.045654296875</v>
      </c>
      <c r="D259">
        <v>12.373699999999999</v>
      </c>
    </row>
    <row r="260" spans="2:4" x14ac:dyDescent="0.25">
      <c r="B260" s="48">
        <v>44658</v>
      </c>
      <c r="C260" s="47">
        <v>20.91395378112793</v>
      </c>
      <c r="D260">
        <v>8.3374000000000006</v>
      </c>
    </row>
    <row r="261" spans="2:4" x14ac:dyDescent="0.25">
      <c r="B261" s="48">
        <v>44659</v>
      </c>
      <c r="C261" s="47">
        <v>20.808595657348629</v>
      </c>
      <c r="D261">
        <v>5.5834000000000001</v>
      </c>
    </row>
    <row r="262" spans="2:4" x14ac:dyDescent="0.25">
      <c r="B262" s="48">
        <v>44662</v>
      </c>
      <c r="C262" s="47">
        <v>20.23789215087891</v>
      </c>
      <c r="D262">
        <v>6.6414999999999997</v>
      </c>
    </row>
    <row r="263" spans="2:4" x14ac:dyDescent="0.25">
      <c r="B263" s="48">
        <v>44663</v>
      </c>
      <c r="C263" s="47">
        <v>19.81645393371582</v>
      </c>
      <c r="D263">
        <v>11.6426</v>
      </c>
    </row>
    <row r="264" spans="2:4" x14ac:dyDescent="0.25">
      <c r="B264" s="48">
        <v>44664</v>
      </c>
      <c r="C264" s="47">
        <v>18.604812622070309</v>
      </c>
      <c r="D264">
        <v>20.145499999999998</v>
      </c>
    </row>
    <row r="265" spans="2:4" x14ac:dyDescent="0.25">
      <c r="B265" s="48">
        <v>44665</v>
      </c>
      <c r="C265" s="47">
        <v>17.963872909545898</v>
      </c>
      <c r="D265">
        <v>17.1998</v>
      </c>
    </row>
    <row r="266" spans="2:4" x14ac:dyDescent="0.25">
      <c r="B266" s="48">
        <v>44669</v>
      </c>
      <c r="C266" s="47">
        <v>18.05167388916016</v>
      </c>
      <c r="D266">
        <v>11.9983</v>
      </c>
    </row>
    <row r="267" spans="2:4" x14ac:dyDescent="0.25">
      <c r="B267" s="48">
        <v>44670</v>
      </c>
      <c r="C267" s="47">
        <v>17.928754806518551</v>
      </c>
      <c r="D267">
        <v>16.645299999999999</v>
      </c>
    </row>
    <row r="268" spans="2:4" x14ac:dyDescent="0.25">
      <c r="B268" s="48">
        <v>44671</v>
      </c>
      <c r="C268" s="47">
        <v>18.060455322265621</v>
      </c>
      <c r="D268">
        <v>10.019600000000001</v>
      </c>
    </row>
    <row r="269" spans="2:4" x14ac:dyDescent="0.25">
      <c r="B269" s="48">
        <v>44672</v>
      </c>
      <c r="C269" s="47">
        <v>18.157033920288089</v>
      </c>
      <c r="D269">
        <v>21.840599999999998</v>
      </c>
    </row>
    <row r="270" spans="2:4" x14ac:dyDescent="0.25">
      <c r="B270" s="48">
        <v>44673</v>
      </c>
      <c r="C270" s="47">
        <v>17.788274765014648</v>
      </c>
      <c r="D270">
        <v>11.9834</v>
      </c>
    </row>
    <row r="271" spans="2:4" x14ac:dyDescent="0.25">
      <c r="B271" s="48">
        <v>44676</v>
      </c>
      <c r="C271" s="47">
        <v>17.919973373413089</v>
      </c>
      <c r="D271">
        <v>8.7783999999999995</v>
      </c>
    </row>
    <row r="272" spans="2:4" x14ac:dyDescent="0.25">
      <c r="B272" s="48">
        <v>44677</v>
      </c>
      <c r="C272" s="47">
        <v>17.665353775024411</v>
      </c>
      <c r="D272">
        <v>13.027100000000001</v>
      </c>
    </row>
    <row r="273" spans="2:4" x14ac:dyDescent="0.25">
      <c r="B273" s="48">
        <v>44678</v>
      </c>
      <c r="C273" s="47">
        <v>17.665353775024411</v>
      </c>
      <c r="D273">
        <v>9.7540999999999993</v>
      </c>
    </row>
    <row r="274" spans="2:4" x14ac:dyDescent="0.25">
      <c r="B274" s="48">
        <v>44679</v>
      </c>
      <c r="C274" s="47">
        <v>17.998996734619141</v>
      </c>
      <c r="D274">
        <v>24.229099999999999</v>
      </c>
    </row>
    <row r="275" spans="2:4" x14ac:dyDescent="0.25">
      <c r="B275" s="48">
        <v>44680</v>
      </c>
      <c r="C275" s="47">
        <v>17.445854187011719</v>
      </c>
      <c r="D275">
        <v>12.325100000000001</v>
      </c>
    </row>
    <row r="276" spans="2:4" x14ac:dyDescent="0.25">
      <c r="B276" s="48">
        <v>44683</v>
      </c>
      <c r="C276" s="47">
        <v>17.691694259643551</v>
      </c>
      <c r="D276">
        <v>15.0739</v>
      </c>
    </row>
    <row r="277" spans="2:4" x14ac:dyDescent="0.25">
      <c r="B277" s="48">
        <v>44684</v>
      </c>
      <c r="C277" s="47">
        <v>17.753154754638668</v>
      </c>
      <c r="D277">
        <v>7.7168000000000001</v>
      </c>
    </row>
    <row r="278" spans="2:4" x14ac:dyDescent="0.25">
      <c r="B278" s="48">
        <v>44685</v>
      </c>
      <c r="C278" s="47">
        <v>18.095573425292969</v>
      </c>
      <c r="D278">
        <v>7.5194000000000001</v>
      </c>
    </row>
    <row r="279" spans="2:4" x14ac:dyDescent="0.25">
      <c r="B279" s="48">
        <v>44686</v>
      </c>
      <c r="C279" s="47">
        <v>17.832174301147461</v>
      </c>
      <c r="D279">
        <v>9.5770999999999997</v>
      </c>
    </row>
    <row r="280" spans="2:4" x14ac:dyDescent="0.25">
      <c r="B280" s="48">
        <v>44687</v>
      </c>
      <c r="C280" s="47">
        <v>17.42829513549805</v>
      </c>
      <c r="D280">
        <v>6.6153000000000004</v>
      </c>
    </row>
    <row r="281" spans="2:4" x14ac:dyDescent="0.25">
      <c r="B281" s="48">
        <v>44690</v>
      </c>
      <c r="C281" s="47">
        <v>17.40195274353027</v>
      </c>
      <c r="D281">
        <v>14.5382</v>
      </c>
    </row>
    <row r="282" spans="2:4" x14ac:dyDescent="0.25">
      <c r="B282" s="48">
        <v>44691</v>
      </c>
      <c r="C282" s="47">
        <v>17.349271774291989</v>
      </c>
      <c r="D282">
        <v>18.342600000000001</v>
      </c>
    </row>
    <row r="283" spans="2:4" x14ac:dyDescent="0.25">
      <c r="B283" s="48">
        <v>44692</v>
      </c>
      <c r="C283" s="47">
        <v>17.041971206665039</v>
      </c>
      <c r="D283">
        <v>8.5031999999999996</v>
      </c>
    </row>
    <row r="284" spans="2:4" x14ac:dyDescent="0.25">
      <c r="B284" s="48">
        <v>44693</v>
      </c>
      <c r="C284" s="47">
        <v>17.147335052490231</v>
      </c>
      <c r="D284">
        <v>13.434100000000001</v>
      </c>
    </row>
    <row r="285" spans="2:4" x14ac:dyDescent="0.25">
      <c r="B285" s="48">
        <v>44694</v>
      </c>
      <c r="C285" s="47">
        <v>17.077096939086911</v>
      </c>
      <c r="D285">
        <v>14.0335</v>
      </c>
    </row>
    <row r="286" spans="2:4" x14ac:dyDescent="0.25">
      <c r="B286" s="48">
        <v>44697</v>
      </c>
      <c r="C286" s="47">
        <v>16.629312515258789</v>
      </c>
      <c r="D286">
        <v>11.057600000000001</v>
      </c>
    </row>
    <row r="287" spans="2:4" x14ac:dyDescent="0.25">
      <c r="B287" s="48">
        <v>44698</v>
      </c>
      <c r="C287" s="47">
        <v>17.217575073242191</v>
      </c>
      <c r="D287">
        <v>7.1845999999999997</v>
      </c>
    </row>
    <row r="288" spans="2:4" x14ac:dyDescent="0.25">
      <c r="B288" s="48">
        <v>44699</v>
      </c>
      <c r="C288" s="47">
        <v>16.488836288452148</v>
      </c>
      <c r="D288">
        <v>10.672000000000001</v>
      </c>
    </row>
    <row r="289" spans="2:4" x14ac:dyDescent="0.25">
      <c r="B289" s="48">
        <v>44700</v>
      </c>
      <c r="C289" s="47">
        <v>16.357133865356449</v>
      </c>
      <c r="D289">
        <v>9.3927999999999994</v>
      </c>
    </row>
    <row r="290" spans="2:4" x14ac:dyDescent="0.25">
      <c r="B290" s="48">
        <v>44701</v>
      </c>
      <c r="C290" s="47">
        <v>16.418598175048832</v>
      </c>
      <c r="D290">
        <v>6.0190999999999999</v>
      </c>
    </row>
    <row r="291" spans="2:4" x14ac:dyDescent="0.25">
      <c r="B291" s="48">
        <v>44704</v>
      </c>
      <c r="C291" s="47">
        <v>16.58541297912598</v>
      </c>
      <c r="D291">
        <v>7.4516</v>
      </c>
    </row>
    <row r="292" spans="2:4" x14ac:dyDescent="0.25">
      <c r="B292" s="48">
        <v>44705</v>
      </c>
      <c r="C292" s="47">
        <v>16.155195236206051</v>
      </c>
      <c r="D292">
        <v>9.9047999999999998</v>
      </c>
    </row>
    <row r="293" spans="2:4" x14ac:dyDescent="0.25">
      <c r="B293" s="48">
        <v>44706</v>
      </c>
      <c r="C293" s="47">
        <v>15.926913261413571</v>
      </c>
      <c r="D293">
        <v>19.046500000000002</v>
      </c>
    </row>
    <row r="294" spans="2:4" x14ac:dyDescent="0.25">
      <c r="B294" s="48">
        <v>44707</v>
      </c>
      <c r="C294" s="47">
        <v>16.199094772338871</v>
      </c>
      <c r="D294">
        <v>9.1168999999999993</v>
      </c>
    </row>
    <row r="295" spans="2:4" x14ac:dyDescent="0.25">
      <c r="B295" s="48">
        <v>44708</v>
      </c>
      <c r="C295" s="47">
        <v>16.68199348449707</v>
      </c>
      <c r="D295">
        <v>14.402900000000001</v>
      </c>
    </row>
    <row r="296" spans="2:4" x14ac:dyDescent="0.25">
      <c r="B296" s="48">
        <v>44712</v>
      </c>
      <c r="C296" s="47">
        <v>16.744140625</v>
      </c>
      <c r="D296">
        <v>14.97</v>
      </c>
    </row>
    <row r="297" spans="2:4" x14ac:dyDescent="0.25">
      <c r="B297" s="48">
        <v>44713</v>
      </c>
      <c r="C297" s="47">
        <v>16.89506912231445</v>
      </c>
      <c r="D297">
        <v>11.6313</v>
      </c>
    </row>
    <row r="298" spans="2:4" x14ac:dyDescent="0.25">
      <c r="B298" s="48">
        <v>44714</v>
      </c>
      <c r="C298" s="47">
        <v>17.321218490600589</v>
      </c>
      <c r="D298">
        <v>9.3977000000000004</v>
      </c>
    </row>
    <row r="299" spans="2:4" x14ac:dyDescent="0.25">
      <c r="B299" s="48">
        <v>44715</v>
      </c>
      <c r="C299" s="47">
        <v>17.205802917480469</v>
      </c>
      <c r="D299">
        <v>9.0359999999999996</v>
      </c>
    </row>
    <row r="300" spans="2:4" x14ac:dyDescent="0.25">
      <c r="B300" s="48">
        <v>44718</v>
      </c>
      <c r="C300" s="47">
        <v>17.250192642211911</v>
      </c>
      <c r="D300">
        <v>3.9173</v>
      </c>
    </row>
    <row r="301" spans="2:4" x14ac:dyDescent="0.25">
      <c r="B301" s="48">
        <v>44719</v>
      </c>
      <c r="C301" s="47">
        <v>17.205802917480469</v>
      </c>
      <c r="D301">
        <v>11.026400000000001</v>
      </c>
    </row>
    <row r="302" spans="2:4" x14ac:dyDescent="0.25">
      <c r="B302" s="48">
        <v>44720</v>
      </c>
      <c r="C302" s="47">
        <v>17.0104866027832</v>
      </c>
      <c r="D302">
        <v>3.1915</v>
      </c>
    </row>
    <row r="303" spans="2:4" x14ac:dyDescent="0.25">
      <c r="B303" s="48">
        <v>44721</v>
      </c>
      <c r="C303" s="47">
        <v>16.761896133422852</v>
      </c>
      <c r="D303">
        <v>5.9581999999999997</v>
      </c>
    </row>
    <row r="304" spans="2:4" x14ac:dyDescent="0.25">
      <c r="B304" s="48">
        <v>44722</v>
      </c>
      <c r="C304" s="47">
        <v>16.273601531982418</v>
      </c>
      <c r="D304">
        <v>8.7870000000000008</v>
      </c>
    </row>
    <row r="305" spans="2:4" x14ac:dyDescent="0.25">
      <c r="B305" s="48">
        <v>44725</v>
      </c>
      <c r="C305" s="47">
        <v>15.847451210021971</v>
      </c>
      <c r="D305">
        <v>9.5357000000000003</v>
      </c>
    </row>
    <row r="306" spans="2:4" x14ac:dyDescent="0.25">
      <c r="B306" s="48">
        <v>44726</v>
      </c>
      <c r="C306" s="47">
        <v>16.193698883056641</v>
      </c>
      <c r="D306">
        <v>11.5678</v>
      </c>
    </row>
    <row r="307" spans="2:4" x14ac:dyDescent="0.25">
      <c r="B307" s="48">
        <v>44727</v>
      </c>
      <c r="C307" s="47">
        <v>16.238088607788089</v>
      </c>
      <c r="D307">
        <v>16.537199999999999</v>
      </c>
    </row>
    <row r="308" spans="2:4" x14ac:dyDescent="0.25">
      <c r="B308" s="48">
        <v>44728</v>
      </c>
      <c r="C308" s="47">
        <v>15.68764495849609</v>
      </c>
      <c r="D308">
        <v>5.8103999999999996</v>
      </c>
    </row>
    <row r="309" spans="2:4" x14ac:dyDescent="0.25">
      <c r="B309" s="48">
        <v>44729</v>
      </c>
      <c r="C309" s="47">
        <v>15.76754760742188</v>
      </c>
      <c r="D309">
        <v>13.242000000000001</v>
      </c>
    </row>
    <row r="310" spans="2:4" x14ac:dyDescent="0.25">
      <c r="B310" s="48">
        <v>44733</v>
      </c>
      <c r="C310" s="47">
        <v>16.664236068725589</v>
      </c>
      <c r="D310">
        <v>14.786</v>
      </c>
    </row>
    <row r="311" spans="2:4" x14ac:dyDescent="0.25">
      <c r="B311" s="48">
        <v>44734</v>
      </c>
      <c r="C311" s="47">
        <v>16.26472282409668</v>
      </c>
      <c r="D311">
        <v>12.7159</v>
      </c>
    </row>
    <row r="312" spans="2:4" x14ac:dyDescent="0.25">
      <c r="B312" s="48">
        <v>44735</v>
      </c>
      <c r="C312" s="47">
        <v>16.37126350402832</v>
      </c>
      <c r="D312">
        <v>12.097799999999999</v>
      </c>
    </row>
    <row r="313" spans="2:4" x14ac:dyDescent="0.25">
      <c r="B313" s="48">
        <v>44736</v>
      </c>
      <c r="C313" s="47">
        <v>16.575456619262699</v>
      </c>
      <c r="D313">
        <v>6.5614999999999997</v>
      </c>
    </row>
    <row r="314" spans="2:4" x14ac:dyDescent="0.25">
      <c r="B314" s="48">
        <v>44739</v>
      </c>
      <c r="C314" s="47">
        <v>16.655363082885739</v>
      </c>
      <c r="D314">
        <v>8.1638000000000002</v>
      </c>
    </row>
    <row r="315" spans="2:4" x14ac:dyDescent="0.25">
      <c r="B315" s="48">
        <v>44740</v>
      </c>
      <c r="C315" s="47">
        <v>16.38901519775391</v>
      </c>
      <c r="D315">
        <v>5.1688000000000001</v>
      </c>
    </row>
    <row r="316" spans="2:4" x14ac:dyDescent="0.25">
      <c r="B316" s="48">
        <v>44741</v>
      </c>
      <c r="C316" s="47">
        <v>16.522190093994141</v>
      </c>
      <c r="D316">
        <v>5.1265999999999998</v>
      </c>
    </row>
    <row r="317" spans="2:4" x14ac:dyDescent="0.25">
      <c r="B317" s="48">
        <v>44742</v>
      </c>
      <c r="C317" s="47">
        <v>16.433406829833981</v>
      </c>
      <c r="D317">
        <v>10.3767</v>
      </c>
    </row>
    <row r="318" spans="2:4" x14ac:dyDescent="0.25">
      <c r="B318" s="48">
        <v>44743</v>
      </c>
      <c r="C318" s="47">
        <v>16.735263824462891</v>
      </c>
      <c r="D318">
        <v>9.0669000000000004</v>
      </c>
    </row>
    <row r="319" spans="2:4" x14ac:dyDescent="0.25">
      <c r="B319" s="48">
        <v>44747</v>
      </c>
      <c r="C319" s="47">
        <v>16.575456619262699</v>
      </c>
      <c r="D319">
        <v>10.2652</v>
      </c>
    </row>
    <row r="320" spans="2:4" x14ac:dyDescent="0.25">
      <c r="B320" s="48">
        <v>44748</v>
      </c>
      <c r="C320" s="47">
        <v>16.806289672851559</v>
      </c>
      <c r="D320">
        <v>8.8602000000000007</v>
      </c>
    </row>
    <row r="321" spans="2:4" x14ac:dyDescent="0.25">
      <c r="B321" s="48">
        <v>44749</v>
      </c>
      <c r="C321" s="47">
        <v>17.0104866027832</v>
      </c>
      <c r="D321">
        <v>9.6754999999999995</v>
      </c>
    </row>
    <row r="322" spans="2:4" x14ac:dyDescent="0.25">
      <c r="B322" s="48">
        <v>44750</v>
      </c>
      <c r="C322" s="47">
        <v>16.921701431274411</v>
      </c>
      <c r="D322">
        <v>15.835100000000001</v>
      </c>
    </row>
    <row r="323" spans="2:4" x14ac:dyDescent="0.25">
      <c r="B323" s="48">
        <v>44753</v>
      </c>
      <c r="C323" s="47">
        <v>16.38901519775391</v>
      </c>
      <c r="D323">
        <v>7.9088000000000003</v>
      </c>
    </row>
    <row r="324" spans="2:4" x14ac:dyDescent="0.25">
      <c r="B324" s="48">
        <v>44754</v>
      </c>
      <c r="C324" s="47">
        <v>16.167062759399411</v>
      </c>
      <c r="D324">
        <v>12.463200000000001</v>
      </c>
    </row>
    <row r="325" spans="2:4" x14ac:dyDescent="0.25">
      <c r="B325" s="48">
        <v>44755</v>
      </c>
      <c r="C325" s="47">
        <v>16.07828330993652</v>
      </c>
      <c r="D325">
        <v>8.6018000000000008</v>
      </c>
    </row>
    <row r="326" spans="2:4" x14ac:dyDescent="0.25">
      <c r="B326" s="48">
        <v>44756</v>
      </c>
      <c r="C326" s="47">
        <v>15.8918399810791</v>
      </c>
      <c r="D326">
        <v>6.7788000000000004</v>
      </c>
    </row>
    <row r="327" spans="2:4" x14ac:dyDescent="0.25">
      <c r="B327" s="48">
        <v>44757</v>
      </c>
      <c r="C327" s="47">
        <v>16.131551742553711</v>
      </c>
      <c r="D327">
        <v>4.8468999999999998</v>
      </c>
    </row>
    <row r="328" spans="2:4" x14ac:dyDescent="0.25">
      <c r="B328" s="48">
        <v>44760</v>
      </c>
      <c r="C328" s="47">
        <v>16.37126350402832</v>
      </c>
      <c r="D328">
        <v>7.4965000000000002</v>
      </c>
    </row>
    <row r="329" spans="2:4" x14ac:dyDescent="0.25">
      <c r="B329" s="48">
        <v>44761</v>
      </c>
      <c r="C329" s="47">
        <v>16.610967636108398</v>
      </c>
      <c r="D329">
        <v>5.0464000000000002</v>
      </c>
    </row>
    <row r="330" spans="2:4" x14ac:dyDescent="0.25">
      <c r="B330" s="48">
        <v>44762</v>
      </c>
      <c r="C330" s="47">
        <v>16.619846343994141</v>
      </c>
      <c r="D330">
        <v>13.4315</v>
      </c>
    </row>
    <row r="331" spans="2:4" x14ac:dyDescent="0.25">
      <c r="B331" s="48">
        <v>44763</v>
      </c>
      <c r="C331" s="47">
        <v>17.054874420166019</v>
      </c>
      <c r="D331">
        <v>15.563599999999999</v>
      </c>
    </row>
    <row r="332" spans="2:4" x14ac:dyDescent="0.25">
      <c r="B332" s="48">
        <v>44764</v>
      </c>
      <c r="C332" s="47">
        <v>16.761896133422852</v>
      </c>
      <c r="D332">
        <v>9.9352</v>
      </c>
    </row>
    <row r="333" spans="2:4" x14ac:dyDescent="0.25">
      <c r="B333" s="48">
        <v>44767</v>
      </c>
      <c r="C333" s="47">
        <v>16.47779655456543</v>
      </c>
      <c r="D333">
        <v>15.146699999999999</v>
      </c>
    </row>
    <row r="334" spans="2:4" x14ac:dyDescent="0.25">
      <c r="B334" s="48">
        <v>44768</v>
      </c>
      <c r="C334" s="47">
        <v>15.900717735290529</v>
      </c>
      <c r="D334">
        <v>13.0402</v>
      </c>
    </row>
    <row r="335" spans="2:4" x14ac:dyDescent="0.25">
      <c r="B335" s="48">
        <v>44769</v>
      </c>
      <c r="C335" s="47">
        <v>16.610967636108398</v>
      </c>
      <c r="D335">
        <v>9.7727000000000004</v>
      </c>
    </row>
    <row r="336" spans="2:4" x14ac:dyDescent="0.25">
      <c r="B336" s="48">
        <v>44770</v>
      </c>
      <c r="C336" s="47">
        <v>17.001605987548832</v>
      </c>
      <c r="D336">
        <v>9.6602999999999994</v>
      </c>
    </row>
    <row r="337" spans="2:4" x14ac:dyDescent="0.25">
      <c r="B337" s="48">
        <v>44771</v>
      </c>
      <c r="C337" s="47">
        <v>17.303464889526371</v>
      </c>
      <c r="D337">
        <v>7.2220000000000004</v>
      </c>
    </row>
    <row r="338" spans="2:4" x14ac:dyDescent="0.25">
      <c r="B338" s="48">
        <v>44774</v>
      </c>
      <c r="C338" s="47">
        <v>17.418880462646481</v>
      </c>
      <c r="D338">
        <v>8.4716000000000005</v>
      </c>
    </row>
    <row r="339" spans="2:4" x14ac:dyDescent="0.25">
      <c r="B339" s="48">
        <v>44775</v>
      </c>
      <c r="C339" s="47">
        <v>17.303464889526371</v>
      </c>
      <c r="D339">
        <v>6.6130000000000004</v>
      </c>
    </row>
    <row r="340" spans="2:4" x14ac:dyDescent="0.25">
      <c r="B340" s="48">
        <v>44776</v>
      </c>
      <c r="C340" s="47">
        <v>17.845029830932621</v>
      </c>
      <c r="D340">
        <v>7.3391000000000002</v>
      </c>
    </row>
    <row r="341" spans="2:4" x14ac:dyDescent="0.25">
      <c r="B341" s="48">
        <v>44777</v>
      </c>
      <c r="C341" s="47">
        <v>17.8894157409668</v>
      </c>
      <c r="D341">
        <v>8.4864999999999995</v>
      </c>
    </row>
    <row r="342" spans="2:4" x14ac:dyDescent="0.25">
      <c r="B342" s="48">
        <v>44778</v>
      </c>
      <c r="C342" s="47">
        <v>18.031467437744141</v>
      </c>
      <c r="D342">
        <v>5.79</v>
      </c>
    </row>
    <row r="343" spans="2:4" x14ac:dyDescent="0.25">
      <c r="B343" s="48">
        <v>44781</v>
      </c>
      <c r="C343" s="47">
        <v>17.995956420898441</v>
      </c>
      <c r="D343">
        <v>9.7225000000000001</v>
      </c>
    </row>
    <row r="344" spans="2:4" x14ac:dyDescent="0.25">
      <c r="B344" s="48">
        <v>44782</v>
      </c>
      <c r="C344" s="47">
        <v>17.91605377197266</v>
      </c>
      <c r="D344">
        <v>5.1401000000000003</v>
      </c>
    </row>
    <row r="345" spans="2:4" x14ac:dyDescent="0.25">
      <c r="B345" s="48">
        <v>44783</v>
      </c>
      <c r="C345" s="47">
        <v>18.093612670898441</v>
      </c>
      <c r="D345">
        <v>5.8281000000000001</v>
      </c>
    </row>
    <row r="346" spans="2:4" x14ac:dyDescent="0.25">
      <c r="B346" s="48">
        <v>44784</v>
      </c>
      <c r="C346" s="47">
        <v>17.8894157409668</v>
      </c>
      <c r="D346">
        <v>7.4469000000000003</v>
      </c>
    </row>
    <row r="347" spans="2:4" x14ac:dyDescent="0.25">
      <c r="B347" s="48">
        <v>44785</v>
      </c>
      <c r="C347" s="47">
        <v>17.85390663146973</v>
      </c>
      <c r="D347">
        <v>4.8428000000000004</v>
      </c>
    </row>
    <row r="348" spans="2:4" x14ac:dyDescent="0.25">
      <c r="B348" s="48">
        <v>44788</v>
      </c>
      <c r="C348" s="47">
        <v>17.85390663146973</v>
      </c>
      <c r="D348">
        <v>2.9874999999999998</v>
      </c>
    </row>
    <row r="349" spans="2:4" x14ac:dyDescent="0.25">
      <c r="B349" s="48">
        <v>44789</v>
      </c>
      <c r="C349" s="47">
        <v>17.8894157409668</v>
      </c>
      <c r="D349">
        <v>7.5132000000000003</v>
      </c>
    </row>
    <row r="350" spans="2:4" x14ac:dyDescent="0.25">
      <c r="B350" s="48">
        <v>44790</v>
      </c>
      <c r="C350" s="47">
        <v>17.836151123046879</v>
      </c>
      <c r="D350">
        <v>10.568899999999999</v>
      </c>
    </row>
    <row r="351" spans="2:4" x14ac:dyDescent="0.25">
      <c r="B351" s="48">
        <v>44791</v>
      </c>
      <c r="C351" s="47">
        <v>17.729612350463871</v>
      </c>
      <c r="D351">
        <v>5.3708999999999998</v>
      </c>
    </row>
    <row r="352" spans="2:4" x14ac:dyDescent="0.25">
      <c r="B352" s="48">
        <v>44792</v>
      </c>
      <c r="C352" s="47">
        <v>17.560932159423832</v>
      </c>
      <c r="D352">
        <v>2.8685</v>
      </c>
    </row>
    <row r="353" spans="2:4" x14ac:dyDescent="0.25">
      <c r="B353" s="48">
        <v>44795</v>
      </c>
      <c r="C353" s="47">
        <v>17.330099105834961</v>
      </c>
      <c r="D353">
        <v>9.2604000000000006</v>
      </c>
    </row>
    <row r="354" spans="2:4" x14ac:dyDescent="0.25">
      <c r="B354" s="48">
        <v>44796</v>
      </c>
      <c r="C354" s="47">
        <v>17.090387344360352</v>
      </c>
      <c r="D354">
        <v>6.6689999999999996</v>
      </c>
    </row>
    <row r="355" spans="2:4" x14ac:dyDescent="0.25">
      <c r="B355" s="48">
        <v>44797</v>
      </c>
      <c r="C355" s="47">
        <v>17.090387344360352</v>
      </c>
      <c r="D355">
        <v>5.5286999999999997</v>
      </c>
    </row>
    <row r="356" spans="2:4" x14ac:dyDescent="0.25">
      <c r="B356" s="48">
        <v>44798</v>
      </c>
      <c r="C356" s="47">
        <v>17.028240203857418</v>
      </c>
      <c r="D356">
        <v>3.8184999999999998</v>
      </c>
    </row>
    <row r="357" spans="2:4" x14ac:dyDescent="0.25">
      <c r="B357" s="48">
        <v>44799</v>
      </c>
      <c r="C357" s="47">
        <v>16.548820495605469</v>
      </c>
      <c r="D357">
        <v>5.7107999999999999</v>
      </c>
    </row>
    <row r="358" spans="2:4" x14ac:dyDescent="0.25">
      <c r="B358" s="48">
        <v>44802</v>
      </c>
      <c r="C358" s="47">
        <v>16.32686805725098</v>
      </c>
      <c r="D358">
        <v>5.5439999999999996</v>
      </c>
    </row>
    <row r="359" spans="2:4" x14ac:dyDescent="0.25">
      <c r="B359" s="48">
        <v>44803</v>
      </c>
      <c r="C359" s="47">
        <v>16.362380981445309</v>
      </c>
      <c r="D359">
        <v>6.2675000000000001</v>
      </c>
    </row>
    <row r="360" spans="2:4" x14ac:dyDescent="0.25">
      <c r="B360" s="48">
        <v>44804</v>
      </c>
      <c r="C360" s="47">
        <v>16.246963500976559</v>
      </c>
      <c r="D360">
        <v>7.4195000000000002</v>
      </c>
    </row>
    <row r="361" spans="2:4" x14ac:dyDescent="0.25">
      <c r="B361" s="48">
        <v>44805</v>
      </c>
      <c r="C361" s="47">
        <v>16.353506088256839</v>
      </c>
      <c r="D361">
        <v>4.4802999999999997</v>
      </c>
    </row>
    <row r="362" spans="2:4" x14ac:dyDescent="0.25">
      <c r="B362" s="48">
        <v>44806</v>
      </c>
      <c r="C362" s="47">
        <v>16.060525894165039</v>
      </c>
      <c r="D362">
        <v>5.2488000000000001</v>
      </c>
    </row>
    <row r="363" spans="2:4" x14ac:dyDescent="0.25">
      <c r="B363" s="48">
        <v>44810</v>
      </c>
      <c r="C363" s="47">
        <v>15.96286678314209</v>
      </c>
      <c r="D363">
        <v>7.1586999999999996</v>
      </c>
    </row>
    <row r="364" spans="2:4" x14ac:dyDescent="0.25">
      <c r="B364" s="48">
        <v>44811</v>
      </c>
      <c r="C364" s="47">
        <v>16.362380981445309</v>
      </c>
      <c r="D364">
        <v>4.7693000000000003</v>
      </c>
    </row>
    <row r="365" spans="2:4" x14ac:dyDescent="0.25">
      <c r="B365" s="48">
        <v>44812</v>
      </c>
      <c r="C365" s="47">
        <v>16.451164245605469</v>
      </c>
      <c r="D365">
        <v>3.9369000000000001</v>
      </c>
    </row>
    <row r="366" spans="2:4" x14ac:dyDescent="0.25">
      <c r="B366" s="48">
        <v>44813</v>
      </c>
      <c r="C366" s="47">
        <v>16.921701431274411</v>
      </c>
      <c r="D366">
        <v>5.5136000000000003</v>
      </c>
    </row>
    <row r="367" spans="2:4" x14ac:dyDescent="0.25">
      <c r="B367" s="48">
        <v>44816</v>
      </c>
      <c r="C367" s="47">
        <v>17.081508636474609</v>
      </c>
      <c r="D367">
        <v>3.6074000000000002</v>
      </c>
    </row>
    <row r="368" spans="2:4" x14ac:dyDescent="0.25">
      <c r="B368" s="48">
        <v>44817</v>
      </c>
      <c r="C368" s="47">
        <v>16.47779655456543</v>
      </c>
      <c r="D368">
        <v>15.2278</v>
      </c>
    </row>
    <row r="369" spans="2:4" x14ac:dyDescent="0.25">
      <c r="B369" s="48">
        <v>44818</v>
      </c>
      <c r="C369" s="47">
        <v>16.0516471862793</v>
      </c>
      <c r="D369">
        <v>16.757300000000001</v>
      </c>
    </row>
    <row r="370" spans="2:4" x14ac:dyDescent="0.25">
      <c r="B370" s="48">
        <v>44819</v>
      </c>
      <c r="C370" s="47">
        <v>15.794180870056151</v>
      </c>
      <c r="D370">
        <v>21.950099999999999</v>
      </c>
    </row>
    <row r="371" spans="2:4" x14ac:dyDescent="0.25">
      <c r="B371" s="48">
        <v>44820</v>
      </c>
      <c r="C371" s="47">
        <v>15.430178642272949</v>
      </c>
      <c r="D371">
        <v>42.686599999999999</v>
      </c>
    </row>
    <row r="372" spans="2:4" x14ac:dyDescent="0.25">
      <c r="B372" s="48">
        <v>44823</v>
      </c>
      <c r="C372" s="47">
        <v>15.456812858581539</v>
      </c>
      <c r="D372">
        <v>15.2193</v>
      </c>
    </row>
    <row r="373" spans="2:4" x14ac:dyDescent="0.25">
      <c r="B373" s="48">
        <v>44824</v>
      </c>
      <c r="C373" s="47">
        <v>15.11056518554688</v>
      </c>
      <c r="D373">
        <v>18.6343</v>
      </c>
    </row>
    <row r="374" spans="2:4" x14ac:dyDescent="0.25">
      <c r="B374" s="48">
        <v>44825</v>
      </c>
      <c r="C374" s="47">
        <v>15.11056518554688</v>
      </c>
      <c r="D374">
        <v>10.736000000000001</v>
      </c>
    </row>
    <row r="375" spans="2:4" x14ac:dyDescent="0.25">
      <c r="B375" s="48">
        <v>44826</v>
      </c>
      <c r="C375" s="47">
        <v>14.8087100982666</v>
      </c>
      <c r="D375">
        <v>17.899000000000001</v>
      </c>
    </row>
    <row r="376" spans="2:4" x14ac:dyDescent="0.25">
      <c r="B376" s="48">
        <v>44827</v>
      </c>
      <c r="C376" s="47">
        <v>14.746564865112299</v>
      </c>
      <c r="D376">
        <v>18.057099999999998</v>
      </c>
    </row>
    <row r="377" spans="2:4" x14ac:dyDescent="0.25">
      <c r="B377" s="48">
        <v>44830</v>
      </c>
      <c r="C377" s="47">
        <v>14.81758880615234</v>
      </c>
      <c r="D377">
        <v>10.3315</v>
      </c>
    </row>
    <row r="378" spans="2:4" x14ac:dyDescent="0.25">
      <c r="B378" s="48">
        <v>44831</v>
      </c>
      <c r="C378" s="47">
        <v>14.90637111663818</v>
      </c>
      <c r="D378">
        <v>12.443099999999999</v>
      </c>
    </row>
    <row r="379" spans="2:4" x14ac:dyDescent="0.25">
      <c r="B379" s="48">
        <v>44832</v>
      </c>
      <c r="C379" s="47">
        <v>15.190469741821291</v>
      </c>
      <c r="D379">
        <v>8.7918000000000003</v>
      </c>
    </row>
    <row r="380" spans="2:4" x14ac:dyDescent="0.25">
      <c r="B380" s="48">
        <v>44833</v>
      </c>
      <c r="C380" s="47">
        <v>15.0040283203125</v>
      </c>
      <c r="D380">
        <v>6.0377999999999998</v>
      </c>
    </row>
    <row r="381" spans="2:4" x14ac:dyDescent="0.25">
      <c r="B381" s="48">
        <v>44834</v>
      </c>
      <c r="C381" s="47">
        <v>15.06617546081543</v>
      </c>
      <c r="D381">
        <v>6.2458</v>
      </c>
    </row>
    <row r="382" spans="2:4" x14ac:dyDescent="0.25">
      <c r="B382" s="48">
        <v>44837</v>
      </c>
      <c r="C382" s="47">
        <v>15.137199401855471</v>
      </c>
      <c r="D382">
        <v>9.7030999999999992</v>
      </c>
    </row>
    <row r="383" spans="2:4" x14ac:dyDescent="0.25">
      <c r="B383" s="48">
        <v>44838</v>
      </c>
      <c r="C383" s="47">
        <v>15.714277267456049</v>
      </c>
      <c r="D383">
        <v>8.6488999999999994</v>
      </c>
    </row>
    <row r="384" spans="2:4" x14ac:dyDescent="0.25">
      <c r="B384" s="48">
        <v>44839</v>
      </c>
      <c r="C384" s="47">
        <v>15.66100978851318</v>
      </c>
      <c r="D384">
        <v>6.0909000000000004</v>
      </c>
    </row>
    <row r="385" spans="2:4" x14ac:dyDescent="0.25">
      <c r="B385" s="48">
        <v>44840</v>
      </c>
      <c r="C385" s="47">
        <v>15.51895904541016</v>
      </c>
      <c r="D385">
        <v>10.827299999999999</v>
      </c>
    </row>
    <row r="386" spans="2:4" x14ac:dyDescent="0.25">
      <c r="B386" s="48">
        <v>44841</v>
      </c>
      <c r="C386" s="47">
        <v>15.146078109741209</v>
      </c>
      <c r="D386">
        <v>14.041700000000001</v>
      </c>
    </row>
    <row r="387" spans="2:4" x14ac:dyDescent="0.25">
      <c r="B387" s="48">
        <v>44844</v>
      </c>
      <c r="C387" s="47">
        <v>15.58998394012451</v>
      </c>
      <c r="D387">
        <v>23.349599999999999</v>
      </c>
    </row>
    <row r="388" spans="2:4" x14ac:dyDescent="0.25">
      <c r="B388" s="48">
        <v>44845</v>
      </c>
      <c r="C388" s="47">
        <v>15.208226203918461</v>
      </c>
      <c r="D388">
        <v>12.839499999999999</v>
      </c>
    </row>
    <row r="389" spans="2:4" x14ac:dyDescent="0.25">
      <c r="B389" s="48">
        <v>44846</v>
      </c>
      <c r="C389" s="47">
        <v>15.18159294128418</v>
      </c>
      <c r="D389">
        <v>11.6427</v>
      </c>
    </row>
    <row r="390" spans="2:4" x14ac:dyDescent="0.25">
      <c r="B390" s="48">
        <v>44847</v>
      </c>
      <c r="C390" s="47">
        <v>16.02501106262207</v>
      </c>
      <c r="D390">
        <v>16.4785</v>
      </c>
    </row>
    <row r="391" spans="2:4" x14ac:dyDescent="0.25">
      <c r="B391" s="48">
        <v>44848</v>
      </c>
      <c r="C391" s="47">
        <v>15.81194019317627</v>
      </c>
      <c r="D391">
        <v>13.6074</v>
      </c>
    </row>
    <row r="392" spans="2:4" x14ac:dyDescent="0.25">
      <c r="B392" s="48">
        <v>44851</v>
      </c>
      <c r="C392" s="47">
        <v>16.1226692199707</v>
      </c>
      <c r="D392">
        <v>9.8008000000000006</v>
      </c>
    </row>
    <row r="393" spans="2:4" x14ac:dyDescent="0.25">
      <c r="B393" s="48">
        <v>44852</v>
      </c>
      <c r="C393" s="47">
        <v>16.042766571044918</v>
      </c>
      <c r="D393">
        <v>7.6300999999999997</v>
      </c>
    </row>
    <row r="394" spans="2:4" x14ac:dyDescent="0.25">
      <c r="B394" s="48">
        <v>44853</v>
      </c>
      <c r="C394" s="47">
        <v>15.82969284057617</v>
      </c>
      <c r="D394">
        <v>6.2839999999999998</v>
      </c>
    </row>
    <row r="395" spans="2:4" x14ac:dyDescent="0.25">
      <c r="B395" s="48">
        <v>44854</v>
      </c>
      <c r="C395" s="47">
        <v>15.882962226867679</v>
      </c>
      <c r="D395">
        <v>8.6745999999999999</v>
      </c>
    </row>
    <row r="396" spans="2:4" x14ac:dyDescent="0.25">
      <c r="B396" s="48">
        <v>44855</v>
      </c>
      <c r="C396" s="47">
        <v>16.246963500976559</v>
      </c>
      <c r="D396">
        <v>7.3933</v>
      </c>
    </row>
    <row r="397" spans="2:4" x14ac:dyDescent="0.25">
      <c r="B397" s="48">
        <v>44858</v>
      </c>
      <c r="C397" s="47">
        <v>16.37126350402832</v>
      </c>
      <c r="D397">
        <v>9.5952000000000002</v>
      </c>
    </row>
    <row r="398" spans="2:4" x14ac:dyDescent="0.25">
      <c r="B398" s="48">
        <v>44859</v>
      </c>
      <c r="C398" s="47">
        <v>16.53106689453125</v>
      </c>
      <c r="D398">
        <v>5.7012</v>
      </c>
    </row>
    <row r="399" spans="2:4" x14ac:dyDescent="0.25">
      <c r="B399" s="48">
        <v>44860</v>
      </c>
      <c r="C399" s="47">
        <v>16.584335327148441</v>
      </c>
      <c r="D399">
        <v>7.5549999999999997</v>
      </c>
    </row>
    <row r="400" spans="2:4" x14ac:dyDescent="0.25">
      <c r="B400" s="48">
        <v>44861</v>
      </c>
      <c r="C400" s="47">
        <v>16.612155914306641</v>
      </c>
      <c r="D400">
        <v>7.5970000000000004</v>
      </c>
    </row>
    <row r="401" spans="2:4" x14ac:dyDescent="0.25">
      <c r="B401" s="48">
        <v>44862</v>
      </c>
      <c r="C401" s="47">
        <v>16.863447189331051</v>
      </c>
      <c r="D401">
        <v>8.6980000000000004</v>
      </c>
    </row>
    <row r="402" spans="2:4" x14ac:dyDescent="0.25">
      <c r="B402" s="48">
        <v>44865</v>
      </c>
      <c r="C402" s="47">
        <v>16.809598922729489</v>
      </c>
      <c r="D402">
        <v>8.5854999999999997</v>
      </c>
    </row>
    <row r="403" spans="2:4" x14ac:dyDescent="0.25">
      <c r="B403" s="48">
        <v>44866</v>
      </c>
      <c r="C403" s="47">
        <v>16.97114181518555</v>
      </c>
      <c r="D403">
        <v>5.4747000000000003</v>
      </c>
    </row>
    <row r="404" spans="2:4" x14ac:dyDescent="0.25">
      <c r="B404" s="48">
        <v>44867</v>
      </c>
      <c r="C404" s="47">
        <v>16.522407531738281</v>
      </c>
      <c r="D404">
        <v>6.3705999999999996</v>
      </c>
    </row>
    <row r="405" spans="2:4" x14ac:dyDescent="0.25">
      <c r="B405" s="48">
        <v>44868</v>
      </c>
      <c r="C405" s="47">
        <v>16.324966430664059</v>
      </c>
      <c r="D405">
        <v>11.3287</v>
      </c>
    </row>
    <row r="406" spans="2:4" x14ac:dyDescent="0.25">
      <c r="B406" s="48">
        <v>44869</v>
      </c>
      <c r="C406" s="47">
        <v>16.45061111450195</v>
      </c>
      <c r="D406">
        <v>10.899800000000001</v>
      </c>
    </row>
    <row r="407" spans="2:4" x14ac:dyDescent="0.25">
      <c r="B407" s="48">
        <v>44872</v>
      </c>
      <c r="C407" s="47">
        <v>16.67497634887695</v>
      </c>
      <c r="D407">
        <v>6.2804000000000002</v>
      </c>
    </row>
    <row r="408" spans="2:4" x14ac:dyDescent="0.25">
      <c r="B408" s="48">
        <v>44873</v>
      </c>
      <c r="C408" s="47">
        <v>16.818572998046879</v>
      </c>
      <c r="D408">
        <v>6.1875999999999998</v>
      </c>
    </row>
    <row r="409" spans="2:4" x14ac:dyDescent="0.25">
      <c r="B409" s="48">
        <v>44874</v>
      </c>
      <c r="C409" s="47">
        <v>16.585233688354489</v>
      </c>
      <c r="D409">
        <v>10.196199999999999</v>
      </c>
    </row>
    <row r="410" spans="2:4" x14ac:dyDescent="0.25">
      <c r="B410" s="48">
        <v>44875</v>
      </c>
      <c r="C410" s="47">
        <v>17.231410980224609</v>
      </c>
      <c r="D410">
        <v>9.2827999999999999</v>
      </c>
    </row>
    <row r="411" spans="2:4" x14ac:dyDescent="0.25">
      <c r="B411" s="48">
        <v>44876</v>
      </c>
      <c r="C411" s="47">
        <v>17.725019454956051</v>
      </c>
      <c r="D411">
        <v>6.2499000000000002</v>
      </c>
    </row>
    <row r="412" spans="2:4" x14ac:dyDescent="0.25">
      <c r="B412" s="48">
        <v>44879</v>
      </c>
      <c r="C412" s="47">
        <v>17.545524597167969</v>
      </c>
      <c r="D412">
        <v>5.6703000000000001</v>
      </c>
    </row>
    <row r="413" spans="2:4" x14ac:dyDescent="0.25">
      <c r="B413" s="48">
        <v>44880</v>
      </c>
      <c r="C413" s="47">
        <v>17.733993530273441</v>
      </c>
      <c r="D413">
        <v>5.1364000000000001</v>
      </c>
    </row>
    <row r="414" spans="2:4" x14ac:dyDescent="0.25">
      <c r="B414" s="48">
        <v>44881</v>
      </c>
      <c r="C414" s="47">
        <v>17.671169281005859</v>
      </c>
      <c r="D414">
        <v>4.7408000000000001</v>
      </c>
    </row>
    <row r="415" spans="2:4" x14ac:dyDescent="0.25">
      <c r="B415" s="48">
        <v>44882</v>
      </c>
      <c r="C415" s="47">
        <v>17.48270225524902</v>
      </c>
      <c r="D415">
        <v>4.1154999999999999</v>
      </c>
    </row>
    <row r="416" spans="2:4" x14ac:dyDescent="0.25">
      <c r="B416" s="48">
        <v>44883</v>
      </c>
      <c r="C416" s="47">
        <v>17.473726272583011</v>
      </c>
      <c r="D416">
        <v>2.7443</v>
      </c>
    </row>
    <row r="417" spans="2:4" x14ac:dyDescent="0.25">
      <c r="B417" s="48">
        <v>44886</v>
      </c>
      <c r="C417" s="47">
        <v>17.321157455444339</v>
      </c>
      <c r="D417">
        <v>7.4302999999999999</v>
      </c>
    </row>
    <row r="418" spans="2:4" x14ac:dyDescent="0.25">
      <c r="B418" s="48">
        <v>44887</v>
      </c>
      <c r="C418" s="47">
        <v>17.383977890014648</v>
      </c>
      <c r="D418">
        <v>4.6054000000000004</v>
      </c>
    </row>
    <row r="419" spans="2:4" x14ac:dyDescent="0.25">
      <c r="B419" s="48">
        <v>44888</v>
      </c>
      <c r="C419" s="47">
        <v>17.5275764465332</v>
      </c>
      <c r="D419">
        <v>3.3281000000000001</v>
      </c>
    </row>
    <row r="420" spans="2:4" x14ac:dyDescent="0.25">
      <c r="B420" s="48">
        <v>44890</v>
      </c>
      <c r="C420" s="47">
        <v>17.87758827209473</v>
      </c>
      <c r="D420">
        <v>3.1610999999999998</v>
      </c>
    </row>
    <row r="421" spans="2:4" x14ac:dyDescent="0.25">
      <c r="B421" s="48">
        <v>44893</v>
      </c>
      <c r="C421" s="47">
        <v>17.6173210144043</v>
      </c>
      <c r="D421">
        <v>4.0431999999999997</v>
      </c>
    </row>
    <row r="422" spans="2:4" x14ac:dyDescent="0.25">
      <c r="B422" s="48">
        <v>44894</v>
      </c>
      <c r="C422" s="47">
        <v>17.689119338989261</v>
      </c>
      <c r="D422">
        <v>5.5164999999999997</v>
      </c>
    </row>
    <row r="423" spans="2:4" x14ac:dyDescent="0.25">
      <c r="B423" s="48">
        <v>44895</v>
      </c>
      <c r="C423" s="47">
        <v>18.26350021362305</v>
      </c>
      <c r="D423">
        <v>6.9946000000000002</v>
      </c>
    </row>
    <row r="424" spans="2:4" x14ac:dyDescent="0.25">
      <c r="B424" s="48">
        <v>44896</v>
      </c>
      <c r="C424" s="47">
        <v>18.407096862792969</v>
      </c>
      <c r="D424">
        <v>5.5868000000000002</v>
      </c>
    </row>
    <row r="425" spans="2:4" x14ac:dyDescent="0.25">
      <c r="B425" s="48">
        <v>44897</v>
      </c>
      <c r="C425" s="47">
        <v>18.119905471801761</v>
      </c>
      <c r="D425">
        <v>5.6745999999999999</v>
      </c>
    </row>
    <row r="426" spans="2:4" x14ac:dyDescent="0.25">
      <c r="B426" s="48">
        <v>44900</v>
      </c>
      <c r="C426" s="47">
        <v>17.725019454956051</v>
      </c>
      <c r="D426">
        <v>7.65</v>
      </c>
    </row>
    <row r="427" spans="2:4" x14ac:dyDescent="0.25">
      <c r="B427" s="48">
        <v>44901</v>
      </c>
      <c r="C427" s="47">
        <v>17.419878005981449</v>
      </c>
      <c r="D427">
        <v>11.673400000000001</v>
      </c>
    </row>
    <row r="428" spans="2:4" x14ac:dyDescent="0.25">
      <c r="B428" s="48">
        <v>44902</v>
      </c>
      <c r="C428" s="47">
        <v>17.40192985534668</v>
      </c>
      <c r="D428">
        <v>8.0874000000000006</v>
      </c>
    </row>
    <row r="429" spans="2:4" x14ac:dyDescent="0.25">
      <c r="B429" s="48">
        <v>44903</v>
      </c>
      <c r="C429" s="47">
        <v>17.572446823120121</v>
      </c>
      <c r="D429">
        <v>6.8719999999999999</v>
      </c>
    </row>
    <row r="430" spans="2:4" x14ac:dyDescent="0.25">
      <c r="B430" s="48">
        <v>44904</v>
      </c>
      <c r="C430" s="47">
        <v>16.594205856323239</v>
      </c>
      <c r="D430">
        <v>12.5107</v>
      </c>
    </row>
    <row r="431" spans="2:4" x14ac:dyDescent="0.25">
      <c r="B431" s="48">
        <v>44907</v>
      </c>
      <c r="C431" s="47">
        <v>16.522407531738281</v>
      </c>
      <c r="D431">
        <v>6.7409999999999997</v>
      </c>
    </row>
    <row r="432" spans="2:4" x14ac:dyDescent="0.25">
      <c r="B432" s="48">
        <v>44908</v>
      </c>
      <c r="C432" s="47">
        <v>16.809598922729489</v>
      </c>
      <c r="D432">
        <v>13.1846</v>
      </c>
    </row>
    <row r="433" spans="2:4" x14ac:dyDescent="0.25">
      <c r="B433" s="48">
        <v>44909</v>
      </c>
      <c r="C433" s="47">
        <v>16.80062294006348</v>
      </c>
      <c r="D433">
        <v>7.7217000000000002</v>
      </c>
    </row>
    <row r="434" spans="2:4" x14ac:dyDescent="0.25">
      <c r="B434" s="48">
        <v>44910</v>
      </c>
      <c r="C434" s="47">
        <v>16.3070182800293</v>
      </c>
      <c r="D434">
        <v>6.5686</v>
      </c>
    </row>
    <row r="435" spans="2:4" x14ac:dyDescent="0.25">
      <c r="B435" s="48">
        <v>44911</v>
      </c>
      <c r="C435" s="47">
        <v>15.912129402160639</v>
      </c>
      <c r="D435">
        <v>15.3683</v>
      </c>
    </row>
    <row r="436" spans="2:4" x14ac:dyDescent="0.25">
      <c r="B436" s="48">
        <v>44914</v>
      </c>
      <c r="C436" s="47">
        <v>16.046751022338871</v>
      </c>
      <c r="D436">
        <v>10.7659</v>
      </c>
    </row>
    <row r="437" spans="2:4" x14ac:dyDescent="0.25">
      <c r="B437" s="48">
        <v>44915</v>
      </c>
      <c r="C437" s="47">
        <v>16.208293914794918</v>
      </c>
      <c r="D437">
        <v>6.4839000000000002</v>
      </c>
    </row>
    <row r="438" spans="2:4" x14ac:dyDescent="0.25">
      <c r="B438" s="48">
        <v>44916</v>
      </c>
      <c r="C438" s="47">
        <v>16.351886749267582</v>
      </c>
      <c r="D438">
        <v>4.2282000000000002</v>
      </c>
    </row>
    <row r="439" spans="2:4" x14ac:dyDescent="0.25">
      <c r="B439" s="48">
        <v>44917</v>
      </c>
      <c r="C439" s="47">
        <v>16.09162521362305</v>
      </c>
      <c r="D439">
        <v>7.9109999999999996</v>
      </c>
    </row>
    <row r="440" spans="2:4" x14ac:dyDescent="0.25">
      <c r="B440" s="48">
        <v>44918</v>
      </c>
      <c r="C440" s="47">
        <v>16.082651138305661</v>
      </c>
      <c r="D440">
        <v>3.6850999999999998</v>
      </c>
    </row>
    <row r="441" spans="2:4" x14ac:dyDescent="0.25">
      <c r="B441" s="48">
        <v>44922</v>
      </c>
      <c r="C441" s="47">
        <v>16.18137168884277</v>
      </c>
      <c r="D441">
        <v>4.9432</v>
      </c>
    </row>
    <row r="442" spans="2:4" x14ac:dyDescent="0.25">
      <c r="B442" s="48">
        <v>44923</v>
      </c>
      <c r="C442" s="47">
        <v>16.118549346923832</v>
      </c>
      <c r="D442">
        <v>5.8720999999999997</v>
      </c>
    </row>
    <row r="443" spans="2:4" x14ac:dyDescent="0.25">
      <c r="B443" s="48">
        <v>44924</v>
      </c>
      <c r="C443" s="47">
        <v>16.369840621948239</v>
      </c>
      <c r="D443">
        <v>4.9715999999999996</v>
      </c>
    </row>
    <row r="444" spans="2:4" x14ac:dyDescent="0.25">
      <c r="B444" s="48">
        <v>44925</v>
      </c>
      <c r="C444" s="47">
        <v>16.163421630859379</v>
      </c>
      <c r="D444">
        <v>4.4683000000000002</v>
      </c>
    </row>
    <row r="445" spans="2:4" x14ac:dyDescent="0.25">
      <c r="B445" s="48">
        <v>44929</v>
      </c>
      <c r="C445" s="47">
        <v>16.36086463928223</v>
      </c>
      <c r="D445">
        <v>11.041399999999999</v>
      </c>
    </row>
    <row r="446" spans="2:4" x14ac:dyDescent="0.25">
      <c r="B446" s="48">
        <v>44930</v>
      </c>
      <c r="C446" s="47">
        <v>16.244194030761719</v>
      </c>
      <c r="D446">
        <v>10.4404</v>
      </c>
    </row>
    <row r="447" spans="2:4" x14ac:dyDescent="0.25">
      <c r="B447" s="48">
        <v>44931</v>
      </c>
      <c r="C447" s="47">
        <v>15.867258071899411</v>
      </c>
      <c r="D447">
        <v>6.4203000000000001</v>
      </c>
    </row>
    <row r="448" spans="2:4" x14ac:dyDescent="0.25">
      <c r="B448" s="48">
        <v>44932</v>
      </c>
      <c r="C448" s="47">
        <v>15.98392868041992</v>
      </c>
      <c r="D448">
        <v>8.9155999999999995</v>
      </c>
    </row>
    <row r="449" spans="2:4" x14ac:dyDescent="0.25">
      <c r="B449" s="48">
        <v>44935</v>
      </c>
      <c r="C449" s="47">
        <v>16.154447555541989</v>
      </c>
      <c r="D449">
        <v>10.7781</v>
      </c>
    </row>
    <row r="450" spans="2:4" x14ac:dyDescent="0.25">
      <c r="B450" s="48">
        <v>44936</v>
      </c>
      <c r="C450" s="47">
        <v>16.00187873840332</v>
      </c>
      <c r="D450">
        <v>9.5175999999999998</v>
      </c>
    </row>
    <row r="451" spans="2:4" x14ac:dyDescent="0.25">
      <c r="B451" s="48">
        <v>44937</v>
      </c>
      <c r="C451" s="47">
        <v>16.262144088745121</v>
      </c>
      <c r="D451">
        <v>9.0321999999999996</v>
      </c>
    </row>
    <row r="452" spans="2:4" x14ac:dyDescent="0.25">
      <c r="B452" s="48">
        <v>44938</v>
      </c>
      <c r="C452" s="47">
        <v>16.513431549072269</v>
      </c>
      <c r="D452">
        <v>10.8536</v>
      </c>
    </row>
    <row r="453" spans="2:4" x14ac:dyDescent="0.25">
      <c r="B453" s="48">
        <v>44939</v>
      </c>
      <c r="C453" s="47">
        <v>16.62113189697266</v>
      </c>
      <c r="D453">
        <v>10.3887</v>
      </c>
    </row>
    <row r="454" spans="2:4" x14ac:dyDescent="0.25">
      <c r="B454" s="48">
        <v>44943</v>
      </c>
      <c r="C454" s="47">
        <v>16.75575065612793</v>
      </c>
      <c r="D454">
        <v>7.3441000000000001</v>
      </c>
    </row>
    <row r="455" spans="2:4" x14ac:dyDescent="0.25">
      <c r="B455" s="48">
        <v>44944</v>
      </c>
      <c r="C455" s="47">
        <v>16.82755088806152</v>
      </c>
      <c r="D455">
        <v>6.3383000000000003</v>
      </c>
    </row>
    <row r="456" spans="2:4" x14ac:dyDescent="0.25">
      <c r="B456" s="48">
        <v>44945</v>
      </c>
      <c r="C456" s="47">
        <v>16.88139533996582</v>
      </c>
      <c r="D456">
        <v>4.5945999999999998</v>
      </c>
    </row>
    <row r="457" spans="2:4" x14ac:dyDescent="0.25">
      <c r="B457" s="48">
        <v>44946</v>
      </c>
      <c r="C457" s="47">
        <v>16.854475021362301</v>
      </c>
      <c r="D457">
        <v>6.1261999999999999</v>
      </c>
    </row>
    <row r="458" spans="2:4" x14ac:dyDescent="0.25">
      <c r="B458" s="48">
        <v>44949</v>
      </c>
      <c r="C458" s="47">
        <v>17.09678840637207</v>
      </c>
      <c r="D458">
        <v>4.3190999999999997</v>
      </c>
    </row>
    <row r="459" spans="2:4" x14ac:dyDescent="0.25">
      <c r="B459" s="48">
        <v>44950</v>
      </c>
      <c r="C459" s="47">
        <v>16.9621696472168</v>
      </c>
      <c r="D459">
        <v>7.0457999999999998</v>
      </c>
    </row>
    <row r="460" spans="2:4" x14ac:dyDescent="0.25">
      <c r="B460" s="48">
        <v>44951</v>
      </c>
      <c r="C460" s="47">
        <v>16.71087646484375</v>
      </c>
      <c r="D460">
        <v>8.2454000000000001</v>
      </c>
    </row>
    <row r="461" spans="2:4" x14ac:dyDescent="0.25">
      <c r="B461" s="48">
        <v>44952</v>
      </c>
      <c r="C461" s="47">
        <v>16.998067855834961</v>
      </c>
      <c r="D461">
        <v>6.2454999999999998</v>
      </c>
    </row>
    <row r="462" spans="2:4" x14ac:dyDescent="0.25">
      <c r="B462" s="48">
        <v>44953</v>
      </c>
      <c r="C462" s="47">
        <v>16.74677658081055</v>
      </c>
      <c r="D462">
        <v>5.4111000000000002</v>
      </c>
    </row>
    <row r="463" spans="2:4" x14ac:dyDescent="0.25">
      <c r="B463" s="48">
        <v>44956</v>
      </c>
      <c r="C463" s="47">
        <v>16.773700714111332</v>
      </c>
      <c r="D463">
        <v>8.8483000000000001</v>
      </c>
    </row>
    <row r="464" spans="2:4" x14ac:dyDescent="0.25">
      <c r="B464" s="48">
        <v>44957</v>
      </c>
      <c r="C464" s="47">
        <v>16.872421264648441</v>
      </c>
      <c r="D464">
        <v>7.9831000000000003</v>
      </c>
    </row>
    <row r="465" spans="2:4" x14ac:dyDescent="0.25">
      <c r="B465" s="48">
        <v>44958</v>
      </c>
      <c r="C465" s="47">
        <v>17.069866180419918</v>
      </c>
      <c r="D465">
        <v>7.8456999999999999</v>
      </c>
    </row>
    <row r="466" spans="2:4" x14ac:dyDescent="0.25">
      <c r="B466" s="48">
        <v>44959</v>
      </c>
      <c r="C466" s="47">
        <v>17.509628295898441</v>
      </c>
      <c r="D466">
        <v>10.4169</v>
      </c>
    </row>
    <row r="467" spans="2:4" x14ac:dyDescent="0.25">
      <c r="B467" s="48">
        <v>44960</v>
      </c>
      <c r="C467" s="47">
        <v>17.30320930480957</v>
      </c>
      <c r="D467">
        <v>5.4821999999999997</v>
      </c>
    </row>
    <row r="468" spans="2:4" x14ac:dyDescent="0.25">
      <c r="B468" s="48">
        <v>44963</v>
      </c>
      <c r="C468" s="47">
        <v>16.8903694152832</v>
      </c>
      <c r="D468">
        <v>7.774</v>
      </c>
    </row>
    <row r="469" spans="2:4" x14ac:dyDescent="0.25">
      <c r="B469" s="48">
        <v>44964</v>
      </c>
      <c r="C469" s="47">
        <v>17.078842163085941</v>
      </c>
      <c r="D469">
        <v>6.5906000000000002</v>
      </c>
    </row>
    <row r="470" spans="2:4" x14ac:dyDescent="0.25">
      <c r="B470" s="48">
        <v>44965</v>
      </c>
      <c r="C470" s="47">
        <v>17.19550895690918</v>
      </c>
      <c r="D470">
        <v>5.7373000000000003</v>
      </c>
    </row>
    <row r="471" spans="2:4" x14ac:dyDescent="0.25">
      <c r="B471" s="48">
        <v>44966</v>
      </c>
      <c r="C471" s="47">
        <v>17.357053756713871</v>
      </c>
      <c r="D471">
        <v>4.7251000000000003</v>
      </c>
    </row>
    <row r="472" spans="2:4" x14ac:dyDescent="0.25">
      <c r="B472" s="48">
        <v>44967</v>
      </c>
      <c r="C472" s="47">
        <v>17.19550895690918</v>
      </c>
      <c r="D472">
        <v>11.7394</v>
      </c>
    </row>
    <row r="473" spans="2:4" x14ac:dyDescent="0.25">
      <c r="B473" s="48">
        <v>44970</v>
      </c>
      <c r="C473" s="47">
        <v>17.069866180419918</v>
      </c>
      <c r="D473">
        <v>5.61</v>
      </c>
    </row>
    <row r="474" spans="2:4" x14ac:dyDescent="0.25">
      <c r="B474" s="48">
        <v>44971</v>
      </c>
      <c r="C474" s="47">
        <v>17.159612655639648</v>
      </c>
      <c r="D474">
        <v>6.2255000000000003</v>
      </c>
    </row>
    <row r="475" spans="2:4" x14ac:dyDescent="0.25">
      <c r="B475" s="48">
        <v>44972</v>
      </c>
      <c r="C475" s="47">
        <v>17.258333206176761</v>
      </c>
      <c r="D475">
        <v>8.5927000000000007</v>
      </c>
    </row>
    <row r="476" spans="2:4" x14ac:dyDescent="0.25">
      <c r="B476" s="48">
        <v>44973</v>
      </c>
      <c r="C476" s="47">
        <v>17.159612655639648</v>
      </c>
      <c r="D476">
        <v>6.5419999999999998</v>
      </c>
    </row>
    <row r="477" spans="2:4" x14ac:dyDescent="0.25">
      <c r="B477" s="48">
        <v>44974</v>
      </c>
      <c r="C477" s="47">
        <v>17.123712539672852</v>
      </c>
      <c r="D477">
        <v>5.6951999999999998</v>
      </c>
    </row>
    <row r="478" spans="2:4" x14ac:dyDescent="0.25">
      <c r="B478" s="48">
        <v>44978</v>
      </c>
      <c r="C478" s="47">
        <v>16.863447189331051</v>
      </c>
      <c r="D478">
        <v>11.326499999999999</v>
      </c>
    </row>
    <row r="479" spans="2:4" x14ac:dyDescent="0.25">
      <c r="B479" s="48">
        <v>44979</v>
      </c>
      <c r="C479" s="47">
        <v>16.71087646484375</v>
      </c>
      <c r="D479">
        <v>7.8869999999999996</v>
      </c>
    </row>
    <row r="480" spans="2:4" x14ac:dyDescent="0.25">
      <c r="B480" s="48">
        <v>44980</v>
      </c>
      <c r="C480" s="47">
        <v>16.782674789428711</v>
      </c>
      <c r="D480">
        <v>7.4336000000000002</v>
      </c>
    </row>
    <row r="481" spans="2:4" x14ac:dyDescent="0.25">
      <c r="B481" s="48">
        <v>44981</v>
      </c>
      <c r="C481" s="47">
        <v>16.45061111450195</v>
      </c>
      <c r="D481">
        <v>11.8217</v>
      </c>
    </row>
    <row r="482" spans="2:4" x14ac:dyDescent="0.25">
      <c r="B482" s="48">
        <v>44984</v>
      </c>
      <c r="C482" s="47">
        <v>16.298040390014648</v>
      </c>
      <c r="D482">
        <v>6.2701000000000002</v>
      </c>
    </row>
    <row r="483" spans="2:4" x14ac:dyDescent="0.25">
      <c r="B483" s="48">
        <v>44985</v>
      </c>
      <c r="C483" s="47">
        <v>16.100601196289059</v>
      </c>
      <c r="D483">
        <v>7.9698000000000002</v>
      </c>
    </row>
    <row r="484" spans="2:4" x14ac:dyDescent="0.25">
      <c r="B484" s="48">
        <v>44986</v>
      </c>
      <c r="C484" s="47">
        <v>16.172397613525391</v>
      </c>
      <c r="D484">
        <v>4.2937000000000003</v>
      </c>
    </row>
    <row r="485" spans="2:4" x14ac:dyDescent="0.25">
      <c r="B485" s="48">
        <v>44987</v>
      </c>
      <c r="C485" s="47">
        <v>16.2352180480957</v>
      </c>
      <c r="D485">
        <v>6.2629999999999999</v>
      </c>
    </row>
    <row r="486" spans="2:4" x14ac:dyDescent="0.25">
      <c r="B486" s="48">
        <v>44988</v>
      </c>
      <c r="C486" s="47">
        <v>16.31599044799805</v>
      </c>
      <c r="D486">
        <v>6.7652000000000001</v>
      </c>
    </row>
    <row r="487" spans="2:4" x14ac:dyDescent="0.25">
      <c r="B487" s="48">
        <v>44991</v>
      </c>
      <c r="C487" s="47">
        <v>16.387790679931641</v>
      </c>
      <c r="D487">
        <v>7.3837000000000002</v>
      </c>
    </row>
    <row r="488" spans="2:4" x14ac:dyDescent="0.25">
      <c r="B488" s="48">
        <v>44992</v>
      </c>
      <c r="C488" s="47">
        <v>16.351886749267582</v>
      </c>
      <c r="D488">
        <v>5.4356</v>
      </c>
    </row>
    <row r="489" spans="2:4" x14ac:dyDescent="0.25">
      <c r="B489" s="48">
        <v>44993</v>
      </c>
      <c r="C489" s="47">
        <v>16.298040390014648</v>
      </c>
      <c r="D489">
        <v>4.7378</v>
      </c>
    </row>
    <row r="490" spans="2:4" x14ac:dyDescent="0.25">
      <c r="B490" s="48">
        <v>44994</v>
      </c>
      <c r="C490" s="47">
        <v>15.90315628051758</v>
      </c>
      <c r="D490">
        <v>6.7339000000000002</v>
      </c>
    </row>
    <row r="491" spans="2:4" x14ac:dyDescent="0.25">
      <c r="B491" s="48">
        <v>44995</v>
      </c>
      <c r="C491" s="47">
        <v>15.867258071899411</v>
      </c>
      <c r="D491">
        <v>6.7638999999999996</v>
      </c>
    </row>
    <row r="492" spans="2:4" x14ac:dyDescent="0.25">
      <c r="B492" s="48">
        <v>44998</v>
      </c>
      <c r="C492" s="47">
        <v>15.499295234680179</v>
      </c>
      <c r="D492">
        <v>13.3215</v>
      </c>
    </row>
    <row r="493" spans="2:4" x14ac:dyDescent="0.25">
      <c r="B493" s="48">
        <v>44999</v>
      </c>
      <c r="C493" s="47">
        <v>15.553140640258791</v>
      </c>
      <c r="D493">
        <v>7.3975999999999997</v>
      </c>
    </row>
    <row r="494" spans="2:4" x14ac:dyDescent="0.25">
      <c r="B494" s="48">
        <v>45000</v>
      </c>
      <c r="C494" s="47">
        <v>15.194156646728519</v>
      </c>
      <c r="D494">
        <v>14.925800000000001</v>
      </c>
    </row>
    <row r="495" spans="2:4" x14ac:dyDescent="0.25">
      <c r="B495" s="48">
        <v>45001</v>
      </c>
      <c r="C495" s="47">
        <v>15.427497863769529</v>
      </c>
      <c r="D495">
        <v>7.4028</v>
      </c>
    </row>
    <row r="496" spans="2:4" x14ac:dyDescent="0.25">
      <c r="B496" s="48">
        <v>45002</v>
      </c>
      <c r="C496" s="47">
        <v>15.15825366973877</v>
      </c>
      <c r="D496">
        <v>15.6111</v>
      </c>
    </row>
    <row r="497" spans="2:4" x14ac:dyDescent="0.25">
      <c r="B497" s="48">
        <v>45005</v>
      </c>
      <c r="C497" s="47">
        <v>15.194156646728519</v>
      </c>
      <c r="D497">
        <v>9.5831999999999997</v>
      </c>
    </row>
    <row r="498" spans="2:4" x14ac:dyDescent="0.25">
      <c r="B498" s="48">
        <v>45006</v>
      </c>
      <c r="C498" s="47">
        <v>15.15825366973877</v>
      </c>
      <c r="D498">
        <v>13.141400000000001</v>
      </c>
    </row>
    <row r="499" spans="2:4" x14ac:dyDescent="0.25">
      <c r="B499" s="48">
        <v>45007</v>
      </c>
      <c r="C499" s="47">
        <v>14.89799118041992</v>
      </c>
      <c r="D499">
        <v>8.4512</v>
      </c>
    </row>
    <row r="500" spans="2:4" x14ac:dyDescent="0.25">
      <c r="B500" s="48">
        <v>45008</v>
      </c>
      <c r="C500" s="47">
        <v>15.20313167572021</v>
      </c>
      <c r="D500">
        <v>14.192500000000001</v>
      </c>
    </row>
    <row r="501" spans="2:4" x14ac:dyDescent="0.25">
      <c r="B501" s="48">
        <v>45009</v>
      </c>
      <c r="C501" s="47">
        <v>15.07748222351074</v>
      </c>
      <c r="D501">
        <v>6.23</v>
      </c>
    </row>
    <row r="502" spans="2:4" x14ac:dyDescent="0.25">
      <c r="B502" s="48">
        <v>45012</v>
      </c>
      <c r="C502" s="47">
        <v>15.274928092956539</v>
      </c>
      <c r="D502">
        <v>11.983599999999999</v>
      </c>
    </row>
    <row r="503" spans="2:4" x14ac:dyDescent="0.25">
      <c r="B503" s="48">
        <v>45013</v>
      </c>
      <c r="C503" s="47">
        <v>15.05056190490723</v>
      </c>
      <c r="D503">
        <v>9.6381999999999994</v>
      </c>
    </row>
    <row r="504" spans="2:4" x14ac:dyDescent="0.25">
      <c r="B504" s="48">
        <v>45014</v>
      </c>
      <c r="C504" s="47">
        <v>15.22107982635498</v>
      </c>
      <c r="D504">
        <v>7.8487</v>
      </c>
    </row>
    <row r="505" spans="2:4" x14ac:dyDescent="0.25">
      <c r="B505" s="48">
        <v>45015</v>
      </c>
      <c r="C505" s="47">
        <v>15.38262271881104</v>
      </c>
      <c r="D505">
        <v>6.2907000000000002</v>
      </c>
    </row>
    <row r="506" spans="2:4" x14ac:dyDescent="0.25">
      <c r="B506" s="48">
        <v>45016</v>
      </c>
      <c r="C506" s="47">
        <v>15.651864051818849</v>
      </c>
      <c r="D506">
        <v>8.3843999999999994</v>
      </c>
    </row>
    <row r="507" spans="2:4" x14ac:dyDescent="0.25">
      <c r="B507" s="48">
        <v>45019</v>
      </c>
      <c r="C507" s="47">
        <v>15.633914947509769</v>
      </c>
      <c r="D507">
        <v>8.4464000000000006</v>
      </c>
    </row>
    <row r="508" spans="2:4" x14ac:dyDescent="0.25">
      <c r="B508" s="48">
        <v>45020</v>
      </c>
      <c r="C508" s="47">
        <v>15.589042663574221</v>
      </c>
      <c r="D508">
        <v>7.5223000000000004</v>
      </c>
    </row>
    <row r="509" spans="2:4" x14ac:dyDescent="0.25">
      <c r="B509" s="48">
        <v>45021</v>
      </c>
      <c r="C509" s="47">
        <v>15.553140640258791</v>
      </c>
      <c r="D509">
        <v>5.5597000000000003</v>
      </c>
    </row>
    <row r="510" spans="2:4" x14ac:dyDescent="0.25">
      <c r="B510" s="48">
        <v>45022</v>
      </c>
      <c r="C510" s="47">
        <v>15.481344223022459</v>
      </c>
      <c r="D510">
        <v>6.8308</v>
      </c>
    </row>
    <row r="511" spans="2:4" x14ac:dyDescent="0.25">
      <c r="B511" s="48">
        <v>45026</v>
      </c>
      <c r="C511" s="47">
        <v>15.606990814208981</v>
      </c>
      <c r="D511">
        <v>9.2042000000000002</v>
      </c>
    </row>
    <row r="512" spans="2:4" x14ac:dyDescent="0.25">
      <c r="B512" s="48">
        <v>45027</v>
      </c>
      <c r="C512" s="47">
        <v>15.66084098815918</v>
      </c>
      <c r="D512">
        <v>11.708399999999999</v>
      </c>
    </row>
    <row r="513" spans="2:4" x14ac:dyDescent="0.25">
      <c r="B513" s="48">
        <v>45028</v>
      </c>
      <c r="C513" s="47">
        <v>15.31980037689209</v>
      </c>
      <c r="D513">
        <v>16.959199999999999</v>
      </c>
    </row>
    <row r="514" spans="2:4" x14ac:dyDescent="0.25">
      <c r="B514" s="48">
        <v>45029</v>
      </c>
      <c r="C514" s="47">
        <v>13.821027755737299</v>
      </c>
      <c r="D514">
        <v>40.414999999999999</v>
      </c>
    </row>
    <row r="515" spans="2:4" x14ac:dyDescent="0.25">
      <c r="B515" s="48">
        <v>45030</v>
      </c>
      <c r="C515" s="47">
        <v>13.62358474731445</v>
      </c>
      <c r="D515">
        <v>26.028600000000001</v>
      </c>
    </row>
    <row r="516" spans="2:4" x14ac:dyDescent="0.25">
      <c r="B516" s="48">
        <v>45033</v>
      </c>
      <c r="C516" s="47">
        <v>13.632558822631839</v>
      </c>
      <c r="D516">
        <v>17.172999999999998</v>
      </c>
    </row>
    <row r="517" spans="2:4" x14ac:dyDescent="0.25">
      <c r="B517" s="48">
        <v>45034</v>
      </c>
      <c r="C517" s="47">
        <v>13.42614078521729</v>
      </c>
      <c r="D517">
        <v>20.7684</v>
      </c>
    </row>
    <row r="518" spans="2:4" x14ac:dyDescent="0.25">
      <c r="B518" s="48">
        <v>45035</v>
      </c>
      <c r="C518" s="47">
        <v>13.30049419403076</v>
      </c>
      <c r="D518">
        <v>19.107299999999999</v>
      </c>
    </row>
    <row r="519" spans="2:4" x14ac:dyDescent="0.25">
      <c r="B519" s="48">
        <v>45036</v>
      </c>
      <c r="C519" s="47">
        <v>13.327419281005859</v>
      </c>
      <c r="D519">
        <v>16.901399999999999</v>
      </c>
    </row>
    <row r="520" spans="2:4" x14ac:dyDescent="0.25">
      <c r="B520" s="48">
        <v>45037</v>
      </c>
      <c r="C520" s="47">
        <v>13.34536743164062</v>
      </c>
      <c r="D520">
        <v>6.9084000000000003</v>
      </c>
    </row>
    <row r="521" spans="2:4" x14ac:dyDescent="0.25">
      <c r="B521" s="48">
        <v>45040</v>
      </c>
      <c r="C521" s="47">
        <v>13.30049419403076</v>
      </c>
      <c r="D521">
        <v>11.751899999999999</v>
      </c>
    </row>
    <row r="522" spans="2:4" x14ac:dyDescent="0.25">
      <c r="B522" s="48">
        <v>45041</v>
      </c>
      <c r="C522" s="47">
        <v>13.27357006072998</v>
      </c>
      <c r="D522">
        <v>14.700200000000001</v>
      </c>
    </row>
    <row r="523" spans="2:4" x14ac:dyDescent="0.25">
      <c r="B523" s="48">
        <v>45042</v>
      </c>
      <c r="C523" s="47">
        <v>13.327419281005859</v>
      </c>
      <c r="D523">
        <v>11.1816</v>
      </c>
    </row>
    <row r="524" spans="2:4" x14ac:dyDescent="0.25">
      <c r="B524" s="48">
        <v>45043</v>
      </c>
      <c r="C524" s="47">
        <v>13.740256309509279</v>
      </c>
      <c r="D524">
        <v>11.606400000000001</v>
      </c>
    </row>
    <row r="525" spans="2:4" x14ac:dyDescent="0.25">
      <c r="B525" s="48">
        <v>45044</v>
      </c>
      <c r="C525" s="47">
        <v>13.946672439575201</v>
      </c>
      <c r="D525">
        <v>11.6669</v>
      </c>
    </row>
    <row r="526" spans="2:4" x14ac:dyDescent="0.25">
      <c r="B526" s="48">
        <v>45047</v>
      </c>
      <c r="C526" s="47">
        <v>13.90180015563965</v>
      </c>
      <c r="D526">
        <v>7.6913999999999998</v>
      </c>
    </row>
    <row r="527" spans="2:4" x14ac:dyDescent="0.25">
      <c r="B527" s="48">
        <v>45048</v>
      </c>
      <c r="C527" s="47">
        <v>13.946672439575201</v>
      </c>
      <c r="D527">
        <v>10.433299999999999</v>
      </c>
    </row>
    <row r="528" spans="2:4" x14ac:dyDescent="0.25">
      <c r="B528" s="48">
        <v>45049</v>
      </c>
      <c r="C528" s="47">
        <v>13.803078651428221</v>
      </c>
      <c r="D528">
        <v>9.3722999999999992</v>
      </c>
    </row>
    <row r="529" spans="2:4" x14ac:dyDescent="0.25">
      <c r="B529" s="48">
        <v>45050</v>
      </c>
      <c r="C529" s="47">
        <v>13.73128128051758</v>
      </c>
      <c r="D529">
        <v>12.3163</v>
      </c>
    </row>
    <row r="530" spans="2:4" x14ac:dyDescent="0.25">
      <c r="B530" s="48">
        <v>45051</v>
      </c>
      <c r="C530" s="47">
        <v>13.6864070892334</v>
      </c>
      <c r="D530">
        <v>11.268800000000001</v>
      </c>
    </row>
    <row r="531" spans="2:4" x14ac:dyDescent="0.25">
      <c r="B531" s="48">
        <v>45054</v>
      </c>
      <c r="C531" s="47">
        <v>13.695381164550779</v>
      </c>
      <c r="D531">
        <v>12.1126</v>
      </c>
    </row>
    <row r="532" spans="2:4" x14ac:dyDescent="0.25">
      <c r="B532" s="48">
        <v>45055</v>
      </c>
      <c r="C532" s="47">
        <v>13.7043571472168</v>
      </c>
      <c r="D532">
        <v>12.613799999999999</v>
      </c>
    </row>
    <row r="533" spans="2:4" x14ac:dyDescent="0.25">
      <c r="B533" s="48">
        <v>45056</v>
      </c>
      <c r="C533" s="47">
        <v>13.73128128051758</v>
      </c>
      <c r="D533">
        <v>15.541600000000001</v>
      </c>
    </row>
    <row r="534" spans="2:4" x14ac:dyDescent="0.25">
      <c r="B534" s="48">
        <v>45057</v>
      </c>
      <c r="C534" s="47">
        <v>13.488962173461911</v>
      </c>
      <c r="D534">
        <v>15.96</v>
      </c>
    </row>
    <row r="535" spans="2:4" x14ac:dyDescent="0.25">
      <c r="B535" s="48">
        <v>45058</v>
      </c>
      <c r="C535" s="47">
        <v>13.53383731842041</v>
      </c>
      <c r="D535">
        <v>10.854900000000001</v>
      </c>
    </row>
    <row r="536" spans="2:4" x14ac:dyDescent="0.25">
      <c r="B536" s="48">
        <v>45061</v>
      </c>
      <c r="C536" s="47">
        <v>13.767178535461429</v>
      </c>
      <c r="D536">
        <v>8.9212000000000007</v>
      </c>
    </row>
    <row r="537" spans="2:4" x14ac:dyDescent="0.25">
      <c r="B537" s="48">
        <v>45062</v>
      </c>
      <c r="C537" s="47">
        <v>13.56076049804688</v>
      </c>
      <c r="D537">
        <v>13.214600000000001</v>
      </c>
    </row>
    <row r="538" spans="2:4" x14ac:dyDescent="0.25">
      <c r="B538" s="48">
        <v>45063</v>
      </c>
      <c r="C538" s="47">
        <v>13.632558822631839</v>
      </c>
      <c r="D538">
        <v>7.7239000000000004</v>
      </c>
    </row>
    <row r="539" spans="2:4" x14ac:dyDescent="0.25">
      <c r="B539" s="48">
        <v>45064</v>
      </c>
      <c r="C539" s="47">
        <v>13.596658706665041</v>
      </c>
      <c r="D539">
        <v>9.3847000000000005</v>
      </c>
    </row>
    <row r="540" spans="2:4" x14ac:dyDescent="0.25">
      <c r="B540" s="48">
        <v>45065</v>
      </c>
      <c r="C540" s="47">
        <v>13.6864070892334</v>
      </c>
      <c r="D540">
        <v>7.3752000000000004</v>
      </c>
    </row>
    <row r="541" spans="2:4" x14ac:dyDescent="0.25">
      <c r="B541" s="48">
        <v>45068</v>
      </c>
      <c r="C541" s="47">
        <v>14.045393943786619</v>
      </c>
      <c r="D541">
        <v>10.336399999999999</v>
      </c>
    </row>
    <row r="542" spans="2:4" x14ac:dyDescent="0.25">
      <c r="B542" s="48">
        <v>45069</v>
      </c>
      <c r="C542" s="47">
        <v>13.9376974105835</v>
      </c>
      <c r="D542">
        <v>7.1138000000000003</v>
      </c>
    </row>
    <row r="543" spans="2:4" x14ac:dyDescent="0.25">
      <c r="B543" s="48">
        <v>45070</v>
      </c>
      <c r="C543" s="47">
        <v>13.96462249755859</v>
      </c>
      <c r="D543">
        <v>6.9131999999999998</v>
      </c>
    </row>
    <row r="544" spans="2:4" x14ac:dyDescent="0.25">
      <c r="B544" s="48">
        <v>45071</v>
      </c>
      <c r="C544" s="47">
        <v>14.05436992645264</v>
      </c>
      <c r="D544">
        <v>9.3033999999999999</v>
      </c>
    </row>
    <row r="545" spans="2:4" x14ac:dyDescent="0.25">
      <c r="B545" s="48">
        <v>45072</v>
      </c>
      <c r="C545" s="47">
        <v>14.242836952209471</v>
      </c>
      <c r="D545">
        <v>6.3318000000000003</v>
      </c>
    </row>
    <row r="546" spans="2:4" x14ac:dyDescent="0.25">
      <c r="B546" s="48">
        <v>45076</v>
      </c>
      <c r="C546" s="47">
        <v>14.26976203918457</v>
      </c>
      <c r="D546">
        <v>6.5735000000000001</v>
      </c>
    </row>
    <row r="547" spans="2:4" x14ac:dyDescent="0.25">
      <c r="B547" s="48">
        <v>45077</v>
      </c>
      <c r="C547" s="47">
        <v>14.323610305786129</v>
      </c>
      <c r="D547">
        <v>9.0410000000000004</v>
      </c>
    </row>
    <row r="548" spans="2:4" x14ac:dyDescent="0.25">
      <c r="B548" s="48">
        <v>45078</v>
      </c>
      <c r="C548" s="47">
        <v>14.399106025695801</v>
      </c>
      <c r="D548">
        <v>7.9958999999999998</v>
      </c>
    </row>
    <row r="549" spans="2:4" x14ac:dyDescent="0.25">
      <c r="B549" s="48">
        <v>45079</v>
      </c>
      <c r="C549" s="47">
        <v>14.37181949615479</v>
      </c>
      <c r="D549">
        <v>7.5815000000000001</v>
      </c>
    </row>
    <row r="550" spans="2:4" x14ac:dyDescent="0.25">
      <c r="B550" s="48">
        <v>45082</v>
      </c>
      <c r="C550" s="47">
        <v>14.007975578308111</v>
      </c>
      <c r="D550">
        <v>14.0555</v>
      </c>
    </row>
    <row r="551" spans="2:4" x14ac:dyDescent="0.25">
      <c r="B551" s="48">
        <v>45083</v>
      </c>
      <c r="C551" s="47">
        <v>14.22628116607666</v>
      </c>
      <c r="D551">
        <v>12.4809</v>
      </c>
    </row>
    <row r="552" spans="2:4" x14ac:dyDescent="0.25">
      <c r="B552" s="48">
        <v>45084</v>
      </c>
      <c r="C552" s="47">
        <v>14.22628116607666</v>
      </c>
      <c r="D552">
        <v>7.3573000000000004</v>
      </c>
    </row>
    <row r="553" spans="2:4" x14ac:dyDescent="0.25">
      <c r="B553" s="48">
        <v>45085</v>
      </c>
      <c r="C553" s="47">
        <v>14.044358253479</v>
      </c>
      <c r="D553">
        <v>10.270799999999999</v>
      </c>
    </row>
    <row r="554" spans="2:4" x14ac:dyDescent="0.25">
      <c r="B554" s="48">
        <v>45086</v>
      </c>
      <c r="C554" s="47">
        <v>14.05345630645752</v>
      </c>
      <c r="D554">
        <v>8.3760999999999992</v>
      </c>
    </row>
    <row r="555" spans="2:4" x14ac:dyDescent="0.25">
      <c r="B555" s="48">
        <v>45089</v>
      </c>
      <c r="C555" s="47">
        <v>14.38091564178467</v>
      </c>
      <c r="D555">
        <v>9.4687999999999999</v>
      </c>
    </row>
    <row r="556" spans="2:4" x14ac:dyDescent="0.25">
      <c r="B556" s="48">
        <v>45090</v>
      </c>
      <c r="C556" s="47">
        <v>14.417299270629879</v>
      </c>
      <c r="D556">
        <v>5.8434999999999997</v>
      </c>
    </row>
    <row r="557" spans="2:4" x14ac:dyDescent="0.25">
      <c r="B557" s="48">
        <v>45091</v>
      </c>
      <c r="C557" s="47">
        <v>14.153512954711911</v>
      </c>
      <c r="D557">
        <v>15.5959</v>
      </c>
    </row>
    <row r="558" spans="2:4" x14ac:dyDescent="0.25">
      <c r="B558" s="48">
        <v>45092</v>
      </c>
      <c r="C558" s="47">
        <v>14.208088874816889</v>
      </c>
      <c r="D558">
        <v>9.5327999999999999</v>
      </c>
    </row>
    <row r="559" spans="2:4" x14ac:dyDescent="0.25">
      <c r="B559" s="48">
        <v>45093</v>
      </c>
      <c r="C559" s="47">
        <v>14.399106025695801</v>
      </c>
      <c r="D559">
        <v>18.245799999999999</v>
      </c>
    </row>
    <row r="560" spans="2:4" x14ac:dyDescent="0.25">
      <c r="B560" s="48">
        <v>45097</v>
      </c>
      <c r="C560" s="47">
        <v>14.22628116607666</v>
      </c>
      <c r="D560">
        <v>7.6219999999999999</v>
      </c>
    </row>
    <row r="561" spans="2:4" x14ac:dyDescent="0.25">
      <c r="B561" s="48">
        <v>45098</v>
      </c>
      <c r="C561" s="47">
        <v>13.998879432678221</v>
      </c>
      <c r="D561">
        <v>15.032</v>
      </c>
    </row>
    <row r="562" spans="2:4" x14ac:dyDescent="0.25">
      <c r="B562" s="48">
        <v>45099</v>
      </c>
      <c r="C562" s="47">
        <v>14.07164859771729</v>
      </c>
      <c r="D562">
        <v>11.712899999999999</v>
      </c>
    </row>
    <row r="563" spans="2:4" x14ac:dyDescent="0.25">
      <c r="B563" s="48">
        <v>45100</v>
      </c>
      <c r="C563" s="47">
        <v>13.826052665710449</v>
      </c>
      <c r="D563">
        <v>8.4826999999999995</v>
      </c>
    </row>
    <row r="564" spans="2:4" x14ac:dyDescent="0.25">
      <c r="B564" s="48">
        <v>45103</v>
      </c>
      <c r="C564" s="47">
        <v>14.098936080932621</v>
      </c>
      <c r="D564">
        <v>8.5091000000000001</v>
      </c>
    </row>
    <row r="565" spans="2:4" x14ac:dyDescent="0.25">
      <c r="B565" s="48">
        <v>45104</v>
      </c>
      <c r="C565" s="47">
        <v>14.208088874816889</v>
      </c>
      <c r="D565">
        <v>7.9135999999999997</v>
      </c>
    </row>
    <row r="566" spans="2:4" x14ac:dyDescent="0.25">
      <c r="B566" s="48">
        <v>45105</v>
      </c>
      <c r="C566" s="47">
        <v>14.326337814331049</v>
      </c>
      <c r="D566">
        <v>7.5202999999999998</v>
      </c>
    </row>
    <row r="567" spans="2:4" x14ac:dyDescent="0.25">
      <c r="B567" s="48">
        <v>45106</v>
      </c>
      <c r="C567" s="47">
        <v>14.46277904510498</v>
      </c>
      <c r="D567">
        <v>7.9928999999999997</v>
      </c>
    </row>
    <row r="568" spans="2:4" x14ac:dyDescent="0.25">
      <c r="B568" s="48">
        <v>45107</v>
      </c>
      <c r="C568" s="47">
        <v>14.61741352081299</v>
      </c>
      <c r="D568">
        <v>12.7639</v>
      </c>
    </row>
    <row r="569" spans="2:4" x14ac:dyDescent="0.25">
      <c r="B569" s="48">
        <v>45110</v>
      </c>
      <c r="C569" s="47">
        <v>14.68108654022217</v>
      </c>
      <c r="D569">
        <v>7.1117999999999997</v>
      </c>
    </row>
    <row r="570" spans="2:4" x14ac:dyDescent="0.25">
      <c r="B570" s="48">
        <v>45112</v>
      </c>
      <c r="C570" s="47">
        <v>14.790239334106451</v>
      </c>
      <c r="D570">
        <v>13.4155</v>
      </c>
    </row>
    <row r="571" spans="2:4" x14ac:dyDescent="0.25">
      <c r="B571" s="48">
        <v>45113</v>
      </c>
      <c r="C571" s="47">
        <v>14.61741352081299</v>
      </c>
      <c r="D571">
        <v>6.4641000000000002</v>
      </c>
    </row>
    <row r="572" spans="2:4" x14ac:dyDescent="0.25">
      <c r="B572" s="48">
        <v>45114</v>
      </c>
      <c r="C572" s="47">
        <v>14.599221229553221</v>
      </c>
      <c r="D572">
        <v>5.2085999999999997</v>
      </c>
    </row>
    <row r="573" spans="2:4" x14ac:dyDescent="0.25">
      <c r="B573" s="48">
        <v>45117</v>
      </c>
      <c r="C573" s="47">
        <v>14.56283664703369</v>
      </c>
      <c r="D573">
        <v>6.7750000000000004</v>
      </c>
    </row>
    <row r="574" spans="2:4" x14ac:dyDescent="0.25">
      <c r="B574" s="48">
        <v>45118</v>
      </c>
      <c r="C574" s="47">
        <v>14.77204608917236</v>
      </c>
      <c r="D574">
        <v>7.6315</v>
      </c>
    </row>
    <row r="575" spans="2:4" x14ac:dyDescent="0.25">
      <c r="B575" s="48">
        <v>45119</v>
      </c>
      <c r="C575" s="47">
        <v>14.61741352081299</v>
      </c>
      <c r="D575">
        <v>7.1025999999999998</v>
      </c>
    </row>
    <row r="576" spans="2:4" x14ac:dyDescent="0.25">
      <c r="B576" s="48">
        <v>45120</v>
      </c>
      <c r="C576" s="47">
        <v>15.27233219146729</v>
      </c>
      <c r="D576">
        <v>13.295299999999999</v>
      </c>
    </row>
    <row r="577" spans="2:4" x14ac:dyDescent="0.25">
      <c r="B577" s="48">
        <v>45121</v>
      </c>
      <c r="C577" s="47">
        <v>15.499733924865721</v>
      </c>
      <c r="D577">
        <v>11.5397</v>
      </c>
    </row>
    <row r="578" spans="2:4" x14ac:dyDescent="0.25">
      <c r="B578" s="48">
        <v>45124</v>
      </c>
      <c r="C578" s="47">
        <v>15.72713565826416</v>
      </c>
      <c r="D578">
        <v>12.6584</v>
      </c>
    </row>
    <row r="579" spans="2:4" x14ac:dyDescent="0.25">
      <c r="B579" s="48">
        <v>45125</v>
      </c>
      <c r="C579" s="47">
        <v>16.263803482055661</v>
      </c>
      <c r="D579">
        <v>25.345300000000002</v>
      </c>
    </row>
    <row r="580" spans="2:4" x14ac:dyDescent="0.25">
      <c r="B580" s="48">
        <v>45126</v>
      </c>
      <c r="C580" s="47">
        <v>16.109170913696289</v>
      </c>
      <c r="D580">
        <v>21.117699999999999</v>
      </c>
    </row>
    <row r="581" spans="2:4" x14ac:dyDescent="0.25">
      <c r="B581" s="48">
        <v>45127</v>
      </c>
      <c r="C581" s="47">
        <v>14.753854751586911</v>
      </c>
      <c r="D581">
        <v>39.518000000000001</v>
      </c>
    </row>
    <row r="582" spans="2:4" x14ac:dyDescent="0.25">
      <c r="B582" s="48">
        <v>45128</v>
      </c>
      <c r="C582" s="47">
        <v>14.82662391662598</v>
      </c>
      <c r="D582">
        <v>15.2682</v>
      </c>
    </row>
    <row r="583" spans="2:4" x14ac:dyDescent="0.25">
      <c r="B583" s="48">
        <v>45131</v>
      </c>
      <c r="C583" s="47">
        <v>14.753854751586911</v>
      </c>
      <c r="D583">
        <v>10.3314</v>
      </c>
    </row>
    <row r="584" spans="2:4" x14ac:dyDescent="0.25">
      <c r="B584" s="48">
        <v>45132</v>
      </c>
      <c r="C584" s="47">
        <v>14.89939117431641</v>
      </c>
      <c r="D584">
        <v>7.7179000000000002</v>
      </c>
    </row>
    <row r="585" spans="2:4" x14ac:dyDescent="0.25">
      <c r="B585" s="48">
        <v>45133</v>
      </c>
      <c r="C585" s="47">
        <v>15.11769962310791</v>
      </c>
      <c r="D585">
        <v>10.0061</v>
      </c>
    </row>
    <row r="586" spans="2:4" x14ac:dyDescent="0.25">
      <c r="B586" s="48">
        <v>45134</v>
      </c>
      <c r="C586" s="47">
        <v>15.12679290771484</v>
      </c>
      <c r="D586">
        <v>11.8398</v>
      </c>
    </row>
    <row r="587" spans="2:4" x14ac:dyDescent="0.25">
      <c r="B587" s="48">
        <v>45135</v>
      </c>
      <c r="C587" s="47">
        <v>14.972159385681151</v>
      </c>
      <c r="D587">
        <v>9.0722000000000005</v>
      </c>
    </row>
    <row r="588" spans="2:4" x14ac:dyDescent="0.25">
      <c r="B588" s="48">
        <v>45138</v>
      </c>
      <c r="C588" s="47">
        <v>15.15408229827881</v>
      </c>
      <c r="D588">
        <v>6.6040000000000001</v>
      </c>
    </row>
    <row r="589" spans="2:4" x14ac:dyDescent="0.25">
      <c r="B589" s="48">
        <v>45139</v>
      </c>
      <c r="C589" s="47">
        <v>15.28142642974854</v>
      </c>
      <c r="D589">
        <v>7.4622000000000002</v>
      </c>
    </row>
    <row r="590" spans="2:4" x14ac:dyDescent="0.25">
      <c r="B590" s="48">
        <v>45140</v>
      </c>
      <c r="C590" s="47">
        <v>15.026737213134769</v>
      </c>
      <c r="D590">
        <v>11.8964</v>
      </c>
    </row>
    <row r="591" spans="2:4" x14ac:dyDescent="0.25">
      <c r="B591" s="48">
        <v>45141</v>
      </c>
      <c r="C591" s="47">
        <v>15.017641067504879</v>
      </c>
      <c r="D591">
        <v>10.134399999999999</v>
      </c>
    </row>
    <row r="592" spans="2:4" x14ac:dyDescent="0.25">
      <c r="B592" s="48">
        <v>45142</v>
      </c>
      <c r="C592" s="47">
        <v>15.19956207275391</v>
      </c>
      <c r="D592">
        <v>7.0129999999999999</v>
      </c>
    </row>
    <row r="593" spans="2:4" x14ac:dyDescent="0.25">
      <c r="B593" s="48">
        <v>45145</v>
      </c>
      <c r="C593" s="47">
        <v>15.263235092163089</v>
      </c>
      <c r="D593">
        <v>5.5336999999999996</v>
      </c>
    </row>
    <row r="594" spans="2:4" x14ac:dyDescent="0.25">
      <c r="B594" s="48">
        <v>45146</v>
      </c>
      <c r="C594" s="47">
        <v>15.25413990020752</v>
      </c>
      <c r="D594">
        <v>6.3305999999999996</v>
      </c>
    </row>
    <row r="595" spans="2:4" x14ac:dyDescent="0.25">
      <c r="B595" s="48">
        <v>45147</v>
      </c>
      <c r="C595" s="47">
        <v>15.19956207275391</v>
      </c>
      <c r="D595">
        <v>7.9981</v>
      </c>
    </row>
    <row r="596" spans="2:4" x14ac:dyDescent="0.25">
      <c r="B596" s="48">
        <v>45148</v>
      </c>
      <c r="C596" s="47">
        <v>15.34509944915771</v>
      </c>
      <c r="D596">
        <v>9.0333000000000006</v>
      </c>
    </row>
    <row r="597" spans="2:4" x14ac:dyDescent="0.25">
      <c r="B597" s="48">
        <v>45149</v>
      </c>
      <c r="C597" s="47">
        <v>15.172275543212891</v>
      </c>
      <c r="D597">
        <v>6.8311000000000002</v>
      </c>
    </row>
    <row r="598" spans="2:4" x14ac:dyDescent="0.25">
      <c r="B598" s="48">
        <v>45152</v>
      </c>
      <c r="C598" s="47">
        <v>15.33600425720215</v>
      </c>
      <c r="D598">
        <v>5.4071999999999996</v>
      </c>
    </row>
    <row r="599" spans="2:4" x14ac:dyDescent="0.25">
      <c r="B599" s="48">
        <v>45153</v>
      </c>
      <c r="C599" s="47">
        <v>15.58159828186035</v>
      </c>
      <c r="D599">
        <v>13.3439</v>
      </c>
    </row>
    <row r="600" spans="2:4" x14ac:dyDescent="0.25">
      <c r="B600" s="48">
        <v>45154</v>
      </c>
      <c r="C600" s="47">
        <v>15.58159828186035</v>
      </c>
      <c r="D600">
        <v>8.7489000000000008</v>
      </c>
    </row>
    <row r="601" spans="2:4" x14ac:dyDescent="0.25">
      <c r="B601" s="48">
        <v>45155</v>
      </c>
      <c r="C601" s="47">
        <v>15.436060905456539</v>
      </c>
      <c r="D601">
        <v>6.1665999999999999</v>
      </c>
    </row>
    <row r="602" spans="2:4" x14ac:dyDescent="0.25">
      <c r="B602" s="48">
        <v>45156</v>
      </c>
      <c r="C602" s="47">
        <v>15.208658218383791</v>
      </c>
      <c r="D602">
        <v>5.4455999999999998</v>
      </c>
    </row>
    <row r="603" spans="2:4" x14ac:dyDescent="0.25">
      <c r="B603" s="48">
        <v>45159</v>
      </c>
      <c r="C603" s="47">
        <v>15.354195594787599</v>
      </c>
      <c r="D603">
        <v>6.9932999999999996</v>
      </c>
    </row>
    <row r="604" spans="2:4" x14ac:dyDescent="0.25">
      <c r="B604" s="48">
        <v>45160</v>
      </c>
      <c r="C604" s="47">
        <v>15.45425510406494</v>
      </c>
      <c r="D604">
        <v>4.0376000000000003</v>
      </c>
    </row>
    <row r="605" spans="2:4" x14ac:dyDescent="0.25">
      <c r="B605" s="48">
        <v>45161</v>
      </c>
      <c r="C605" s="47">
        <v>15.708945274353029</v>
      </c>
      <c r="D605">
        <v>6.0970000000000004</v>
      </c>
    </row>
    <row r="606" spans="2:4" x14ac:dyDescent="0.25">
      <c r="B606" s="48">
        <v>45162</v>
      </c>
      <c r="C606" s="47">
        <v>15.58159828186035</v>
      </c>
      <c r="D606">
        <v>4.7088000000000001</v>
      </c>
    </row>
    <row r="607" spans="2:4" x14ac:dyDescent="0.25">
      <c r="B607" s="48">
        <v>45163</v>
      </c>
      <c r="C607" s="47">
        <v>15.690750122070311</v>
      </c>
      <c r="D607">
        <v>4.6619999999999999</v>
      </c>
    </row>
    <row r="608" spans="2:4" x14ac:dyDescent="0.25">
      <c r="B608" s="48">
        <v>45166</v>
      </c>
      <c r="C608" s="47">
        <v>15.76351737976074</v>
      </c>
      <c r="D608">
        <v>5.3566000000000003</v>
      </c>
    </row>
    <row r="609" spans="2:4" x14ac:dyDescent="0.25">
      <c r="B609" s="48">
        <v>45167</v>
      </c>
      <c r="C609" s="47">
        <v>15.84538745880127</v>
      </c>
      <c r="D609">
        <v>7.9280999999999997</v>
      </c>
    </row>
    <row r="610" spans="2:4" x14ac:dyDescent="0.25">
      <c r="B610" s="48">
        <v>45168</v>
      </c>
      <c r="C610" s="47">
        <v>15.963631629943849</v>
      </c>
      <c r="D610">
        <v>4.6134000000000004</v>
      </c>
    </row>
    <row r="611" spans="2:4" x14ac:dyDescent="0.25">
      <c r="B611" s="48">
        <v>45169</v>
      </c>
      <c r="C611" s="47">
        <v>15.799904823303221</v>
      </c>
      <c r="D611">
        <v>6.5114999999999998</v>
      </c>
    </row>
    <row r="612" spans="2:4" x14ac:dyDescent="0.25">
      <c r="B612" s="48">
        <v>45170</v>
      </c>
      <c r="C612" s="47">
        <v>15.93634605407715</v>
      </c>
      <c r="D612">
        <v>5.3151000000000002</v>
      </c>
    </row>
    <row r="613" spans="2:4" x14ac:dyDescent="0.25">
      <c r="B613" s="48">
        <v>45174</v>
      </c>
      <c r="C613" s="47">
        <v>16.163749694824219</v>
      </c>
      <c r="D613">
        <v>5.7464000000000004</v>
      </c>
    </row>
    <row r="614" spans="2:4" x14ac:dyDescent="0.25">
      <c r="B614" s="48">
        <v>45175</v>
      </c>
      <c r="C614" s="47">
        <v>15.990921974182131</v>
      </c>
      <c r="D614">
        <v>5.0492999999999997</v>
      </c>
    </row>
    <row r="615" spans="2:4" x14ac:dyDescent="0.25">
      <c r="B615" s="48">
        <v>45176</v>
      </c>
      <c r="C615" s="47">
        <v>15.93634605407715</v>
      </c>
      <c r="D615">
        <v>5.9207000000000001</v>
      </c>
    </row>
    <row r="616" spans="2:4" x14ac:dyDescent="0.25">
      <c r="B616" s="48">
        <v>45177</v>
      </c>
      <c r="C616" s="47">
        <v>16.14555740356445</v>
      </c>
      <c r="D616">
        <v>5.7968000000000002</v>
      </c>
    </row>
    <row r="617" spans="2:4" x14ac:dyDescent="0.25">
      <c r="B617" s="48">
        <v>45180</v>
      </c>
      <c r="C617" s="47">
        <v>16.32747840881348</v>
      </c>
      <c r="D617">
        <v>5.1966000000000001</v>
      </c>
    </row>
    <row r="618" spans="2:4" x14ac:dyDescent="0.25">
      <c r="B618" s="48">
        <v>45181</v>
      </c>
      <c r="C618" s="47">
        <v>16.427534103393551</v>
      </c>
      <c r="D618">
        <v>6.68</v>
      </c>
    </row>
    <row r="619" spans="2:4" x14ac:dyDescent="0.25">
      <c r="B619" s="48">
        <v>45182</v>
      </c>
      <c r="C619" s="47">
        <v>16.372957229614261</v>
      </c>
      <c r="D619">
        <v>4.1024000000000003</v>
      </c>
    </row>
    <row r="620" spans="2:4" x14ac:dyDescent="0.25">
      <c r="B620" s="48">
        <v>45183</v>
      </c>
      <c r="C620" s="47">
        <v>16.473016738891602</v>
      </c>
      <c r="D620">
        <v>2.9140999999999999</v>
      </c>
    </row>
    <row r="621" spans="2:4" x14ac:dyDescent="0.25">
      <c r="B621" s="48">
        <v>45184</v>
      </c>
      <c r="C621" s="47">
        <v>16.14555740356445</v>
      </c>
      <c r="D621">
        <v>16.969899999999999</v>
      </c>
    </row>
    <row r="622" spans="2:4" x14ac:dyDescent="0.25">
      <c r="B622" s="48">
        <v>45187</v>
      </c>
      <c r="C622" s="47">
        <v>16.154653549194339</v>
      </c>
      <c r="D622">
        <v>3.9443000000000001</v>
      </c>
    </row>
    <row r="623" spans="2:4" x14ac:dyDescent="0.25">
      <c r="B623" s="48">
        <v>45188</v>
      </c>
      <c r="C623" s="47">
        <v>16.181940078735352</v>
      </c>
      <c r="D623">
        <v>3.1714000000000002</v>
      </c>
    </row>
    <row r="624" spans="2:4" x14ac:dyDescent="0.25">
      <c r="B624" s="48">
        <v>45189</v>
      </c>
      <c r="C624" s="47">
        <v>16.27290153503418</v>
      </c>
      <c r="D624">
        <v>4.8880999999999997</v>
      </c>
    </row>
    <row r="625" spans="2:4" x14ac:dyDescent="0.25">
      <c r="B625" s="48">
        <v>45190</v>
      </c>
      <c r="C625" s="47">
        <v>16.136459350585941</v>
      </c>
      <c r="D625">
        <v>5.6302000000000003</v>
      </c>
    </row>
    <row r="626" spans="2:4" x14ac:dyDescent="0.25">
      <c r="B626" s="48">
        <v>45191</v>
      </c>
      <c r="C626" s="47">
        <v>16.172843933105469</v>
      </c>
      <c r="D626">
        <v>5.3193000000000001</v>
      </c>
    </row>
    <row r="627" spans="2:4" x14ac:dyDescent="0.25">
      <c r="B627" s="48">
        <v>45194</v>
      </c>
      <c r="C627" s="47">
        <v>16.01821136474609</v>
      </c>
      <c r="D627">
        <v>4.9928999999999997</v>
      </c>
    </row>
    <row r="628" spans="2:4" x14ac:dyDescent="0.25">
      <c r="B628" s="48">
        <v>45195</v>
      </c>
      <c r="C628" s="47">
        <v>15.708945274353029</v>
      </c>
      <c r="D628">
        <v>5.9465000000000003</v>
      </c>
    </row>
    <row r="629" spans="2:4" x14ac:dyDescent="0.25">
      <c r="B629" s="48">
        <v>45196</v>
      </c>
      <c r="C629" s="47">
        <v>15.863576889038089</v>
      </c>
      <c r="D629">
        <v>10.2921</v>
      </c>
    </row>
    <row r="630" spans="2:4" x14ac:dyDescent="0.25">
      <c r="B630" s="48">
        <v>45197</v>
      </c>
      <c r="C630" s="47">
        <v>15.42696571350098</v>
      </c>
      <c r="D630">
        <v>18.047499999999999</v>
      </c>
    </row>
    <row r="631" spans="2:4" x14ac:dyDescent="0.25">
      <c r="B631" s="48">
        <v>45198</v>
      </c>
      <c r="C631" s="47">
        <v>15.563406944274901</v>
      </c>
      <c r="D631">
        <v>9.5599000000000007</v>
      </c>
    </row>
    <row r="632" spans="2:4" x14ac:dyDescent="0.25">
      <c r="B632" s="48">
        <v>45201</v>
      </c>
      <c r="C632" s="47">
        <v>15.627079010009769</v>
      </c>
      <c r="D632">
        <v>4.5298999999999996</v>
      </c>
    </row>
    <row r="633" spans="2:4" x14ac:dyDescent="0.25">
      <c r="B633" s="48">
        <v>45202</v>
      </c>
      <c r="C633" s="47">
        <v>15.46334934234619</v>
      </c>
      <c r="D633">
        <v>6.7750000000000004</v>
      </c>
    </row>
    <row r="634" spans="2:4" x14ac:dyDescent="0.25">
      <c r="B634" s="48">
        <v>45203</v>
      </c>
      <c r="C634" s="47">
        <v>15.863576889038089</v>
      </c>
      <c r="D634">
        <v>7.3188000000000004</v>
      </c>
    </row>
    <row r="635" spans="2:4" x14ac:dyDescent="0.25">
      <c r="B635" s="48">
        <v>45204</v>
      </c>
      <c r="C635" s="47">
        <v>16.01821136474609</v>
      </c>
      <c r="D635">
        <v>5.0694999999999997</v>
      </c>
    </row>
    <row r="636" spans="2:4" x14ac:dyDescent="0.25">
      <c r="B636" s="48">
        <v>45205</v>
      </c>
      <c r="C636" s="47">
        <v>16.181940078735352</v>
      </c>
      <c r="D636">
        <v>5.4766000000000004</v>
      </c>
    </row>
    <row r="637" spans="2:4" x14ac:dyDescent="0.25">
      <c r="B637" s="48">
        <v>45208</v>
      </c>
      <c r="C637" s="47">
        <v>16.14555740356445</v>
      </c>
      <c r="D637">
        <v>8.6426999999999996</v>
      </c>
    </row>
    <row r="638" spans="2:4" x14ac:dyDescent="0.25">
      <c r="B638" s="48">
        <v>45209</v>
      </c>
      <c r="C638" s="47">
        <v>16.236516952514648</v>
      </c>
      <c r="D638">
        <v>11.0609</v>
      </c>
    </row>
    <row r="639" spans="2:4" x14ac:dyDescent="0.25">
      <c r="B639" s="48">
        <v>45210</v>
      </c>
      <c r="C639" s="47">
        <v>16.01821136474609</v>
      </c>
      <c r="D639">
        <v>15.8971</v>
      </c>
    </row>
    <row r="640" spans="2:4" x14ac:dyDescent="0.25">
      <c r="B640" s="48">
        <v>45211</v>
      </c>
      <c r="C640" s="47">
        <v>14.972159385681151</v>
      </c>
      <c r="D640">
        <v>26.816400000000002</v>
      </c>
    </row>
    <row r="641" spans="2:4" x14ac:dyDescent="0.25">
      <c r="B641" s="48">
        <v>45212</v>
      </c>
      <c r="C641" s="47">
        <v>15.37238693237305</v>
      </c>
      <c r="D641">
        <v>13.2088</v>
      </c>
    </row>
    <row r="642" spans="2:4" x14ac:dyDescent="0.25">
      <c r="B642" s="48">
        <v>45215</v>
      </c>
      <c r="C642" s="47">
        <v>15.654365539550779</v>
      </c>
      <c r="D642">
        <v>7.4741</v>
      </c>
    </row>
    <row r="643" spans="2:4" x14ac:dyDescent="0.25">
      <c r="B643" s="48">
        <v>45216</v>
      </c>
      <c r="C643" s="47">
        <v>15.78171348571777</v>
      </c>
      <c r="D643">
        <v>7.2104999999999997</v>
      </c>
    </row>
    <row r="644" spans="2:4" x14ac:dyDescent="0.25">
      <c r="B644" s="48">
        <v>45217</v>
      </c>
      <c r="C644" s="47">
        <v>15.590695381164551</v>
      </c>
      <c r="D644">
        <v>6.1154999999999999</v>
      </c>
    </row>
    <row r="645" spans="2:4" x14ac:dyDescent="0.25">
      <c r="B645" s="48">
        <v>45218</v>
      </c>
      <c r="C645" s="47">
        <v>15.54521656036377</v>
      </c>
      <c r="D645">
        <v>4.8308999999999997</v>
      </c>
    </row>
    <row r="646" spans="2:4" x14ac:dyDescent="0.25">
      <c r="B646" s="48">
        <v>45219</v>
      </c>
      <c r="C646" s="47">
        <v>15.436060905456539</v>
      </c>
      <c r="D646">
        <v>5.9101999999999997</v>
      </c>
    </row>
    <row r="647" spans="2:4" x14ac:dyDescent="0.25">
      <c r="B647" s="48">
        <v>45222</v>
      </c>
      <c r="C647" s="47">
        <v>15.263235092163089</v>
      </c>
      <c r="D647">
        <v>8.5058000000000007</v>
      </c>
    </row>
    <row r="648" spans="2:4" x14ac:dyDescent="0.25">
      <c r="B648" s="48">
        <v>45223</v>
      </c>
      <c r="C648" s="47">
        <v>15.462272644042971</v>
      </c>
      <c r="D648">
        <v>5.6025</v>
      </c>
    </row>
    <row r="649" spans="2:4" x14ac:dyDescent="0.25">
      <c r="B649" s="48">
        <v>45224</v>
      </c>
      <c r="C649" s="47">
        <v>15.09368324279785</v>
      </c>
      <c r="D649">
        <v>4.7271000000000001</v>
      </c>
    </row>
    <row r="650" spans="2:4" x14ac:dyDescent="0.25">
      <c r="B650" s="48">
        <v>45225</v>
      </c>
      <c r="C650" s="47">
        <v>15.03839683532715</v>
      </c>
      <c r="D650">
        <v>6.9912999999999998</v>
      </c>
    </row>
    <row r="651" spans="2:4" x14ac:dyDescent="0.25">
      <c r="B651" s="48">
        <v>45226</v>
      </c>
      <c r="C651" s="47">
        <v>15.14897441864014</v>
      </c>
      <c r="D651">
        <v>5.5917000000000003</v>
      </c>
    </row>
    <row r="652" spans="2:4" x14ac:dyDescent="0.25">
      <c r="B652" s="48">
        <v>45229</v>
      </c>
      <c r="C652" s="47">
        <v>15.20426082611084</v>
      </c>
      <c r="D652">
        <v>5.5597000000000003</v>
      </c>
    </row>
    <row r="653" spans="2:4" x14ac:dyDescent="0.25">
      <c r="B653" s="48">
        <v>45230</v>
      </c>
      <c r="C653" s="47">
        <v>15.13054370880127</v>
      </c>
      <c r="D653">
        <v>4.6635</v>
      </c>
    </row>
    <row r="654" spans="2:4" x14ac:dyDescent="0.25">
      <c r="B654" s="48">
        <v>45231</v>
      </c>
      <c r="C654" s="47">
        <v>15.112112998962401</v>
      </c>
      <c r="D654">
        <v>5.9432999999999998</v>
      </c>
    </row>
    <row r="655" spans="2:4" x14ac:dyDescent="0.25">
      <c r="B655" s="48">
        <v>45232</v>
      </c>
      <c r="C655" s="47">
        <v>15.379341125488279</v>
      </c>
      <c r="D655">
        <v>9.2624999999999993</v>
      </c>
    </row>
    <row r="656" spans="2:4" x14ac:dyDescent="0.25">
      <c r="B656" s="48">
        <v>45233</v>
      </c>
      <c r="C656" s="47">
        <v>15.370125770568849</v>
      </c>
      <c r="D656">
        <v>8.6742000000000008</v>
      </c>
    </row>
    <row r="657" spans="2:4" x14ac:dyDescent="0.25">
      <c r="B657" s="48">
        <v>45236</v>
      </c>
      <c r="C657" s="47">
        <v>15.53599166870117</v>
      </c>
      <c r="D657">
        <v>3.9790000000000001</v>
      </c>
    </row>
    <row r="658" spans="2:4" x14ac:dyDescent="0.25">
      <c r="B658" s="48">
        <v>45237</v>
      </c>
      <c r="C658" s="47">
        <v>15.471487998962401</v>
      </c>
      <c r="D658">
        <v>2.8755000000000002</v>
      </c>
    </row>
    <row r="659" spans="2:4" x14ac:dyDescent="0.25">
      <c r="B659" s="48">
        <v>45238</v>
      </c>
      <c r="C659" s="47">
        <v>15.36091136932373</v>
      </c>
      <c r="D659">
        <v>3.3140000000000001</v>
      </c>
    </row>
    <row r="660" spans="2:4" x14ac:dyDescent="0.25">
      <c r="B660" s="48">
        <v>45239</v>
      </c>
      <c r="C660" s="47">
        <v>15.07525539398193</v>
      </c>
      <c r="D660">
        <v>7.3295000000000003</v>
      </c>
    </row>
    <row r="661" spans="2:4" x14ac:dyDescent="0.25">
      <c r="B661" s="48">
        <v>45240</v>
      </c>
      <c r="C661" s="47">
        <v>15.324050903320311</v>
      </c>
      <c r="D661">
        <v>5.0994999999999999</v>
      </c>
    </row>
    <row r="662" spans="2:4" x14ac:dyDescent="0.25">
      <c r="B662" s="48">
        <v>45243</v>
      </c>
      <c r="C662" s="47">
        <v>15.250332832336429</v>
      </c>
      <c r="D662">
        <v>4.5797999999999996</v>
      </c>
    </row>
    <row r="663" spans="2:4" x14ac:dyDescent="0.25">
      <c r="B663" s="48">
        <v>45244</v>
      </c>
      <c r="C663" s="47">
        <v>15.59127902984619</v>
      </c>
      <c r="D663">
        <v>6.9020000000000001</v>
      </c>
    </row>
    <row r="664" spans="2:4" x14ac:dyDescent="0.25">
      <c r="B664" s="48">
        <v>45245</v>
      </c>
      <c r="C664" s="47">
        <v>15.996725082397459</v>
      </c>
      <c r="D664">
        <v>10.004099999999999</v>
      </c>
    </row>
    <row r="665" spans="2:4" x14ac:dyDescent="0.25">
      <c r="B665" s="48">
        <v>45246</v>
      </c>
      <c r="C665" s="47">
        <v>15.91379547119141</v>
      </c>
      <c r="D665">
        <v>5.8596000000000004</v>
      </c>
    </row>
    <row r="666" spans="2:4" x14ac:dyDescent="0.25">
      <c r="B666" s="48">
        <v>45247</v>
      </c>
      <c r="C666" s="47">
        <v>16.134946823120121</v>
      </c>
      <c r="D666">
        <v>4.2493999999999996</v>
      </c>
    </row>
    <row r="667" spans="2:4" x14ac:dyDescent="0.25">
      <c r="B667" s="48">
        <v>45250</v>
      </c>
      <c r="C667" s="47">
        <v>16.162590026855469</v>
      </c>
      <c r="D667">
        <v>5.0523999999999996</v>
      </c>
    </row>
    <row r="668" spans="2:4" x14ac:dyDescent="0.25">
      <c r="B668" s="48">
        <v>45251</v>
      </c>
      <c r="C668" s="47">
        <v>16.070444107055661</v>
      </c>
      <c r="D668">
        <v>4.7022000000000004</v>
      </c>
    </row>
    <row r="669" spans="2:4" x14ac:dyDescent="0.25">
      <c r="B669" s="48">
        <v>45252</v>
      </c>
      <c r="C669" s="47">
        <v>16.19944953918457</v>
      </c>
      <c r="D669">
        <v>5.4356999999999998</v>
      </c>
    </row>
    <row r="670" spans="2:4" x14ac:dyDescent="0.25">
      <c r="B670" s="48">
        <v>45254</v>
      </c>
      <c r="C670" s="47">
        <v>16.098087310791019</v>
      </c>
      <c r="D670">
        <v>2.7433999999999998</v>
      </c>
    </row>
    <row r="671" spans="2:4" x14ac:dyDescent="0.25">
      <c r="B671" s="48">
        <v>45257</v>
      </c>
      <c r="C671" s="47">
        <v>16.005941390991211</v>
      </c>
      <c r="D671">
        <v>3.7574000000000001</v>
      </c>
    </row>
    <row r="672" spans="2:4" x14ac:dyDescent="0.25">
      <c r="B672" s="48">
        <v>45258</v>
      </c>
      <c r="C672" s="47">
        <v>16.24552154541016</v>
      </c>
      <c r="D672">
        <v>6.7839</v>
      </c>
    </row>
    <row r="673" spans="2:4" x14ac:dyDescent="0.25">
      <c r="B673" s="48">
        <v>45259</v>
      </c>
      <c r="C673" s="47">
        <v>16.236309051513668</v>
      </c>
      <c r="D673">
        <v>6.0391000000000004</v>
      </c>
    </row>
    <row r="674" spans="2:4" x14ac:dyDescent="0.25">
      <c r="B674" s="48">
        <v>45260</v>
      </c>
      <c r="C674" s="47">
        <v>16.17180252075195</v>
      </c>
      <c r="D674">
        <v>5.5414000000000003</v>
      </c>
    </row>
    <row r="675" spans="2:4" x14ac:dyDescent="0.25">
      <c r="B675" s="48">
        <v>45261</v>
      </c>
      <c r="C675" s="47">
        <v>16.33766937255859</v>
      </c>
      <c r="D675">
        <v>4.766</v>
      </c>
    </row>
    <row r="676" spans="2:4" x14ac:dyDescent="0.25">
      <c r="B676" s="48">
        <v>45264</v>
      </c>
      <c r="C676" s="47">
        <v>16.300809860229489</v>
      </c>
      <c r="D676">
        <v>5.5885999999999996</v>
      </c>
    </row>
    <row r="677" spans="2:4" x14ac:dyDescent="0.25">
      <c r="B677" s="48">
        <v>45265</v>
      </c>
      <c r="C677" s="47">
        <v>16.088871002197269</v>
      </c>
      <c r="D677">
        <v>5.0160999999999998</v>
      </c>
    </row>
    <row r="678" spans="2:4" x14ac:dyDescent="0.25">
      <c r="B678" s="48">
        <v>45266</v>
      </c>
      <c r="C678" s="47">
        <v>16.300809860229489</v>
      </c>
      <c r="D678">
        <v>6.8913000000000002</v>
      </c>
    </row>
    <row r="679" spans="2:4" x14ac:dyDescent="0.25">
      <c r="B679" s="48">
        <v>45267</v>
      </c>
      <c r="C679" s="47">
        <v>16.25473594665527</v>
      </c>
      <c r="D679">
        <v>3.34</v>
      </c>
    </row>
    <row r="680" spans="2:4" x14ac:dyDescent="0.25">
      <c r="B680" s="48">
        <v>45268</v>
      </c>
      <c r="C680" s="47">
        <v>16.485103607177731</v>
      </c>
      <c r="D680">
        <v>4.5811000000000002</v>
      </c>
    </row>
    <row r="681" spans="2:4" x14ac:dyDescent="0.25">
      <c r="B681" s="48">
        <v>45271</v>
      </c>
      <c r="C681" s="47">
        <v>16.04279708862305</v>
      </c>
      <c r="D681">
        <v>8.5167999999999999</v>
      </c>
    </row>
    <row r="682" spans="2:4" x14ac:dyDescent="0.25">
      <c r="B682" s="48">
        <v>45272</v>
      </c>
      <c r="C682" s="47">
        <v>16.17180252075195</v>
      </c>
      <c r="D682">
        <v>5.5209999999999999</v>
      </c>
    </row>
    <row r="683" spans="2:4" x14ac:dyDescent="0.25">
      <c r="B683" s="48">
        <v>45273</v>
      </c>
      <c r="C683" s="47">
        <v>16.098087310791019</v>
      </c>
      <c r="D683">
        <v>9.0256000000000007</v>
      </c>
    </row>
    <row r="684" spans="2:4" x14ac:dyDescent="0.25">
      <c r="B684" s="48">
        <v>45274</v>
      </c>
      <c r="C684" s="47">
        <v>16.927410125732418</v>
      </c>
      <c r="D684">
        <v>14.029199999999999</v>
      </c>
    </row>
    <row r="685" spans="2:4" x14ac:dyDescent="0.25">
      <c r="B685" s="48">
        <v>45275</v>
      </c>
      <c r="C685" s="47">
        <v>17.203851699829102</v>
      </c>
      <c r="D685">
        <v>8.2622999999999998</v>
      </c>
    </row>
    <row r="686" spans="2:4" x14ac:dyDescent="0.25">
      <c r="B686" s="48">
        <v>45278</v>
      </c>
      <c r="C686" s="47">
        <v>17.323640823364261</v>
      </c>
      <c r="D686">
        <v>4.8982000000000001</v>
      </c>
    </row>
    <row r="687" spans="2:4" x14ac:dyDescent="0.25">
      <c r="B687" s="48">
        <v>45279</v>
      </c>
      <c r="C687" s="47">
        <v>17.31442832946777</v>
      </c>
      <c r="D687">
        <v>5.2577999999999996</v>
      </c>
    </row>
    <row r="688" spans="2:4" x14ac:dyDescent="0.25">
      <c r="B688" s="48">
        <v>45280</v>
      </c>
      <c r="C688" s="47">
        <v>16.97348594665527</v>
      </c>
      <c r="D688">
        <v>6.181</v>
      </c>
    </row>
    <row r="689" spans="2:4" x14ac:dyDescent="0.25">
      <c r="B689" s="48">
        <v>45281</v>
      </c>
      <c r="C689" s="47">
        <v>16.964267730712891</v>
      </c>
      <c r="D689">
        <v>7.7638999999999996</v>
      </c>
    </row>
    <row r="690" spans="2:4" x14ac:dyDescent="0.25">
      <c r="B690" s="48">
        <v>45282</v>
      </c>
      <c r="C690" s="47">
        <v>17.286787033081051</v>
      </c>
      <c r="D690">
        <v>7.0180999999999996</v>
      </c>
    </row>
    <row r="691" spans="2:4" x14ac:dyDescent="0.25">
      <c r="B691" s="48">
        <v>45286</v>
      </c>
      <c r="C691" s="47">
        <v>17.001129150390621</v>
      </c>
      <c r="D691">
        <v>3.8662000000000001</v>
      </c>
    </row>
    <row r="692" spans="2:4" x14ac:dyDescent="0.25">
      <c r="B692" s="48">
        <v>45287</v>
      </c>
      <c r="C692" s="47">
        <v>17.139348983764648</v>
      </c>
      <c r="D692">
        <v>4.3380000000000001</v>
      </c>
    </row>
    <row r="693" spans="2:4" x14ac:dyDescent="0.25">
      <c r="B693" s="48">
        <v>45288</v>
      </c>
      <c r="C693" s="47">
        <v>17.102487564086911</v>
      </c>
      <c r="D693">
        <v>3.3087</v>
      </c>
    </row>
    <row r="694" spans="2:4" x14ac:dyDescent="0.25">
      <c r="B694" s="48">
        <v>45289</v>
      </c>
      <c r="C694" s="47">
        <v>16.936624526977539</v>
      </c>
      <c r="D694">
        <v>2.8647999999999998</v>
      </c>
    </row>
    <row r="695" spans="2:4" x14ac:dyDescent="0.25">
      <c r="B695" s="48">
        <v>45293</v>
      </c>
      <c r="C695" s="47">
        <v>16.660182952880859</v>
      </c>
      <c r="D695">
        <v>8.9635999999999996</v>
      </c>
    </row>
    <row r="696" spans="2:4" x14ac:dyDescent="0.25">
      <c r="B696" s="48">
        <v>45294</v>
      </c>
      <c r="C696" s="47">
        <v>16.623325347900391</v>
      </c>
      <c r="D696">
        <v>12.408799999999999</v>
      </c>
    </row>
    <row r="697" spans="2:4" x14ac:dyDescent="0.25">
      <c r="B697" s="48">
        <v>45295</v>
      </c>
      <c r="C697" s="47">
        <v>16.650966644287109</v>
      </c>
      <c r="D697">
        <v>6.7076000000000002</v>
      </c>
    </row>
    <row r="698" spans="2:4" x14ac:dyDescent="0.25">
      <c r="B698" s="48">
        <v>45296</v>
      </c>
      <c r="C698" s="47">
        <v>16.67861366271973</v>
      </c>
      <c r="D698">
        <v>10.479200000000001</v>
      </c>
    </row>
    <row r="699" spans="2:4" x14ac:dyDescent="0.25">
      <c r="B699" s="48">
        <v>45299</v>
      </c>
      <c r="C699" s="47">
        <v>16.95505332946777</v>
      </c>
      <c r="D699">
        <v>7.5385999999999997</v>
      </c>
    </row>
    <row r="700" spans="2:4" x14ac:dyDescent="0.25">
      <c r="B700" s="48">
        <v>45300</v>
      </c>
      <c r="C700" s="47">
        <v>16.816835403442379</v>
      </c>
      <c r="D700">
        <v>6.1060999999999996</v>
      </c>
    </row>
    <row r="701" spans="2:4" x14ac:dyDescent="0.25">
      <c r="B701" s="48">
        <v>45301</v>
      </c>
      <c r="C701" s="47">
        <v>16.67861366271973</v>
      </c>
      <c r="D701">
        <v>13.5726</v>
      </c>
    </row>
    <row r="702" spans="2:4" x14ac:dyDescent="0.25">
      <c r="B702" s="48">
        <v>45302</v>
      </c>
      <c r="C702" s="47">
        <v>17.342071533203121</v>
      </c>
      <c r="D702">
        <v>17.927299999999999</v>
      </c>
    </row>
    <row r="703" spans="2:4" x14ac:dyDescent="0.25">
      <c r="B703" s="48">
        <v>45303</v>
      </c>
      <c r="C703" s="47">
        <v>18.060819625854489</v>
      </c>
      <c r="D703">
        <v>21.182400000000001</v>
      </c>
    </row>
    <row r="704" spans="2:4" x14ac:dyDescent="0.25">
      <c r="B704" s="48">
        <v>45307</v>
      </c>
      <c r="C704" s="47">
        <v>17.94102668762207</v>
      </c>
      <c r="D704">
        <v>13.41</v>
      </c>
    </row>
    <row r="705" spans="2:4" x14ac:dyDescent="0.25">
      <c r="B705" s="48">
        <v>45308</v>
      </c>
      <c r="C705" s="47">
        <v>18.005533218383789</v>
      </c>
      <c r="D705">
        <v>11.273099999999999</v>
      </c>
    </row>
    <row r="706" spans="2:4" x14ac:dyDescent="0.25">
      <c r="B706" s="48">
        <v>45309</v>
      </c>
      <c r="C706" s="47">
        <v>18.272756576538089</v>
      </c>
      <c r="D706">
        <v>9.8917999999999999</v>
      </c>
    </row>
    <row r="707" spans="2:4" x14ac:dyDescent="0.25">
      <c r="B707" s="48">
        <v>45310</v>
      </c>
      <c r="C707" s="47">
        <v>18.420192718505859</v>
      </c>
      <c r="D707">
        <v>7.9210000000000003</v>
      </c>
    </row>
    <row r="708" spans="2:4" x14ac:dyDescent="0.25">
      <c r="B708" s="48">
        <v>45313</v>
      </c>
      <c r="C708" s="47">
        <v>18.309616088867191</v>
      </c>
      <c r="D708">
        <v>5.8232999999999997</v>
      </c>
    </row>
    <row r="709" spans="2:4" x14ac:dyDescent="0.25">
      <c r="B709" s="48">
        <v>45314</v>
      </c>
      <c r="C709" s="47">
        <v>18.23590087890625</v>
      </c>
      <c r="D709">
        <v>8.9848999999999997</v>
      </c>
    </row>
    <row r="710" spans="2:4" x14ac:dyDescent="0.25">
      <c r="B710" s="48">
        <v>45315</v>
      </c>
      <c r="C710" s="47">
        <v>18.420192718505859</v>
      </c>
      <c r="D710">
        <v>10.476100000000001</v>
      </c>
    </row>
    <row r="711" spans="2:4" x14ac:dyDescent="0.25">
      <c r="B711" s="48">
        <v>45316</v>
      </c>
      <c r="C711" s="47">
        <v>18.5123405456543</v>
      </c>
      <c r="D711">
        <v>7.2904999999999998</v>
      </c>
    </row>
    <row r="712" spans="2:4" x14ac:dyDescent="0.25">
      <c r="B712" s="48">
        <v>45317</v>
      </c>
      <c r="C712" s="47">
        <v>18.63212966918945</v>
      </c>
      <c r="D712">
        <v>5.6962999999999999</v>
      </c>
    </row>
    <row r="713" spans="2:4" x14ac:dyDescent="0.25">
      <c r="B713" s="48">
        <v>45320</v>
      </c>
      <c r="C713" s="47">
        <v>18.586057662963871</v>
      </c>
      <c r="D713">
        <v>5.2838000000000003</v>
      </c>
    </row>
    <row r="714" spans="2:4" x14ac:dyDescent="0.25">
      <c r="B714" s="48">
        <v>45321</v>
      </c>
      <c r="C714" s="47">
        <v>18.383335113525391</v>
      </c>
      <c r="D714">
        <v>6.4097</v>
      </c>
    </row>
    <row r="715" spans="2:4" x14ac:dyDescent="0.25">
      <c r="B715" s="48">
        <v>45322</v>
      </c>
      <c r="C715" s="47">
        <v>18.30040168762207</v>
      </c>
      <c r="D715">
        <v>6.5942999999999996</v>
      </c>
    </row>
    <row r="716" spans="2:4" x14ac:dyDescent="0.25">
      <c r="B716" s="48">
        <v>45323</v>
      </c>
      <c r="C716" s="47">
        <v>18.604486465454102</v>
      </c>
      <c r="D716">
        <v>8.2513000000000005</v>
      </c>
    </row>
    <row r="717" spans="2:4" x14ac:dyDescent="0.25">
      <c r="B717" s="48">
        <v>45324</v>
      </c>
      <c r="C717" s="47">
        <v>18.751920700073239</v>
      </c>
      <c r="D717">
        <v>6.1178999999999997</v>
      </c>
    </row>
    <row r="718" spans="2:4" x14ac:dyDescent="0.25">
      <c r="B718" s="48">
        <v>45327</v>
      </c>
      <c r="C718" s="47">
        <v>18.70584869384766</v>
      </c>
      <c r="D718">
        <v>3.6048</v>
      </c>
    </row>
    <row r="719" spans="2:4" x14ac:dyDescent="0.25">
      <c r="B719" s="48">
        <v>45328</v>
      </c>
      <c r="C719" s="47">
        <v>18.99150466918945</v>
      </c>
      <c r="D719">
        <v>7.5494000000000003</v>
      </c>
    </row>
    <row r="720" spans="2:4" x14ac:dyDescent="0.25">
      <c r="B720" s="48">
        <v>45329</v>
      </c>
      <c r="C720" s="47">
        <v>18.825641632080082</v>
      </c>
      <c r="D720">
        <v>5.7390999999999996</v>
      </c>
    </row>
    <row r="721" spans="2:4" x14ac:dyDescent="0.25">
      <c r="B721" s="48">
        <v>45330</v>
      </c>
      <c r="C721" s="47">
        <v>18.604486465454102</v>
      </c>
      <c r="D721">
        <v>6.8856999999999999</v>
      </c>
    </row>
    <row r="722" spans="2:4" x14ac:dyDescent="0.25">
      <c r="B722" s="48">
        <v>45331</v>
      </c>
      <c r="C722" s="47">
        <v>18.521554946899411</v>
      </c>
      <c r="D722">
        <v>5.8952999999999998</v>
      </c>
    </row>
    <row r="723" spans="2:4" x14ac:dyDescent="0.25">
      <c r="B723" s="48">
        <v>45334</v>
      </c>
      <c r="C723" s="47">
        <v>18.55841064453125</v>
      </c>
      <c r="D723">
        <v>4.2531999999999996</v>
      </c>
    </row>
    <row r="724" spans="2:4" x14ac:dyDescent="0.25">
      <c r="B724" s="48">
        <v>45335</v>
      </c>
      <c r="C724" s="47">
        <v>18.30040168762207</v>
      </c>
      <c r="D724">
        <v>6.9141000000000004</v>
      </c>
    </row>
    <row r="725" spans="2:4" x14ac:dyDescent="0.25">
      <c r="B725" s="48">
        <v>45336</v>
      </c>
      <c r="C725" s="47">
        <v>18.595272064208981</v>
      </c>
      <c r="D725">
        <v>7.5911</v>
      </c>
    </row>
    <row r="726" spans="2:4" x14ac:dyDescent="0.25">
      <c r="B726" s="48">
        <v>45337</v>
      </c>
      <c r="C726" s="47">
        <v>18.715061187744141</v>
      </c>
      <c r="D726">
        <v>5.2474999999999996</v>
      </c>
    </row>
    <row r="727" spans="2:4" x14ac:dyDescent="0.25">
      <c r="B727" s="48">
        <v>45338</v>
      </c>
      <c r="C727" s="47">
        <v>18.86249923706055</v>
      </c>
      <c r="D727">
        <v>5.5166000000000004</v>
      </c>
    </row>
    <row r="728" spans="2:4" x14ac:dyDescent="0.25">
      <c r="B728" s="48">
        <v>45342</v>
      </c>
      <c r="C728" s="47">
        <v>18.44783782958984</v>
      </c>
      <c r="D728">
        <v>7.5872000000000002</v>
      </c>
    </row>
    <row r="729" spans="2:4" x14ac:dyDescent="0.25">
      <c r="B729" s="48">
        <v>45343</v>
      </c>
      <c r="C729" s="47">
        <v>18.2266845703125</v>
      </c>
      <c r="D729">
        <v>6.1914999999999996</v>
      </c>
    </row>
    <row r="730" spans="2:4" x14ac:dyDescent="0.25">
      <c r="B730" s="48">
        <v>45344</v>
      </c>
      <c r="C730" s="47">
        <v>18.715061187744141</v>
      </c>
      <c r="D730">
        <v>6.5902000000000003</v>
      </c>
    </row>
    <row r="731" spans="2:4" x14ac:dyDescent="0.25">
      <c r="B731" s="48">
        <v>45345</v>
      </c>
      <c r="C731" s="47">
        <v>18.530769348144531</v>
      </c>
      <c r="D731">
        <v>4.2282000000000002</v>
      </c>
    </row>
    <row r="732" spans="2:4" x14ac:dyDescent="0.25">
      <c r="B732" s="48">
        <v>45348</v>
      </c>
      <c r="C732" s="47">
        <v>18.420192718505859</v>
      </c>
      <c r="D732">
        <v>5.1456999999999997</v>
      </c>
    </row>
    <row r="733" spans="2:4" x14ac:dyDescent="0.25">
      <c r="B733" s="48">
        <v>45349</v>
      </c>
      <c r="C733" s="47">
        <v>18.429409027099609</v>
      </c>
      <c r="D733">
        <v>2.7515000000000001</v>
      </c>
    </row>
    <row r="734" spans="2:4" x14ac:dyDescent="0.25">
      <c r="B734" s="48">
        <v>45350</v>
      </c>
      <c r="C734" s="47">
        <v>18.383335113525391</v>
      </c>
      <c r="D734">
        <v>4.3445</v>
      </c>
    </row>
    <row r="735" spans="2:4" x14ac:dyDescent="0.25">
      <c r="B735" s="48">
        <v>45351</v>
      </c>
      <c r="C735" s="47">
        <v>18.392547607421879</v>
      </c>
      <c r="D735">
        <v>6.2568999999999999</v>
      </c>
    </row>
    <row r="736" spans="2:4" x14ac:dyDescent="0.25">
      <c r="B736" s="48">
        <v>45352</v>
      </c>
      <c r="C736" s="47">
        <v>18.272756576538089</v>
      </c>
      <c r="D736">
        <v>6.1517999999999997</v>
      </c>
    </row>
    <row r="737" spans="2:4" x14ac:dyDescent="0.25">
      <c r="B737" s="48">
        <v>45355</v>
      </c>
      <c r="C737" s="47">
        <v>18.245113372802731</v>
      </c>
      <c r="D737">
        <v>6.8217999999999996</v>
      </c>
    </row>
    <row r="738" spans="2:4" x14ac:dyDescent="0.25">
      <c r="B738" s="48">
        <v>45356</v>
      </c>
      <c r="C738" s="47">
        <v>17.775165557861332</v>
      </c>
      <c r="D738">
        <v>7.5225999999999997</v>
      </c>
    </row>
    <row r="739" spans="2:4" x14ac:dyDescent="0.25">
      <c r="B739" s="48">
        <v>45357</v>
      </c>
      <c r="C739" s="47">
        <v>17.8120231628418</v>
      </c>
      <c r="D739">
        <v>9.2264999999999997</v>
      </c>
    </row>
    <row r="740" spans="2:4" x14ac:dyDescent="0.25">
      <c r="B740" s="48">
        <v>45358</v>
      </c>
      <c r="C740" s="47">
        <v>17.867307662963871</v>
      </c>
      <c r="D740">
        <v>11.084099999999999</v>
      </c>
    </row>
    <row r="741" spans="2:4" x14ac:dyDescent="0.25">
      <c r="B741" s="48">
        <v>45359</v>
      </c>
      <c r="C741" s="47">
        <v>17.74752044677734</v>
      </c>
      <c r="D741">
        <v>8.1832999999999991</v>
      </c>
    </row>
    <row r="742" spans="2:4" x14ac:dyDescent="0.25">
      <c r="B742" s="48">
        <v>45362</v>
      </c>
      <c r="C742" s="47">
        <v>17.710659027099609</v>
      </c>
      <c r="D742">
        <v>8.5441000000000003</v>
      </c>
    </row>
    <row r="743" spans="2:4" x14ac:dyDescent="0.25">
      <c r="B743" s="48">
        <v>45363</v>
      </c>
      <c r="C743" s="47">
        <v>17.894954681396481</v>
      </c>
      <c r="D743">
        <v>11.415900000000001</v>
      </c>
    </row>
    <row r="744" spans="2:4" x14ac:dyDescent="0.25">
      <c r="B744" s="48">
        <v>45364</v>
      </c>
      <c r="C744" s="47">
        <v>17.867307662963871</v>
      </c>
      <c r="D744">
        <v>7.1710000000000003</v>
      </c>
    </row>
    <row r="745" spans="2:4" x14ac:dyDescent="0.25">
      <c r="B745" s="48">
        <v>45365</v>
      </c>
      <c r="C745" s="47">
        <v>18.116107940673832</v>
      </c>
      <c r="D745">
        <v>8.4769000000000005</v>
      </c>
    </row>
    <row r="746" spans="2:4" x14ac:dyDescent="0.25">
      <c r="B746" s="48">
        <v>45366</v>
      </c>
      <c r="C746" s="47">
        <v>17.71987342834473</v>
      </c>
      <c r="D746">
        <v>13.296099999999999</v>
      </c>
    </row>
    <row r="747" spans="2:4" x14ac:dyDescent="0.25">
      <c r="B747" s="48">
        <v>45369</v>
      </c>
      <c r="C747" s="47">
        <v>17.66458702087402</v>
      </c>
      <c r="D747">
        <v>6.3242000000000003</v>
      </c>
    </row>
    <row r="748" spans="2:4" x14ac:dyDescent="0.25">
      <c r="B748" s="48">
        <v>45370</v>
      </c>
      <c r="C748" s="47">
        <v>17.36971473693848</v>
      </c>
      <c r="D748">
        <v>9.5609999999999999</v>
      </c>
    </row>
    <row r="749" spans="2:4" x14ac:dyDescent="0.25">
      <c r="B749" s="48">
        <v>45371</v>
      </c>
      <c r="C749" s="47">
        <v>17.443435668945309</v>
      </c>
      <c r="D749">
        <v>9.6773000000000007</v>
      </c>
    </row>
    <row r="750" spans="2:4" x14ac:dyDescent="0.25">
      <c r="B750" s="48">
        <v>45372</v>
      </c>
      <c r="C750" s="47">
        <v>16.779973983764648</v>
      </c>
      <c r="D750">
        <v>22.905000000000001</v>
      </c>
    </row>
    <row r="751" spans="2:4" x14ac:dyDescent="0.25">
      <c r="B751" s="48">
        <v>45373</v>
      </c>
      <c r="C751" s="47">
        <v>16.32845306396484</v>
      </c>
      <c r="D751">
        <v>15.028499999999999</v>
      </c>
    </row>
    <row r="752" spans="2:4" x14ac:dyDescent="0.25">
      <c r="B752" s="48">
        <v>45376</v>
      </c>
      <c r="C752" s="47">
        <v>16.24552154541016</v>
      </c>
      <c r="D752">
        <v>12.454499999999999</v>
      </c>
    </row>
    <row r="753" spans="2:4" x14ac:dyDescent="0.25">
      <c r="B753" s="48">
        <v>45377</v>
      </c>
      <c r="C753" s="47">
        <v>16.35610198974609</v>
      </c>
      <c r="D753">
        <v>10.5009</v>
      </c>
    </row>
    <row r="754" spans="2:4" x14ac:dyDescent="0.25">
      <c r="B754" s="48">
        <v>45378</v>
      </c>
      <c r="C754" s="47">
        <v>16.392959594726559</v>
      </c>
      <c r="D754">
        <v>6.0746000000000002</v>
      </c>
    </row>
    <row r="755" spans="2:4" x14ac:dyDescent="0.25">
      <c r="B755" s="48">
        <v>45379</v>
      </c>
      <c r="C755" s="47">
        <v>16.521965026855469</v>
      </c>
      <c r="D755">
        <v>7.0195999999999996</v>
      </c>
    </row>
    <row r="756" spans="2:4" x14ac:dyDescent="0.25">
      <c r="B756" s="48">
        <v>45383</v>
      </c>
      <c r="C756" s="47">
        <v>16.19944953918457</v>
      </c>
      <c r="D756">
        <v>14.601599999999999</v>
      </c>
    </row>
    <row r="757" spans="2:4" x14ac:dyDescent="0.25">
      <c r="B757" s="48">
        <v>45384</v>
      </c>
      <c r="C757" s="47">
        <v>16.19944953918457</v>
      </c>
      <c r="D757">
        <v>12.686999999999999</v>
      </c>
    </row>
    <row r="758" spans="2:4" x14ac:dyDescent="0.25">
      <c r="B758" s="48">
        <v>45385</v>
      </c>
      <c r="C758" s="47">
        <v>16.32845306396484</v>
      </c>
      <c r="D758">
        <v>8.8713999999999995</v>
      </c>
    </row>
    <row r="759" spans="2:4" x14ac:dyDescent="0.25">
      <c r="B759" s="48">
        <v>45386</v>
      </c>
      <c r="C759" s="47">
        <v>16.35610198974609</v>
      </c>
      <c r="D759">
        <v>12.7165</v>
      </c>
    </row>
    <row r="760" spans="2:4" x14ac:dyDescent="0.25">
      <c r="B760" s="48">
        <v>45387</v>
      </c>
      <c r="C760" s="47">
        <v>16.429817199707031</v>
      </c>
      <c r="D760">
        <v>5.9672000000000001</v>
      </c>
    </row>
    <row r="761" spans="2:4" x14ac:dyDescent="0.25">
      <c r="B761" s="48">
        <v>45390</v>
      </c>
      <c r="C761" s="47">
        <v>16.457460403442379</v>
      </c>
      <c r="D761">
        <v>8.7165999999999997</v>
      </c>
    </row>
    <row r="762" spans="2:4" x14ac:dyDescent="0.25">
      <c r="B762" s="48">
        <v>45391</v>
      </c>
      <c r="C762" s="47">
        <v>16.76154708862305</v>
      </c>
      <c r="D762">
        <v>13.4679</v>
      </c>
    </row>
    <row r="763" spans="2:4" x14ac:dyDescent="0.25">
      <c r="B763" s="48">
        <v>45392</v>
      </c>
      <c r="C763" s="47">
        <v>16.586467742919918</v>
      </c>
      <c r="D763">
        <v>11.553000000000001</v>
      </c>
    </row>
    <row r="764" spans="2:4" x14ac:dyDescent="0.25">
      <c r="B764" s="48">
        <v>45393</v>
      </c>
      <c r="C764" s="47">
        <v>16.531181335449219</v>
      </c>
      <c r="D764">
        <v>13.389200000000001</v>
      </c>
    </row>
    <row r="765" spans="2:4" x14ac:dyDescent="0.25">
      <c r="B765" s="48">
        <v>45394</v>
      </c>
      <c r="C765" s="47">
        <v>16.32845306396484</v>
      </c>
      <c r="D765">
        <v>17.657699999999998</v>
      </c>
    </row>
    <row r="766" spans="2:4" x14ac:dyDescent="0.25">
      <c r="B766" s="48">
        <v>45397</v>
      </c>
      <c r="C766" s="47">
        <v>15.91379547119141</v>
      </c>
      <c r="D766">
        <v>11.3743</v>
      </c>
    </row>
    <row r="767" spans="2:4" x14ac:dyDescent="0.25">
      <c r="B767" s="48">
        <v>45398</v>
      </c>
      <c r="C767" s="47">
        <v>15.711067199707029</v>
      </c>
      <c r="D767">
        <v>13.033300000000001</v>
      </c>
    </row>
    <row r="768" spans="2:4" x14ac:dyDescent="0.25">
      <c r="B768" s="48">
        <v>45399</v>
      </c>
      <c r="C768" s="47">
        <v>15.618924140930179</v>
      </c>
      <c r="D768">
        <v>17.034099999999999</v>
      </c>
    </row>
    <row r="769" spans="2:4" x14ac:dyDescent="0.25">
      <c r="B769" s="48">
        <v>45400</v>
      </c>
      <c r="C769" s="47">
        <v>15.213475227355961</v>
      </c>
      <c r="D769">
        <v>31.7029</v>
      </c>
    </row>
    <row r="770" spans="2:4" x14ac:dyDescent="0.25">
      <c r="B770" s="48">
        <v>45401</v>
      </c>
      <c r="C770" s="47">
        <v>15.48991584777832</v>
      </c>
      <c r="D770">
        <v>16.182300000000001</v>
      </c>
    </row>
    <row r="771" spans="2:4" x14ac:dyDescent="0.25">
      <c r="B771" s="48">
        <v>45404</v>
      </c>
      <c r="C771" s="47">
        <v>15.94143676757812</v>
      </c>
      <c r="D771">
        <v>19.944700000000001</v>
      </c>
    </row>
    <row r="772" spans="2:4" x14ac:dyDescent="0.25">
      <c r="B772" s="48">
        <v>45405</v>
      </c>
      <c r="C772" s="47">
        <v>15.81243228912354</v>
      </c>
      <c r="D772">
        <v>8.8323999999999998</v>
      </c>
    </row>
    <row r="773" spans="2:4" x14ac:dyDescent="0.25">
      <c r="B773" s="48">
        <v>45406</v>
      </c>
      <c r="C773" s="47">
        <v>15.70185470581055</v>
      </c>
      <c r="D773">
        <v>10.685</v>
      </c>
    </row>
    <row r="774" spans="2:4" x14ac:dyDescent="0.25">
      <c r="B774" s="48">
        <v>45407</v>
      </c>
      <c r="C774" s="47">
        <v>15.674211502075201</v>
      </c>
      <c r="D774">
        <v>10.657299999999999</v>
      </c>
    </row>
    <row r="775" spans="2:4" x14ac:dyDescent="0.25">
      <c r="B775" s="48">
        <v>45408</v>
      </c>
      <c r="C775" s="47">
        <v>15.60971069335938</v>
      </c>
      <c r="D775">
        <v>8.8450000000000006</v>
      </c>
    </row>
    <row r="776" spans="2:4" x14ac:dyDescent="0.25">
      <c r="B776" s="48">
        <v>45411</v>
      </c>
      <c r="C776" s="47">
        <v>15.637351036071779</v>
      </c>
      <c r="D776">
        <v>7.4264999999999999</v>
      </c>
    </row>
    <row r="777" spans="2:4" x14ac:dyDescent="0.25">
      <c r="B777" s="48">
        <v>45412</v>
      </c>
      <c r="C777" s="47">
        <v>15.397768974304199</v>
      </c>
      <c r="D777">
        <v>11.3491</v>
      </c>
    </row>
    <row r="778" spans="2:4" x14ac:dyDescent="0.25">
      <c r="B778" s="48">
        <v>45413</v>
      </c>
      <c r="C778" s="47">
        <v>15.453060150146481</v>
      </c>
      <c r="D778">
        <v>6.9661999999999997</v>
      </c>
    </row>
    <row r="779" spans="2:4" x14ac:dyDescent="0.25">
      <c r="B779" s="48">
        <v>45414</v>
      </c>
      <c r="C779" s="47">
        <v>15.545205116271971</v>
      </c>
      <c r="D779">
        <v>8.7166999999999994</v>
      </c>
    </row>
    <row r="780" spans="2:4" x14ac:dyDescent="0.25">
      <c r="B780" s="48">
        <v>45415</v>
      </c>
      <c r="C780" s="47">
        <v>15.60049438476562</v>
      </c>
      <c r="D780">
        <v>4.0353000000000003</v>
      </c>
    </row>
    <row r="781" spans="2:4" x14ac:dyDescent="0.25">
      <c r="B781" s="48">
        <v>45418</v>
      </c>
      <c r="C781" s="47">
        <v>15.637351036071779</v>
      </c>
      <c r="D781">
        <v>4.2096999999999998</v>
      </c>
    </row>
    <row r="782" spans="2:4" x14ac:dyDescent="0.25">
      <c r="B782" s="48">
        <v>45419</v>
      </c>
      <c r="C782" s="47">
        <v>15.784786224365231</v>
      </c>
      <c r="D782">
        <v>8.8431999999999995</v>
      </c>
    </row>
    <row r="783" spans="2:4" x14ac:dyDescent="0.25">
      <c r="B783" s="48">
        <v>45420</v>
      </c>
      <c r="C783" s="47">
        <v>15.74792957305908</v>
      </c>
      <c r="D783">
        <v>4.7390999999999996</v>
      </c>
    </row>
    <row r="784" spans="2:4" x14ac:dyDescent="0.25">
      <c r="B784" s="48">
        <v>45421</v>
      </c>
      <c r="C784" s="47">
        <v>15.637351036071779</v>
      </c>
      <c r="D784">
        <v>12.308400000000001</v>
      </c>
    </row>
    <row r="785" spans="2:4" x14ac:dyDescent="0.25">
      <c r="B785" s="48">
        <v>45422</v>
      </c>
      <c r="C785" s="47">
        <v>15.545205116271971</v>
      </c>
      <c r="D785">
        <v>10.3407</v>
      </c>
    </row>
    <row r="786" spans="2:4" x14ac:dyDescent="0.25">
      <c r="B786" s="48">
        <v>45425</v>
      </c>
      <c r="C786" s="47">
        <v>15.59127902984619</v>
      </c>
      <c r="D786">
        <v>5.9233000000000002</v>
      </c>
    </row>
    <row r="787" spans="2:4" x14ac:dyDescent="0.25">
      <c r="B787" s="48">
        <v>45426</v>
      </c>
      <c r="C787" s="47">
        <v>15.618924140930179</v>
      </c>
      <c r="D787">
        <v>9.3955000000000002</v>
      </c>
    </row>
    <row r="788" spans="2:4" x14ac:dyDescent="0.25">
      <c r="B788" s="48">
        <v>45427</v>
      </c>
      <c r="C788" s="47">
        <v>15.711067199707029</v>
      </c>
      <c r="D788">
        <v>4.0197000000000003</v>
      </c>
    </row>
    <row r="789" spans="2:4" x14ac:dyDescent="0.25">
      <c r="B789" s="48">
        <v>45428</v>
      </c>
      <c r="C789" s="47">
        <v>15.886149406433111</v>
      </c>
      <c r="D789">
        <v>10.753399999999999</v>
      </c>
    </row>
    <row r="790" spans="2:4" x14ac:dyDescent="0.25">
      <c r="B790" s="48">
        <v>45429</v>
      </c>
      <c r="C790" s="47">
        <v>15.784786224365231</v>
      </c>
      <c r="D790">
        <v>7.9859999999999998</v>
      </c>
    </row>
    <row r="791" spans="2:4" x14ac:dyDescent="0.25">
      <c r="B791" s="48">
        <v>45432</v>
      </c>
      <c r="C791" s="47">
        <v>15.784786224365231</v>
      </c>
      <c r="D791">
        <v>6.0960999999999999</v>
      </c>
    </row>
    <row r="792" spans="2:4" x14ac:dyDescent="0.25">
      <c r="B792" s="48">
        <v>45433</v>
      </c>
      <c r="C792" s="47">
        <v>15.674211502075201</v>
      </c>
      <c r="D792">
        <v>7.8897000000000004</v>
      </c>
    </row>
    <row r="793" spans="2:4" x14ac:dyDescent="0.25">
      <c r="B793" s="48">
        <v>45434</v>
      </c>
      <c r="C793" s="47">
        <v>15.91379547119141</v>
      </c>
      <c r="D793">
        <v>8.3856000000000002</v>
      </c>
    </row>
    <row r="794" spans="2:4" x14ac:dyDescent="0.25">
      <c r="B794" s="48">
        <v>45435</v>
      </c>
      <c r="C794" s="47">
        <v>16.03358268737793</v>
      </c>
      <c r="D794">
        <v>9.2492999999999999</v>
      </c>
    </row>
    <row r="795" spans="2:4" x14ac:dyDescent="0.25">
      <c r="B795" s="48">
        <v>45436</v>
      </c>
      <c r="C795" s="47">
        <v>15.996725082397459</v>
      </c>
      <c r="D795">
        <v>9.2409999999999997</v>
      </c>
    </row>
    <row r="796" spans="2:4" x14ac:dyDescent="0.25">
      <c r="B796" s="48">
        <v>45440</v>
      </c>
      <c r="C796" s="47">
        <v>15.959866523742679</v>
      </c>
      <c r="D796">
        <v>11.507999999999999</v>
      </c>
    </row>
    <row r="797" spans="2:4" x14ac:dyDescent="0.25">
      <c r="B797" s="48">
        <v>45441</v>
      </c>
      <c r="C797" s="47">
        <v>15.69264030456543</v>
      </c>
      <c r="D797">
        <v>8.5638000000000005</v>
      </c>
    </row>
    <row r="798" spans="2:4" x14ac:dyDescent="0.25">
      <c r="B798" s="48">
        <v>45442</v>
      </c>
      <c r="C798" s="47">
        <v>15.545205116271971</v>
      </c>
      <c r="D798">
        <v>11.3512</v>
      </c>
    </row>
    <row r="799" spans="2:4" x14ac:dyDescent="0.25">
      <c r="B799" s="48">
        <v>45443</v>
      </c>
      <c r="C799" s="47">
        <v>15.74733734130859</v>
      </c>
      <c r="D799">
        <v>14.2538</v>
      </c>
    </row>
    <row r="800" spans="2:4" x14ac:dyDescent="0.25">
      <c r="B800" s="48">
        <v>45446</v>
      </c>
      <c r="C800" s="47">
        <v>15.841349601745611</v>
      </c>
      <c r="D800">
        <v>8.5853000000000002</v>
      </c>
    </row>
    <row r="801" spans="2:4" x14ac:dyDescent="0.25">
      <c r="B801" s="48">
        <v>45447</v>
      </c>
      <c r="C801" s="47">
        <v>15.79434108734131</v>
      </c>
      <c r="D801">
        <v>8.8228000000000009</v>
      </c>
    </row>
    <row r="802" spans="2:4" x14ac:dyDescent="0.25">
      <c r="B802" s="48">
        <v>45448</v>
      </c>
      <c r="C802" s="47">
        <v>16.12339019775391</v>
      </c>
      <c r="D802">
        <v>7.5132000000000003</v>
      </c>
    </row>
    <row r="803" spans="2:4" x14ac:dyDescent="0.25">
      <c r="B803" s="48">
        <v>45449</v>
      </c>
      <c r="C803" s="47">
        <v>16.490045547485352</v>
      </c>
      <c r="D803">
        <v>7.3860000000000001</v>
      </c>
    </row>
    <row r="804" spans="2:4" x14ac:dyDescent="0.25">
      <c r="B804" s="48">
        <v>45450</v>
      </c>
      <c r="C804" s="47">
        <v>16.931911468505859</v>
      </c>
      <c r="D804">
        <v>11.158200000000001</v>
      </c>
    </row>
    <row r="805" spans="2:4" x14ac:dyDescent="0.25">
      <c r="B805" s="48">
        <v>45453</v>
      </c>
      <c r="C805" s="47">
        <v>16.772087097167969</v>
      </c>
      <c r="D805">
        <v>6.4043000000000001</v>
      </c>
    </row>
    <row r="806" spans="2:4" x14ac:dyDescent="0.25">
      <c r="B806" s="48">
        <v>45454</v>
      </c>
      <c r="C806" s="47">
        <v>16.725082397460941</v>
      </c>
      <c r="D806">
        <v>5.7565</v>
      </c>
    </row>
    <row r="807" spans="2:4" x14ac:dyDescent="0.25">
      <c r="B807" s="48">
        <v>45455</v>
      </c>
      <c r="C807" s="47">
        <v>16.790889739990231</v>
      </c>
      <c r="D807">
        <v>6.0339</v>
      </c>
    </row>
    <row r="808" spans="2:4" x14ac:dyDescent="0.25">
      <c r="B808" s="48">
        <v>45456</v>
      </c>
      <c r="C808" s="47">
        <v>16.74388313293457</v>
      </c>
      <c r="D808">
        <v>6.851</v>
      </c>
    </row>
    <row r="809" spans="2:4" x14ac:dyDescent="0.25">
      <c r="B809" s="48">
        <v>45457</v>
      </c>
      <c r="C809" s="47">
        <v>16.725082397460941</v>
      </c>
      <c r="D809">
        <v>6.6946000000000003</v>
      </c>
    </row>
    <row r="810" spans="2:4" x14ac:dyDescent="0.25">
      <c r="B810" s="48">
        <v>45460</v>
      </c>
      <c r="C810" s="47">
        <v>16.866104125976559</v>
      </c>
      <c r="D810">
        <v>6.3487</v>
      </c>
    </row>
    <row r="811" spans="2:4" x14ac:dyDescent="0.25">
      <c r="B811" s="48">
        <v>45461</v>
      </c>
      <c r="C811" s="47">
        <v>16.837896347045898</v>
      </c>
      <c r="D811">
        <v>10.828099999999999</v>
      </c>
    </row>
    <row r="812" spans="2:4" x14ac:dyDescent="0.25">
      <c r="B812" s="48">
        <v>45463</v>
      </c>
      <c r="C812" s="47">
        <v>17.176349639892582</v>
      </c>
      <c r="D812">
        <v>17.345600000000001</v>
      </c>
    </row>
    <row r="813" spans="2:4" x14ac:dyDescent="0.25">
      <c r="B813" s="48">
        <v>45464</v>
      </c>
      <c r="C813" s="47">
        <v>16.978916168212891</v>
      </c>
      <c r="D813">
        <v>22.822099999999999</v>
      </c>
    </row>
    <row r="814" spans="2:4" x14ac:dyDescent="0.25">
      <c r="B814" s="48">
        <v>45467</v>
      </c>
      <c r="C814" s="47">
        <v>17.054128646850589</v>
      </c>
      <c r="D814">
        <v>5.7587999999999999</v>
      </c>
    </row>
    <row r="815" spans="2:4" x14ac:dyDescent="0.25">
      <c r="B815" s="48">
        <v>45468</v>
      </c>
      <c r="C815" s="47">
        <v>17.242156982421879</v>
      </c>
      <c r="D815">
        <v>8.7331000000000003</v>
      </c>
    </row>
    <row r="816" spans="2:4" x14ac:dyDescent="0.25">
      <c r="B816" s="48">
        <v>45469</v>
      </c>
      <c r="C816" s="47">
        <v>17.129339218139648</v>
      </c>
      <c r="D816">
        <v>8.6934000000000005</v>
      </c>
    </row>
    <row r="817" spans="2:4" x14ac:dyDescent="0.25">
      <c r="B817" s="48">
        <v>45470</v>
      </c>
      <c r="C817" s="47">
        <v>17.514797210693359</v>
      </c>
      <c r="D817">
        <v>8.9492999999999991</v>
      </c>
    </row>
    <row r="818" spans="2:4" x14ac:dyDescent="0.25">
      <c r="B818" s="48">
        <v>45471</v>
      </c>
      <c r="C818" s="47">
        <v>17.50539588928223</v>
      </c>
      <c r="D818">
        <v>9.5203000000000007</v>
      </c>
    </row>
    <row r="819" spans="2:4" x14ac:dyDescent="0.25">
      <c r="B819" s="48">
        <v>45474</v>
      </c>
      <c r="C819" s="47">
        <v>17.637018203735352</v>
      </c>
      <c r="D819">
        <v>8.0641999999999996</v>
      </c>
    </row>
    <row r="820" spans="2:4" x14ac:dyDescent="0.25">
      <c r="B820" s="48">
        <v>45475</v>
      </c>
      <c r="C820" s="47">
        <v>18.07888031005859</v>
      </c>
      <c r="D820">
        <v>10.531700000000001</v>
      </c>
    </row>
    <row r="821" spans="2:4" x14ac:dyDescent="0.25">
      <c r="B821" s="48">
        <v>45476</v>
      </c>
      <c r="C821" s="47">
        <v>18.210500717163089</v>
      </c>
      <c r="D821">
        <v>7.2523999999999997</v>
      </c>
    </row>
    <row r="822" spans="2:4" x14ac:dyDescent="0.25">
      <c r="B822" s="48">
        <v>45478</v>
      </c>
      <c r="C822" s="47">
        <v>18.266910552978519</v>
      </c>
      <c r="D822">
        <v>7.7096</v>
      </c>
    </row>
    <row r="823" spans="2:4" x14ac:dyDescent="0.25">
      <c r="B823" s="48">
        <v>45481</v>
      </c>
      <c r="C823" s="47">
        <v>18.332719802856449</v>
      </c>
      <c r="D823">
        <v>10.9109</v>
      </c>
    </row>
    <row r="824" spans="2:4" x14ac:dyDescent="0.25">
      <c r="B824" s="48">
        <v>45482</v>
      </c>
      <c r="C824" s="47">
        <v>18.14468955993652</v>
      </c>
      <c r="D824">
        <v>12.5867</v>
      </c>
    </row>
    <row r="825" spans="2:4" x14ac:dyDescent="0.25">
      <c r="B825" s="48">
        <v>45483</v>
      </c>
      <c r="C825" s="47">
        <v>18.210500717163089</v>
      </c>
      <c r="D825">
        <v>16.768699999999999</v>
      </c>
    </row>
    <row r="826" spans="2:4" x14ac:dyDescent="0.25">
      <c r="B826" s="48">
        <v>45484</v>
      </c>
      <c r="C826" s="47">
        <v>18.699371337890621</v>
      </c>
      <c r="D826">
        <v>14.459300000000001</v>
      </c>
    </row>
    <row r="827" spans="2:4" x14ac:dyDescent="0.25">
      <c r="B827" s="48">
        <v>45485</v>
      </c>
      <c r="C827" s="47">
        <v>19.178842544555661</v>
      </c>
      <c r="D827">
        <v>10.583500000000001</v>
      </c>
    </row>
    <row r="828" spans="2:4" x14ac:dyDescent="0.25">
      <c r="B828" s="48">
        <v>45488</v>
      </c>
      <c r="C828" s="47">
        <v>19.094230651855469</v>
      </c>
      <c r="D828">
        <v>11.6417</v>
      </c>
    </row>
    <row r="829" spans="2:4" x14ac:dyDescent="0.25">
      <c r="B829" s="48">
        <v>45489</v>
      </c>
      <c r="C829" s="47">
        <v>19.423280715942379</v>
      </c>
      <c r="D829">
        <v>7.1375000000000002</v>
      </c>
    </row>
    <row r="830" spans="2:4" x14ac:dyDescent="0.25">
      <c r="B830" s="48">
        <v>45490</v>
      </c>
      <c r="C830" s="47">
        <v>19.30106353759766</v>
      </c>
      <c r="D830">
        <v>14.389200000000001</v>
      </c>
    </row>
    <row r="831" spans="2:4" x14ac:dyDescent="0.25">
      <c r="B831" s="48">
        <v>45491</v>
      </c>
      <c r="C831" s="47">
        <v>20.918100357055661</v>
      </c>
      <c r="D831">
        <v>42.176099999999998</v>
      </c>
    </row>
    <row r="832" spans="2:4" x14ac:dyDescent="0.25">
      <c r="B832" s="48">
        <v>45492</v>
      </c>
      <c r="C832" s="47">
        <v>20.382223129272461</v>
      </c>
      <c r="D832">
        <v>16.4435</v>
      </c>
    </row>
    <row r="833" spans="2:4" x14ac:dyDescent="0.25">
      <c r="B833" s="48">
        <v>45495</v>
      </c>
      <c r="C833" s="47">
        <v>20.485639572143551</v>
      </c>
      <c r="D833">
        <v>8.4596</v>
      </c>
    </row>
    <row r="834" spans="2:4" x14ac:dyDescent="0.25">
      <c r="B834" s="48">
        <v>45496</v>
      </c>
      <c r="C834" s="47">
        <v>20.75827598571777</v>
      </c>
      <c r="D834">
        <v>9.9923000000000002</v>
      </c>
    </row>
    <row r="835" spans="2:4" x14ac:dyDescent="0.25">
      <c r="B835" s="48">
        <v>45497</v>
      </c>
      <c r="C835" s="47">
        <v>20.551448822021481</v>
      </c>
      <c r="D835">
        <v>7.8590999999999998</v>
      </c>
    </row>
    <row r="836" spans="2:4" x14ac:dyDescent="0.25">
      <c r="B836" s="48">
        <v>45498</v>
      </c>
      <c r="C836" s="47">
        <v>20.692470550537109</v>
      </c>
      <c r="D836">
        <v>11.403499999999999</v>
      </c>
    </row>
    <row r="837" spans="2:4" x14ac:dyDescent="0.25">
      <c r="B837" s="48">
        <v>45499</v>
      </c>
      <c r="C837" s="47">
        <v>21.425779342651371</v>
      </c>
      <c r="D837">
        <v>15.9801</v>
      </c>
    </row>
    <row r="838" spans="2:4" x14ac:dyDescent="0.25">
      <c r="B838" s="48">
        <v>45502</v>
      </c>
      <c r="C838" s="47">
        <v>21.247152328491211</v>
      </c>
      <c r="D838">
        <v>8.9407999999999994</v>
      </c>
    </row>
    <row r="839" spans="2:4" x14ac:dyDescent="0.25">
      <c r="B839" s="48">
        <v>45503</v>
      </c>
      <c r="C839" s="47">
        <v>21.256551742553711</v>
      </c>
      <c r="D839">
        <v>6.6829000000000001</v>
      </c>
    </row>
    <row r="840" spans="2:4" x14ac:dyDescent="0.25">
      <c r="B840" s="48">
        <v>45504</v>
      </c>
      <c r="C840" s="47">
        <v>20.80528450012207</v>
      </c>
      <c r="D840">
        <v>18.250699999999998</v>
      </c>
    </row>
    <row r="841" spans="2:4" x14ac:dyDescent="0.25">
      <c r="B841" s="48">
        <v>45505</v>
      </c>
      <c r="C841" s="47">
        <v>20.965108871459961</v>
      </c>
      <c r="D841">
        <v>10.759600000000001</v>
      </c>
    </row>
    <row r="842" spans="2:4" x14ac:dyDescent="0.25">
      <c r="B842" s="48">
        <v>45506</v>
      </c>
      <c r="C842" s="47">
        <v>20.466836929321289</v>
      </c>
      <c r="D842">
        <v>10.940899999999999</v>
      </c>
    </row>
    <row r="843" spans="2:4" x14ac:dyDescent="0.25">
      <c r="B843" s="48">
        <v>45509</v>
      </c>
      <c r="C843" s="47">
        <v>19.554901123046879</v>
      </c>
      <c r="D843">
        <v>14.8444</v>
      </c>
    </row>
    <row r="844" spans="2:4" x14ac:dyDescent="0.25">
      <c r="B844" s="48">
        <v>45510</v>
      </c>
      <c r="C844" s="47">
        <v>19.733526229858398</v>
      </c>
      <c r="D844">
        <v>9.9967000000000006</v>
      </c>
    </row>
    <row r="845" spans="2:4" x14ac:dyDescent="0.25">
      <c r="B845" s="48">
        <v>45511</v>
      </c>
      <c r="C845" s="47">
        <v>19.714723587036129</v>
      </c>
      <c r="D845">
        <v>8.9445999999999994</v>
      </c>
    </row>
    <row r="846" spans="2:4" x14ac:dyDescent="0.25">
      <c r="B846" s="48">
        <v>45512</v>
      </c>
      <c r="C846" s="47">
        <v>19.87454795837402</v>
      </c>
      <c r="D846">
        <v>8.2432999999999996</v>
      </c>
    </row>
    <row r="847" spans="2:4" x14ac:dyDescent="0.25">
      <c r="B847" s="48">
        <v>45513</v>
      </c>
      <c r="C847" s="47">
        <v>20.024969100952148</v>
      </c>
      <c r="D847">
        <v>7.7945000000000002</v>
      </c>
    </row>
    <row r="848" spans="2:4" x14ac:dyDescent="0.25">
      <c r="B848" s="48">
        <v>45516</v>
      </c>
      <c r="C848" s="47">
        <v>20.034372329711911</v>
      </c>
      <c r="D848">
        <v>11.669499999999999</v>
      </c>
    </row>
    <row r="849" spans="2:4" x14ac:dyDescent="0.25">
      <c r="B849" s="48">
        <v>45517</v>
      </c>
      <c r="C849" s="47">
        <v>20.297611236572269</v>
      </c>
      <c r="D849">
        <v>7.6917999999999997</v>
      </c>
    </row>
    <row r="850" spans="2:4" x14ac:dyDescent="0.25">
      <c r="B850" s="48">
        <v>45518</v>
      </c>
      <c r="C850" s="47">
        <v>20.44803428649902</v>
      </c>
      <c r="D850">
        <v>5.3502999999999998</v>
      </c>
    </row>
    <row r="851" spans="2:4" x14ac:dyDescent="0.25">
      <c r="B851" s="48">
        <v>45519</v>
      </c>
      <c r="C851" s="47">
        <v>20.52324295043945</v>
      </c>
      <c r="D851">
        <v>6.8381999999999996</v>
      </c>
    </row>
    <row r="852" spans="2:4" x14ac:dyDescent="0.25">
      <c r="B852" s="48">
        <v>45520</v>
      </c>
      <c r="C852" s="47">
        <v>20.692470550537109</v>
      </c>
      <c r="D852">
        <v>5.2191000000000001</v>
      </c>
    </row>
    <row r="853" spans="2:4" x14ac:dyDescent="0.25">
      <c r="B853" s="48">
        <v>45523</v>
      </c>
      <c r="C853" s="47">
        <v>20.927505493164059</v>
      </c>
      <c r="D853">
        <v>5.2769000000000004</v>
      </c>
    </row>
    <row r="854" spans="2:4" x14ac:dyDescent="0.25">
      <c r="B854" s="48">
        <v>45524</v>
      </c>
      <c r="C854" s="47">
        <v>20.97451019287109</v>
      </c>
      <c r="D854">
        <v>5.5888999999999998</v>
      </c>
    </row>
    <row r="855" spans="2:4" x14ac:dyDescent="0.25">
      <c r="B855" s="48">
        <v>45525</v>
      </c>
      <c r="C855" s="47">
        <v>21.21894645690918</v>
      </c>
      <c r="D855">
        <v>7.8437000000000001</v>
      </c>
    </row>
    <row r="856" spans="2:4" x14ac:dyDescent="0.25">
      <c r="B856" s="48">
        <v>45526</v>
      </c>
      <c r="C856" s="47">
        <v>21.002714157104489</v>
      </c>
      <c r="D856">
        <v>4.2729999999999997</v>
      </c>
    </row>
    <row r="857" spans="2:4" x14ac:dyDescent="0.25">
      <c r="B857" s="48">
        <v>45527</v>
      </c>
      <c r="C857" s="47">
        <v>21.002714157104489</v>
      </c>
      <c r="D857">
        <v>4.4284999999999997</v>
      </c>
    </row>
    <row r="858" spans="2:4" x14ac:dyDescent="0.25">
      <c r="B858" s="48">
        <v>45530</v>
      </c>
      <c r="C858" s="47">
        <v>21.09672927856445</v>
      </c>
      <c r="D858">
        <v>4.569</v>
      </c>
    </row>
    <row r="859" spans="2:4" x14ac:dyDescent="0.25">
      <c r="B859" s="48">
        <v>45531</v>
      </c>
      <c r="C859" s="47">
        <v>21.435178756713871</v>
      </c>
      <c r="D859">
        <v>8.2582000000000004</v>
      </c>
    </row>
    <row r="860" spans="2:4" x14ac:dyDescent="0.25">
      <c r="B860" s="48">
        <v>45532</v>
      </c>
      <c r="C860" s="47">
        <v>21.62320709228516</v>
      </c>
      <c r="D860">
        <v>7.4922000000000004</v>
      </c>
    </row>
    <row r="861" spans="2:4" x14ac:dyDescent="0.25">
      <c r="B861" s="48">
        <v>45533</v>
      </c>
      <c r="C861" s="47">
        <v>21.811235427856449</v>
      </c>
      <c r="D861">
        <v>5.7561999999999998</v>
      </c>
    </row>
    <row r="862" spans="2:4" x14ac:dyDescent="0.25">
      <c r="B862" s="48">
        <v>45534</v>
      </c>
      <c r="C862" s="47">
        <v>21.886445999145511</v>
      </c>
      <c r="D862">
        <v>6.375</v>
      </c>
    </row>
    <row r="863" spans="2:4" x14ac:dyDescent="0.25">
      <c r="B863" s="48">
        <v>45538</v>
      </c>
      <c r="C863" s="47">
        <v>21.604404449462891</v>
      </c>
      <c r="D863">
        <v>5.7931999999999997</v>
      </c>
    </row>
    <row r="864" spans="2:4" x14ac:dyDescent="0.25">
      <c r="B864" s="48">
        <v>45539</v>
      </c>
      <c r="C864" s="47">
        <v>21.67961502075195</v>
      </c>
      <c r="D864">
        <v>5.5579999999999998</v>
      </c>
    </row>
    <row r="865" spans="2:4" x14ac:dyDescent="0.25">
      <c r="B865" s="48">
        <v>45540</v>
      </c>
      <c r="C865" s="47">
        <v>21.529191970825199</v>
      </c>
      <c r="D865">
        <v>6.2701000000000002</v>
      </c>
    </row>
    <row r="866" spans="2:4" x14ac:dyDescent="0.25">
      <c r="B866" s="48">
        <v>45541</v>
      </c>
      <c r="C866" s="47">
        <v>21.190744400024411</v>
      </c>
      <c r="D866">
        <v>7.5172999999999996</v>
      </c>
    </row>
    <row r="867" spans="2:4" x14ac:dyDescent="0.25">
      <c r="B867" s="48">
        <v>45544</v>
      </c>
      <c r="C867" s="47">
        <v>21.26595497131348</v>
      </c>
      <c r="D867">
        <v>4.585</v>
      </c>
    </row>
    <row r="868" spans="2:4" x14ac:dyDescent="0.25">
      <c r="B868" s="48">
        <v>45545</v>
      </c>
      <c r="C868" s="47">
        <v>21.55739784240723</v>
      </c>
      <c r="D868">
        <v>6.4843999999999999</v>
      </c>
    </row>
    <row r="869" spans="2:4" x14ac:dyDescent="0.25">
      <c r="B869" s="48">
        <v>45546</v>
      </c>
      <c r="C869" s="47">
        <v>21.54799652099609</v>
      </c>
      <c r="D869">
        <v>5.5906000000000002</v>
      </c>
    </row>
    <row r="870" spans="2:4" x14ac:dyDescent="0.25">
      <c r="B870" s="48">
        <v>45547</v>
      </c>
      <c r="C870" s="47">
        <v>21.858242034912109</v>
      </c>
      <c r="D870">
        <v>5.6433</v>
      </c>
    </row>
    <row r="871" spans="2:4" x14ac:dyDescent="0.25">
      <c r="B871" s="48">
        <v>45548</v>
      </c>
      <c r="C871" s="47">
        <v>21.811235427856449</v>
      </c>
      <c r="D871">
        <v>5.2733999999999996</v>
      </c>
    </row>
    <row r="872" spans="2:4" x14ac:dyDescent="0.25">
      <c r="B872" s="48">
        <v>45551</v>
      </c>
      <c r="C872" s="47">
        <v>21.801834106445309</v>
      </c>
      <c r="D872">
        <v>6.7473000000000001</v>
      </c>
    </row>
    <row r="873" spans="2:4" x14ac:dyDescent="0.25">
      <c r="B873" s="48">
        <v>45552</v>
      </c>
      <c r="C873" s="47">
        <v>21.595001220703121</v>
      </c>
      <c r="D873">
        <v>10.3527</v>
      </c>
    </row>
    <row r="874" spans="2:4" x14ac:dyDescent="0.25">
      <c r="B874" s="48">
        <v>45553</v>
      </c>
      <c r="C874" s="47">
        <v>21.134332656860352</v>
      </c>
      <c r="D874">
        <v>7.0517000000000003</v>
      </c>
    </row>
    <row r="875" spans="2:4" x14ac:dyDescent="0.25">
      <c r="B875" s="48">
        <v>45554</v>
      </c>
      <c r="C875" s="47">
        <v>21.33176231384277</v>
      </c>
      <c r="D875">
        <v>6.2811000000000003</v>
      </c>
    </row>
    <row r="876" spans="2:4" x14ac:dyDescent="0.25">
      <c r="B876" s="48">
        <v>45555</v>
      </c>
      <c r="C876" s="47">
        <v>21.482185363769531</v>
      </c>
      <c r="D876">
        <v>21.841100000000001</v>
      </c>
    </row>
    <row r="877" spans="2:4" x14ac:dyDescent="0.25">
      <c r="B877" s="48">
        <v>45558</v>
      </c>
      <c r="C877" s="47">
        <v>21.33176231384277</v>
      </c>
      <c r="D877">
        <v>4.9002999999999997</v>
      </c>
    </row>
    <row r="878" spans="2:4" x14ac:dyDescent="0.25">
      <c r="B878" s="48">
        <v>45559</v>
      </c>
      <c r="C878" s="47">
        <v>21.228347778320309</v>
      </c>
      <c r="D878">
        <v>7.0152999999999999</v>
      </c>
    </row>
    <row r="879" spans="2:4" x14ac:dyDescent="0.25">
      <c r="B879" s="48">
        <v>45560</v>
      </c>
      <c r="C879" s="47">
        <v>21.20954513549805</v>
      </c>
      <c r="D879">
        <v>9.1515000000000004</v>
      </c>
    </row>
    <row r="880" spans="2:4" x14ac:dyDescent="0.25">
      <c r="B880" s="48">
        <v>45561</v>
      </c>
      <c r="C880" s="47">
        <v>21.585601806640621</v>
      </c>
      <c r="D880">
        <v>10.927899999999999</v>
      </c>
    </row>
    <row r="881" spans="2:4" x14ac:dyDescent="0.25">
      <c r="B881" s="48">
        <v>45562</v>
      </c>
      <c r="C881" s="47">
        <v>21.04972076416016</v>
      </c>
      <c r="D881">
        <v>9.702</v>
      </c>
    </row>
    <row r="882" spans="2:4" x14ac:dyDescent="0.25">
      <c r="B882" s="48">
        <v>45565</v>
      </c>
      <c r="C882" s="47">
        <v>20.936906814575199</v>
      </c>
      <c r="D882">
        <v>11.5769</v>
      </c>
    </row>
    <row r="883" spans="2:4" x14ac:dyDescent="0.25">
      <c r="B883" s="48">
        <v>45566</v>
      </c>
      <c r="C883" s="47">
        <v>21.04972076416016</v>
      </c>
      <c r="D883">
        <v>8.3665000000000003</v>
      </c>
    </row>
    <row r="884" spans="2:4" x14ac:dyDescent="0.25">
      <c r="B884" s="48">
        <v>45567</v>
      </c>
      <c r="C884" s="47">
        <v>20.983913421630859</v>
      </c>
      <c r="D884">
        <v>5.2731000000000003</v>
      </c>
    </row>
    <row r="885" spans="2:4" x14ac:dyDescent="0.25">
      <c r="B885" s="48">
        <v>45568</v>
      </c>
      <c r="C885" s="47">
        <v>21.068523406982418</v>
      </c>
      <c r="D885">
        <v>7.8167999999999997</v>
      </c>
    </row>
    <row r="886" spans="2:4" x14ac:dyDescent="0.25">
      <c r="B886" s="48">
        <v>45569</v>
      </c>
      <c r="C886" s="47">
        <v>21.425779342651371</v>
      </c>
      <c r="D886">
        <v>9.2609999999999992</v>
      </c>
    </row>
    <row r="887" spans="2:4" x14ac:dyDescent="0.25">
      <c r="B887" s="48">
        <v>45572</v>
      </c>
      <c r="C887" s="47">
        <v>21.538593292236332</v>
      </c>
      <c r="D887">
        <v>7.5494000000000003</v>
      </c>
    </row>
    <row r="888" spans="2:4" x14ac:dyDescent="0.25">
      <c r="B888" s="48">
        <v>45573</v>
      </c>
      <c r="C888" s="47">
        <v>21.924053192138668</v>
      </c>
      <c r="D888">
        <v>7.7225000000000001</v>
      </c>
    </row>
    <row r="889" spans="2:4" x14ac:dyDescent="0.25">
      <c r="B889" s="48">
        <v>45574</v>
      </c>
      <c r="C889" s="47">
        <v>21.877046585083011</v>
      </c>
      <c r="D889">
        <v>4.2694999999999999</v>
      </c>
    </row>
    <row r="890" spans="2:4" x14ac:dyDescent="0.25">
      <c r="B890" s="48">
        <v>45575</v>
      </c>
      <c r="C890" s="47">
        <v>21.294157028198239</v>
      </c>
      <c r="D890">
        <v>7.6658999999999997</v>
      </c>
    </row>
    <row r="891" spans="2:4" x14ac:dyDescent="0.25">
      <c r="B891" s="48">
        <v>45576</v>
      </c>
      <c r="C891" s="47">
        <v>21.55739784240723</v>
      </c>
      <c r="D891">
        <v>5.0655999999999999</v>
      </c>
    </row>
    <row r="892" spans="2:4" x14ac:dyDescent="0.25">
      <c r="B892" s="48">
        <v>45579</v>
      </c>
      <c r="C892" s="47">
        <v>21.96165657043457</v>
      </c>
      <c r="D892">
        <v>7.1</v>
      </c>
    </row>
    <row r="893" spans="2:4" x14ac:dyDescent="0.25">
      <c r="B893" s="48">
        <v>45580</v>
      </c>
      <c r="C893" s="47">
        <v>21.642011642456051</v>
      </c>
      <c r="D893">
        <v>10.5627</v>
      </c>
    </row>
    <row r="894" spans="2:4" x14ac:dyDescent="0.25">
      <c r="B894" s="48">
        <v>45581</v>
      </c>
      <c r="C894" s="47">
        <v>21.529191970825199</v>
      </c>
      <c r="D894">
        <v>13.868499999999999</v>
      </c>
    </row>
    <row r="895" spans="2:4" x14ac:dyDescent="0.25">
      <c r="B895" s="48">
        <v>45582</v>
      </c>
      <c r="C895" s="47">
        <v>21.303560256958011</v>
      </c>
      <c r="D895">
        <v>16.539000000000001</v>
      </c>
    </row>
    <row r="896" spans="2:4" x14ac:dyDescent="0.25">
      <c r="B896" s="48">
        <v>45583</v>
      </c>
      <c r="C896" s="47">
        <v>21.162538528442379</v>
      </c>
      <c r="D896">
        <v>11.307600000000001</v>
      </c>
    </row>
    <row r="897" spans="2:4" x14ac:dyDescent="0.25">
      <c r="B897" s="48">
        <v>45586</v>
      </c>
      <c r="C897" s="47">
        <v>20.871095657348629</v>
      </c>
      <c r="D897">
        <v>10.411899999999999</v>
      </c>
    </row>
    <row r="898" spans="2:4" x14ac:dyDescent="0.25">
      <c r="B898" s="48">
        <v>45587</v>
      </c>
      <c r="C898" s="47">
        <v>20.833490371704102</v>
      </c>
      <c r="D898">
        <v>5.7337999999999996</v>
      </c>
    </row>
    <row r="899" spans="2:4" x14ac:dyDescent="0.25">
      <c r="B899" s="48">
        <v>45588</v>
      </c>
      <c r="C899" s="47">
        <v>20.880495071411129</v>
      </c>
      <c r="D899">
        <v>4.532</v>
      </c>
    </row>
    <row r="900" spans="2:4" x14ac:dyDescent="0.25">
      <c r="B900" s="48">
        <v>45589</v>
      </c>
      <c r="C900" s="47">
        <v>20.730073928833011</v>
      </c>
      <c r="D900">
        <v>7.1996000000000002</v>
      </c>
    </row>
    <row r="901" spans="2:4" x14ac:dyDescent="0.25">
      <c r="B901" s="48">
        <v>45590</v>
      </c>
      <c r="C901" s="47">
        <v>20.579648971557621</v>
      </c>
      <c r="D901">
        <v>6.5728</v>
      </c>
    </row>
    <row r="902" spans="2:4" x14ac:dyDescent="0.25">
      <c r="B902" s="48">
        <v>45593</v>
      </c>
      <c r="C902" s="47">
        <v>20.74887657165527</v>
      </c>
      <c r="D902">
        <v>3.8872</v>
      </c>
    </row>
    <row r="903" spans="2:4" x14ac:dyDescent="0.25">
      <c r="B903" s="48">
        <v>45594</v>
      </c>
      <c r="C903" s="47">
        <v>20.701333999633789</v>
      </c>
      <c r="D903">
        <v>8.7893000000000008</v>
      </c>
    </row>
    <row r="904" spans="2:4" x14ac:dyDescent="0.25">
      <c r="B904" s="48">
        <v>45595</v>
      </c>
      <c r="C904" s="47">
        <v>20.0832405090332</v>
      </c>
      <c r="D904">
        <v>8.4867000000000008</v>
      </c>
    </row>
    <row r="905" spans="2:4" x14ac:dyDescent="0.25">
      <c r="B905" s="48">
        <v>45596</v>
      </c>
      <c r="C905" s="47">
        <v>19.883546829223629</v>
      </c>
      <c r="D905">
        <v>8.6151</v>
      </c>
    </row>
    <row r="906" spans="2:4" x14ac:dyDescent="0.25">
      <c r="B906" s="48">
        <v>45597</v>
      </c>
      <c r="C906" s="47">
        <v>19.740913391113281</v>
      </c>
      <c r="D906">
        <v>9.2855000000000008</v>
      </c>
    </row>
    <row r="907" spans="2:4" x14ac:dyDescent="0.25">
      <c r="B907" s="48">
        <v>45600</v>
      </c>
      <c r="C907" s="47">
        <v>19.702875137329102</v>
      </c>
      <c r="D907">
        <v>11.9369</v>
      </c>
    </row>
    <row r="908" spans="2:4" x14ac:dyDescent="0.25">
      <c r="B908" s="48">
        <v>45601</v>
      </c>
      <c r="C908" s="47">
        <v>19.693365097045898</v>
      </c>
      <c r="D908">
        <v>9.5584000000000007</v>
      </c>
    </row>
    <row r="909" spans="2:4" x14ac:dyDescent="0.25">
      <c r="B909" s="48">
        <v>45602</v>
      </c>
      <c r="C909" s="47">
        <v>20.349493026733398</v>
      </c>
      <c r="D909">
        <v>17.779900000000001</v>
      </c>
    </row>
    <row r="910" spans="2:4" x14ac:dyDescent="0.25">
      <c r="B910" s="48">
        <v>45603</v>
      </c>
      <c r="C910" s="47">
        <v>20.587223052978519</v>
      </c>
      <c r="D910">
        <v>12.341100000000001</v>
      </c>
    </row>
    <row r="911" spans="2:4" x14ac:dyDescent="0.25">
      <c r="B911" s="48">
        <v>45604</v>
      </c>
      <c r="C911" s="47">
        <v>20.682315826416019</v>
      </c>
      <c r="D911">
        <v>7.7430000000000003</v>
      </c>
    </row>
    <row r="912" spans="2:4" x14ac:dyDescent="0.25">
      <c r="B912" s="48">
        <v>45607</v>
      </c>
      <c r="C912" s="47">
        <v>20.95808029174805</v>
      </c>
      <c r="D912">
        <v>6.0921000000000003</v>
      </c>
    </row>
    <row r="913" spans="2:4" x14ac:dyDescent="0.25">
      <c r="B913" s="48">
        <v>45608</v>
      </c>
      <c r="C913" s="47">
        <v>20.939060211181641</v>
      </c>
      <c r="D913">
        <v>3.8488000000000002</v>
      </c>
    </row>
    <row r="914" spans="2:4" x14ac:dyDescent="0.25">
      <c r="B914" s="48">
        <v>45609</v>
      </c>
      <c r="C914" s="47">
        <v>20.95808029174805</v>
      </c>
      <c r="D914">
        <v>5.4321000000000002</v>
      </c>
    </row>
    <row r="915" spans="2:4" x14ac:dyDescent="0.25">
      <c r="B915" s="48">
        <v>45610</v>
      </c>
      <c r="C915" s="47">
        <v>20.74887657165527</v>
      </c>
      <c r="D915">
        <v>6.1692</v>
      </c>
    </row>
    <row r="916" spans="2:4" x14ac:dyDescent="0.25">
      <c r="B916" s="48">
        <v>45611</v>
      </c>
      <c r="C916" s="47">
        <v>20.473114013671879</v>
      </c>
      <c r="D916">
        <v>7.6501999999999999</v>
      </c>
    </row>
    <row r="917" spans="2:4" x14ac:dyDescent="0.25">
      <c r="B917" s="48">
        <v>45614</v>
      </c>
      <c r="C917" s="47">
        <v>20.539678573608398</v>
      </c>
      <c r="D917">
        <v>4.8163999999999998</v>
      </c>
    </row>
    <row r="918" spans="2:4" x14ac:dyDescent="0.25">
      <c r="B918" s="48">
        <v>45615</v>
      </c>
      <c r="C918" s="47">
        <v>20.663295745849609</v>
      </c>
      <c r="D918">
        <v>6.0331000000000001</v>
      </c>
    </row>
    <row r="919" spans="2:4" x14ac:dyDescent="0.25">
      <c r="B919" s="48">
        <v>45616</v>
      </c>
      <c r="C919" s="47">
        <v>20.9105339050293</v>
      </c>
      <c r="D919">
        <v>7.8125999999999998</v>
      </c>
    </row>
    <row r="920" spans="2:4" x14ac:dyDescent="0.25">
      <c r="B920" s="48">
        <v>45617</v>
      </c>
      <c r="C920" s="47">
        <v>20.88200569152832</v>
      </c>
      <c r="D920">
        <v>6.1215000000000002</v>
      </c>
    </row>
    <row r="921" spans="2:4" x14ac:dyDescent="0.25">
      <c r="B921" s="48">
        <v>45618</v>
      </c>
      <c r="C921" s="47">
        <v>21.671262741088871</v>
      </c>
      <c r="D921">
        <v>8.6785999999999994</v>
      </c>
    </row>
    <row r="922" spans="2:4" x14ac:dyDescent="0.25">
      <c r="B922" s="48">
        <v>45621</v>
      </c>
      <c r="C922" s="47">
        <v>21.718807220458981</v>
      </c>
      <c r="D922">
        <v>11.8058</v>
      </c>
    </row>
    <row r="923" spans="2:4" x14ac:dyDescent="0.25">
      <c r="B923" s="48">
        <v>45622</v>
      </c>
      <c r="C923" s="47">
        <v>22.042116165161129</v>
      </c>
      <c r="D923">
        <v>7.3395000000000001</v>
      </c>
    </row>
    <row r="924" spans="2:4" x14ac:dyDescent="0.25">
      <c r="B924" s="48">
        <v>45623</v>
      </c>
      <c r="C924" s="47">
        <v>21.623714447021481</v>
      </c>
      <c r="D924">
        <v>9.1410999999999998</v>
      </c>
    </row>
    <row r="925" spans="2:4" x14ac:dyDescent="0.25">
      <c r="B925" s="48">
        <v>45625</v>
      </c>
      <c r="C925" s="47">
        <v>20.986604690551761</v>
      </c>
      <c r="D925">
        <v>5.6208999999999998</v>
      </c>
    </row>
    <row r="926" spans="2:4" x14ac:dyDescent="0.25">
      <c r="B926" s="48">
        <v>45628</v>
      </c>
      <c r="C926" s="47">
        <v>21.110223770141602</v>
      </c>
      <c r="D926">
        <v>5.8361999999999998</v>
      </c>
    </row>
    <row r="927" spans="2:4" x14ac:dyDescent="0.25">
      <c r="B927" s="48">
        <v>45629</v>
      </c>
      <c r="C927" s="47">
        <v>21.034151077270511</v>
      </c>
      <c r="D927">
        <v>8.2157</v>
      </c>
    </row>
    <row r="928" spans="2:4" x14ac:dyDescent="0.25">
      <c r="B928" s="48">
        <v>45630</v>
      </c>
      <c r="C928" s="47">
        <v>21.414516448974609</v>
      </c>
      <c r="D928">
        <v>5.8663999999999996</v>
      </c>
    </row>
    <row r="929" spans="2:4" x14ac:dyDescent="0.25">
      <c r="B929" s="48">
        <v>45631</v>
      </c>
      <c r="C929" s="47">
        <v>21.737825393676761</v>
      </c>
      <c r="D929">
        <v>5.9846000000000004</v>
      </c>
    </row>
    <row r="930" spans="2:4" x14ac:dyDescent="0.25">
      <c r="B930" s="48">
        <v>45632</v>
      </c>
      <c r="C930" s="47">
        <v>21.737825393676761</v>
      </c>
      <c r="D930">
        <v>4.7096</v>
      </c>
    </row>
    <row r="931" spans="2:4" x14ac:dyDescent="0.25">
      <c r="B931" s="48">
        <v>45635</v>
      </c>
      <c r="C931" s="47">
        <v>22.023097991943359</v>
      </c>
      <c r="D931">
        <v>6.2919999999999998</v>
      </c>
    </row>
    <row r="932" spans="2:4" x14ac:dyDescent="0.25">
      <c r="B932" s="48">
        <v>45636</v>
      </c>
      <c r="C932" s="47">
        <v>22.09917068481445</v>
      </c>
      <c r="D932">
        <v>6.6009000000000002</v>
      </c>
    </row>
    <row r="933" spans="2:4" x14ac:dyDescent="0.25">
      <c r="B933" s="48">
        <v>45637</v>
      </c>
      <c r="C933" s="47">
        <v>22.21327972412109</v>
      </c>
      <c r="D933">
        <v>6.1933999999999996</v>
      </c>
    </row>
    <row r="934" spans="2:4" x14ac:dyDescent="0.25">
      <c r="B934" s="48">
        <v>45638</v>
      </c>
      <c r="C934" s="47">
        <v>22.10868072509766</v>
      </c>
      <c r="D934">
        <v>5.7508999999999997</v>
      </c>
    </row>
    <row r="935" spans="2:4" x14ac:dyDescent="0.25">
      <c r="B935" s="48">
        <v>45639</v>
      </c>
      <c r="C935" s="47">
        <v>22.251316070556641</v>
      </c>
      <c r="D935">
        <v>4.4435000000000002</v>
      </c>
    </row>
    <row r="936" spans="2:4" x14ac:dyDescent="0.25">
      <c r="B936" s="48">
        <v>45642</v>
      </c>
      <c r="C936" s="47">
        <v>22.20377159118652</v>
      </c>
      <c r="D936">
        <v>9.8620999999999999</v>
      </c>
    </row>
    <row r="937" spans="2:4" x14ac:dyDescent="0.25">
      <c r="B937" s="48">
        <v>45643</v>
      </c>
      <c r="C937" s="47">
        <v>21.994569778442379</v>
      </c>
      <c r="D937">
        <v>3.8906000000000001</v>
      </c>
    </row>
    <row r="938" spans="2:4" x14ac:dyDescent="0.25">
      <c r="B938" s="48">
        <v>45644</v>
      </c>
      <c r="C938" s="47">
        <v>21.53813362121582</v>
      </c>
      <c r="D938">
        <v>6.0709999999999997</v>
      </c>
    </row>
    <row r="939" spans="2:4" x14ac:dyDescent="0.25">
      <c r="B939" s="48">
        <v>45645</v>
      </c>
      <c r="C939" s="47">
        <v>22.27033615112305</v>
      </c>
      <c r="D939">
        <v>9.1783999999999999</v>
      </c>
    </row>
    <row r="940" spans="2:4" x14ac:dyDescent="0.25">
      <c r="B940" s="48">
        <v>45646</v>
      </c>
      <c r="C940" s="47">
        <v>21.614206314086911</v>
      </c>
      <c r="D940">
        <v>12.3567</v>
      </c>
    </row>
    <row r="941" spans="2:4" x14ac:dyDescent="0.25">
      <c r="B941" s="48">
        <v>45649</v>
      </c>
      <c r="C941" s="47">
        <v>21.6617546081543</v>
      </c>
      <c r="D941">
        <v>3.6225999999999998</v>
      </c>
    </row>
    <row r="942" spans="2:4" x14ac:dyDescent="0.25">
      <c r="B942" s="48">
        <v>45650</v>
      </c>
      <c r="C942" s="47">
        <v>21.65224456787109</v>
      </c>
      <c r="D942">
        <v>2.0516000000000001</v>
      </c>
    </row>
    <row r="943" spans="2:4" x14ac:dyDescent="0.25">
      <c r="B943" s="48">
        <v>45652</v>
      </c>
      <c r="C943" s="47">
        <v>21.528623580932621</v>
      </c>
      <c r="D943">
        <v>3.4403000000000001</v>
      </c>
    </row>
    <row r="944" spans="2:4" x14ac:dyDescent="0.25">
      <c r="B944" s="48">
        <v>45653</v>
      </c>
      <c r="C944" s="47">
        <v>21.37647819519043</v>
      </c>
      <c r="D944">
        <v>4.3399000000000001</v>
      </c>
    </row>
    <row r="945" spans="2:4" x14ac:dyDescent="0.25">
      <c r="B945" s="48">
        <v>45656</v>
      </c>
      <c r="C945" s="47">
        <v>21.015132904052731</v>
      </c>
      <c r="D945">
        <v>4.8308</v>
      </c>
    </row>
    <row r="946" spans="2:4" x14ac:dyDescent="0.25">
      <c r="B946" s="48">
        <v>45657</v>
      </c>
      <c r="C946" s="47">
        <v>20.84396934509277</v>
      </c>
      <c r="D946">
        <v>2.3043</v>
      </c>
    </row>
    <row r="947" spans="2:4" x14ac:dyDescent="0.25">
      <c r="B947" s="48">
        <v>45659</v>
      </c>
      <c r="C947" s="47">
        <v>21.50960731506348</v>
      </c>
      <c r="D947">
        <v>6.5561999999999996</v>
      </c>
    </row>
    <row r="948" spans="2:4" x14ac:dyDescent="0.25">
      <c r="B948" s="48">
        <v>45660</v>
      </c>
      <c r="C948" s="47">
        <v>21.51911544799805</v>
      </c>
      <c r="D948">
        <v>3.8107000000000002</v>
      </c>
    </row>
    <row r="949" spans="2:4" x14ac:dyDescent="0.25">
      <c r="B949" s="48">
        <v>45663</v>
      </c>
      <c r="C949" s="47">
        <v>21.63322639465332</v>
      </c>
      <c r="D949">
        <v>4.8625999999999996</v>
      </c>
    </row>
    <row r="950" spans="2:4" x14ac:dyDescent="0.25">
      <c r="B950" s="48">
        <v>45664</v>
      </c>
      <c r="C950" s="47">
        <v>21.50009727478027</v>
      </c>
      <c r="D950">
        <v>5.1504000000000003</v>
      </c>
    </row>
    <row r="951" spans="2:4" x14ac:dyDescent="0.25">
      <c r="B951" s="48">
        <v>45665</v>
      </c>
      <c r="C951" s="47">
        <v>21.6617546081543</v>
      </c>
      <c r="D951">
        <v>6.1997</v>
      </c>
    </row>
    <row r="952" spans="2:4" x14ac:dyDescent="0.25">
      <c r="B952" s="48">
        <v>45667</v>
      </c>
      <c r="C952" s="47">
        <v>21.58568000793457</v>
      </c>
      <c r="D952">
        <v>7.4089999999999998</v>
      </c>
    </row>
    <row r="953" spans="2:4" x14ac:dyDescent="0.25">
      <c r="B953" s="48">
        <v>45670</v>
      </c>
      <c r="C953" s="47">
        <v>21.576169967651371</v>
      </c>
      <c r="D953">
        <v>11.5618</v>
      </c>
    </row>
    <row r="954" spans="2:4" x14ac:dyDescent="0.25">
      <c r="B954" s="48">
        <v>45671</v>
      </c>
      <c r="C954" s="47">
        <v>21.40500640869141</v>
      </c>
      <c r="D954">
        <v>13.923400000000001</v>
      </c>
    </row>
    <row r="955" spans="2:4" x14ac:dyDescent="0.25">
      <c r="B955" s="48">
        <v>45672</v>
      </c>
      <c r="C955" s="47">
        <v>21.766351699829102</v>
      </c>
      <c r="D955">
        <v>9.2299000000000007</v>
      </c>
    </row>
    <row r="956" spans="2:4" x14ac:dyDescent="0.25">
      <c r="B956" s="48">
        <v>45673</v>
      </c>
      <c r="C956" s="47">
        <v>20.511148452758789</v>
      </c>
      <c r="D956">
        <v>22.922699999999999</v>
      </c>
    </row>
    <row r="957" spans="2:4" x14ac:dyDescent="0.25">
      <c r="B957" s="48">
        <v>45674</v>
      </c>
      <c r="C957" s="47">
        <v>20.14980506896973</v>
      </c>
      <c r="D957">
        <v>13.512700000000001</v>
      </c>
    </row>
    <row r="958" spans="2:4" x14ac:dyDescent="0.25">
      <c r="B958" s="48">
        <v>45678</v>
      </c>
      <c r="C958" s="47">
        <v>20.11176681518555</v>
      </c>
      <c r="D958">
        <v>18.004300000000001</v>
      </c>
    </row>
    <row r="959" spans="2:4" x14ac:dyDescent="0.25">
      <c r="B959" s="48">
        <v>45679</v>
      </c>
      <c r="C959" s="47">
        <v>20.549186706542969</v>
      </c>
      <c r="D959">
        <v>9.3116000000000003</v>
      </c>
    </row>
    <row r="960" spans="2:4" x14ac:dyDescent="0.25">
      <c r="B960" s="48">
        <v>45680</v>
      </c>
      <c r="C960" s="47">
        <v>20.710844039916989</v>
      </c>
      <c r="D960">
        <v>10.751799999999999</v>
      </c>
    </row>
    <row r="961" spans="2:4" x14ac:dyDescent="0.25">
      <c r="B961" s="48">
        <v>45681</v>
      </c>
      <c r="C961" s="47">
        <v>20.615751266479489</v>
      </c>
      <c r="D961">
        <v>7.6125999999999996</v>
      </c>
    </row>
    <row r="962" spans="2:4" x14ac:dyDescent="0.25">
      <c r="B962" s="48">
        <v>45684</v>
      </c>
      <c r="C962" s="47">
        <v>20.482624053955082</v>
      </c>
      <c r="D962">
        <v>9.5889000000000006</v>
      </c>
    </row>
    <row r="963" spans="2:4" x14ac:dyDescent="0.25">
      <c r="B963" s="48">
        <v>45685</v>
      </c>
      <c r="C963" s="47">
        <v>20.473114013671879</v>
      </c>
      <c r="D963">
        <v>14.7193</v>
      </c>
    </row>
    <row r="964" spans="2:4" x14ac:dyDescent="0.25">
      <c r="B964" s="48">
        <v>45686</v>
      </c>
      <c r="C964" s="47">
        <v>20.634769439697269</v>
      </c>
      <c r="D964">
        <v>8.3513999999999999</v>
      </c>
    </row>
    <row r="965" spans="2:4" x14ac:dyDescent="0.25">
      <c r="B965" s="48">
        <v>45687</v>
      </c>
      <c r="C965" s="47">
        <v>20.74887657165527</v>
      </c>
      <c r="D965">
        <v>6.8006000000000002</v>
      </c>
    </row>
    <row r="966" spans="2:4" x14ac:dyDescent="0.25">
      <c r="B966" s="48">
        <v>45688</v>
      </c>
      <c r="C966" s="47">
        <v>20.87249755859375</v>
      </c>
      <c r="D966">
        <v>9.7516999999999996</v>
      </c>
    </row>
    <row r="967" spans="2:4" x14ac:dyDescent="0.25">
      <c r="B967" s="48">
        <v>45691</v>
      </c>
      <c r="C967" s="47">
        <v>20.9105339050293</v>
      </c>
      <c r="D967">
        <v>10.983000000000001</v>
      </c>
    </row>
    <row r="968" spans="2:4" x14ac:dyDescent="0.25">
      <c r="B968" s="48">
        <v>45692</v>
      </c>
      <c r="C968" s="47">
        <v>21.28138542175293</v>
      </c>
      <c r="D968">
        <v>9.7782</v>
      </c>
    </row>
    <row r="969" spans="2:4" x14ac:dyDescent="0.25">
      <c r="B969" s="48">
        <v>45693</v>
      </c>
      <c r="C969" s="47">
        <v>21.214824676513668</v>
      </c>
      <c r="D969">
        <v>9.9108999999999998</v>
      </c>
    </row>
    <row r="970" spans="2:4" x14ac:dyDescent="0.25">
      <c r="B970" s="48">
        <v>45694</v>
      </c>
      <c r="C970" s="47">
        <v>21.148260116577148</v>
      </c>
      <c r="D970">
        <v>9.3751999999999995</v>
      </c>
    </row>
    <row r="971" spans="2:4" x14ac:dyDescent="0.25">
      <c r="B971" s="48">
        <v>45695</v>
      </c>
      <c r="C971" s="47">
        <v>20.75838661193848</v>
      </c>
      <c r="D971">
        <v>9.6180000000000003</v>
      </c>
    </row>
    <row r="972" spans="2:4" x14ac:dyDescent="0.25">
      <c r="B972" s="48">
        <v>45698</v>
      </c>
      <c r="C972" s="47">
        <v>20.79642295837402</v>
      </c>
      <c r="D972">
        <v>9.2499000000000002</v>
      </c>
    </row>
    <row r="973" spans="2:4" x14ac:dyDescent="0.25">
      <c r="B973" s="48">
        <v>45699</v>
      </c>
      <c r="C973" s="47">
        <v>20.891513824462891</v>
      </c>
      <c r="D973">
        <v>8.5578000000000003</v>
      </c>
    </row>
    <row r="974" spans="2:4" x14ac:dyDescent="0.25">
      <c r="B974" s="48">
        <v>45700</v>
      </c>
      <c r="C974" s="47">
        <v>20.682315826416019</v>
      </c>
      <c r="D974">
        <v>5.9142000000000001</v>
      </c>
    </row>
    <row r="975" spans="2:4" x14ac:dyDescent="0.25">
      <c r="B975" s="48">
        <v>45701</v>
      </c>
      <c r="C975" s="47">
        <v>20.67280387878418</v>
      </c>
      <c r="D975">
        <v>9.9167000000000005</v>
      </c>
    </row>
    <row r="976" spans="2:4" x14ac:dyDescent="0.25">
      <c r="B976" s="48">
        <v>45702</v>
      </c>
      <c r="C976" s="47">
        <v>20.511148452758789</v>
      </c>
      <c r="D976">
        <v>7.0381</v>
      </c>
    </row>
    <row r="977" spans="2:4" x14ac:dyDescent="0.25">
      <c r="B977" s="48">
        <v>45706</v>
      </c>
      <c r="C977" s="47">
        <v>20.359003067016602</v>
      </c>
      <c r="D977">
        <v>10.7797</v>
      </c>
    </row>
    <row r="978" spans="2:4" x14ac:dyDescent="0.25">
      <c r="B978" s="48">
        <v>45707</v>
      </c>
      <c r="C978" s="47">
        <v>20.168821334838871</v>
      </c>
      <c r="D978">
        <v>11.4146</v>
      </c>
    </row>
    <row r="979" spans="2:4" x14ac:dyDescent="0.25">
      <c r="B979" s="48">
        <v>45708</v>
      </c>
      <c r="C979" s="47">
        <v>20.301948547363281</v>
      </c>
      <c r="D979">
        <v>10.7766</v>
      </c>
    </row>
    <row r="980" spans="2:4" x14ac:dyDescent="0.25">
      <c r="B980" s="48">
        <v>45709</v>
      </c>
      <c r="C980" s="47">
        <v>20.13078498840332</v>
      </c>
      <c r="D980">
        <v>13.7782</v>
      </c>
    </row>
    <row r="981" spans="2:4" x14ac:dyDescent="0.25">
      <c r="B981" s="48">
        <v>45712</v>
      </c>
      <c r="C981" s="47">
        <v>19.807476043701168</v>
      </c>
      <c r="D981">
        <v>12.509399999999999</v>
      </c>
    </row>
    <row r="982" spans="2:4" x14ac:dyDescent="0.25">
      <c r="B982" s="48">
        <v>45713</v>
      </c>
      <c r="C982" s="47">
        <v>19.750423431396481</v>
      </c>
      <c r="D982">
        <v>9.2149999999999999</v>
      </c>
    </row>
    <row r="983" spans="2:4" x14ac:dyDescent="0.25">
      <c r="B983" s="48">
        <v>45714</v>
      </c>
      <c r="C983" s="47">
        <v>19.750423431396481</v>
      </c>
      <c r="D983">
        <v>9.2332999999999998</v>
      </c>
    </row>
    <row r="984" spans="2:4" x14ac:dyDescent="0.25">
      <c r="B984" s="48">
        <v>45715</v>
      </c>
      <c r="C984" s="47">
        <v>19.49367523193359</v>
      </c>
      <c r="D984">
        <v>10.2066</v>
      </c>
    </row>
    <row r="985" spans="2:4" x14ac:dyDescent="0.25">
      <c r="B985" s="48">
        <v>45716</v>
      </c>
      <c r="C985" s="47">
        <v>19.113311767578121</v>
      </c>
      <c r="D985">
        <v>17.3856</v>
      </c>
    </row>
    <row r="986" spans="2:4" x14ac:dyDescent="0.25">
      <c r="B986" s="48">
        <v>45719</v>
      </c>
      <c r="C986" s="47">
        <v>18.856563568115231</v>
      </c>
      <c r="D986">
        <v>9.9160000000000004</v>
      </c>
    </row>
    <row r="987" spans="2:4" x14ac:dyDescent="0.25">
      <c r="B987" s="48">
        <v>45720</v>
      </c>
      <c r="C987" s="47">
        <v>18.74245452880859</v>
      </c>
      <c r="D987">
        <v>13.7782</v>
      </c>
    </row>
    <row r="988" spans="2:4" x14ac:dyDescent="0.25">
      <c r="B988" s="48">
        <v>45721</v>
      </c>
      <c r="C988" s="47">
        <v>19.075271606445309</v>
      </c>
      <c r="D988">
        <v>12.465999999999999</v>
      </c>
    </row>
    <row r="989" spans="2:4" x14ac:dyDescent="0.25">
      <c r="B989" s="48">
        <v>45722</v>
      </c>
      <c r="C989" s="47">
        <v>18.78049278259277</v>
      </c>
      <c r="D989">
        <v>11.305999999999999</v>
      </c>
    </row>
    <row r="990" spans="2:4" x14ac:dyDescent="0.25">
      <c r="B990" s="48">
        <v>45723</v>
      </c>
      <c r="C990" s="47">
        <v>18.885091781616211</v>
      </c>
      <c r="D990">
        <v>15.9232</v>
      </c>
    </row>
    <row r="991" spans="2:4" x14ac:dyDescent="0.25">
      <c r="B991" s="48">
        <v>45726</v>
      </c>
      <c r="C991" s="47">
        <v>18.485710144042969</v>
      </c>
      <c r="D991">
        <v>14.1852</v>
      </c>
    </row>
    <row r="992" spans="2:4" x14ac:dyDescent="0.25">
      <c r="B992" s="48">
        <v>45727</v>
      </c>
      <c r="C992" s="47">
        <v>18.03878211975098</v>
      </c>
      <c r="D992">
        <v>17.695</v>
      </c>
    </row>
    <row r="993" spans="2:4" x14ac:dyDescent="0.25">
      <c r="B993" s="48">
        <v>45728</v>
      </c>
      <c r="C993" s="47">
        <v>17.591854095458981</v>
      </c>
      <c r="D993">
        <v>15.292400000000001</v>
      </c>
    </row>
    <row r="994" spans="2:4" x14ac:dyDescent="0.25">
      <c r="B994" s="48">
        <v>45729</v>
      </c>
      <c r="C994" s="47">
        <v>17.39216232299805</v>
      </c>
      <c r="D994">
        <v>10.913500000000001</v>
      </c>
    </row>
    <row r="995" spans="2:4" x14ac:dyDescent="0.25">
      <c r="B995" s="48">
        <v>45730</v>
      </c>
      <c r="C995" s="47">
        <v>17.496761322021481</v>
      </c>
      <c r="D995">
        <v>7.7672999999999996</v>
      </c>
    </row>
    <row r="996" spans="2:4" x14ac:dyDescent="0.25">
      <c r="B996" s="48">
        <v>45733</v>
      </c>
      <c r="C996" s="47">
        <v>17.658414840698239</v>
      </c>
      <c r="D996">
        <v>10.044499999999999</v>
      </c>
    </row>
    <row r="997" spans="2:4" x14ac:dyDescent="0.25">
      <c r="B997" s="48">
        <v>45734</v>
      </c>
      <c r="C997" s="47">
        <v>17.544309616088871</v>
      </c>
      <c r="D997">
        <v>13.070399999999999</v>
      </c>
    </row>
    <row r="998" spans="2:4" x14ac:dyDescent="0.25">
      <c r="B998" s="48">
        <v>45735</v>
      </c>
      <c r="C998" s="47">
        <v>17.658414840698239</v>
      </c>
      <c r="D998">
        <v>9.7108000000000008</v>
      </c>
    </row>
    <row r="999" spans="2:4" x14ac:dyDescent="0.25">
      <c r="B999" s="48">
        <v>45736</v>
      </c>
      <c r="C999" s="47">
        <v>17.1734504699707</v>
      </c>
      <c r="D999">
        <v>19.376100000000001</v>
      </c>
    </row>
    <row r="1000" spans="2:4" x14ac:dyDescent="0.25">
      <c r="B1000" s="48">
        <v>45737</v>
      </c>
      <c r="C1000" s="47">
        <v>17.420688629150391</v>
      </c>
      <c r="D1000">
        <v>18.677600000000002</v>
      </c>
    </row>
    <row r="1001" spans="2:4" x14ac:dyDescent="0.25">
      <c r="B1001" s="48">
        <v>45740</v>
      </c>
      <c r="C1001" s="47">
        <v>17.677434921264648</v>
      </c>
      <c r="D1001">
        <v>7.5157999999999996</v>
      </c>
    </row>
    <row r="1002" spans="2:4" x14ac:dyDescent="0.25">
      <c r="B1002" s="48">
        <v>45741</v>
      </c>
      <c r="C1002" s="47">
        <v>17.90565299987793</v>
      </c>
      <c r="D1002">
        <v>11.6059</v>
      </c>
    </row>
    <row r="1003" spans="2:4" x14ac:dyDescent="0.25">
      <c r="B1003" s="48">
        <v>45742</v>
      </c>
      <c r="C1003" s="47">
        <v>17.743999481201168</v>
      </c>
      <c r="D1003">
        <v>7.3910999999999998</v>
      </c>
    </row>
    <row r="1004" spans="2:4" x14ac:dyDescent="0.25">
      <c r="B1004" s="48">
        <v>45743</v>
      </c>
      <c r="C1004" s="47">
        <v>17.753507614135739</v>
      </c>
      <c r="D1004">
        <v>6.2495000000000003</v>
      </c>
    </row>
    <row r="1005" spans="2:4" x14ac:dyDescent="0.25">
      <c r="B1005" s="48">
        <v>45744</v>
      </c>
      <c r="C1005" s="47">
        <v>17.27805328369141</v>
      </c>
      <c r="D1005">
        <v>7.8661000000000003</v>
      </c>
    </row>
    <row r="1006" spans="2:4" x14ac:dyDescent="0.25">
      <c r="B1006" s="48">
        <v>45747</v>
      </c>
      <c r="C1006" s="47">
        <v>17.3541259765625</v>
      </c>
      <c r="D1006">
        <v>12.408200000000001</v>
      </c>
    </row>
    <row r="1007" spans="2:4" x14ac:dyDescent="0.25">
      <c r="B1007" s="48">
        <v>45748</v>
      </c>
      <c r="C1007" s="47">
        <v>17.306581497192379</v>
      </c>
      <c r="D1007">
        <v>13.5749</v>
      </c>
    </row>
    <row r="1008" spans="2:4" x14ac:dyDescent="0.25">
      <c r="B1008" s="48">
        <v>45749</v>
      </c>
      <c r="C1008" s="47">
        <v>17.487251281738281</v>
      </c>
      <c r="D1008">
        <v>9.7822999999999993</v>
      </c>
    </row>
    <row r="1009" spans="2:4" x14ac:dyDescent="0.25">
      <c r="B1009" s="48">
        <v>45750</v>
      </c>
      <c r="C1009" s="47">
        <v>16.498306274414059</v>
      </c>
      <c r="D1009">
        <v>16.2713</v>
      </c>
    </row>
    <row r="1010" spans="2:4" x14ac:dyDescent="0.25">
      <c r="B1010" s="48">
        <v>45751</v>
      </c>
      <c r="C1010" s="47">
        <v>15.766103744506839</v>
      </c>
      <c r="D1010">
        <v>19.388999999999999</v>
      </c>
    </row>
    <row r="1011" spans="2:4" x14ac:dyDescent="0.25">
      <c r="B1011" s="48">
        <v>45754</v>
      </c>
      <c r="C1011" s="47">
        <v>15.95628643035889</v>
      </c>
      <c r="D1011">
        <v>23.309899999999999</v>
      </c>
    </row>
    <row r="1012" spans="2:4" x14ac:dyDescent="0.25">
      <c r="B1012" s="48">
        <v>45755</v>
      </c>
      <c r="C1012" s="47">
        <v>15.61395931243896</v>
      </c>
      <c r="D1012">
        <v>12.944699999999999</v>
      </c>
    </row>
    <row r="1013" spans="2:4" x14ac:dyDescent="0.25">
      <c r="B1013" s="48">
        <v>45756</v>
      </c>
      <c r="C1013" s="47">
        <v>16.793088912963871</v>
      </c>
      <c r="D1013">
        <v>20.797799999999999</v>
      </c>
    </row>
    <row r="1014" spans="2:4" x14ac:dyDescent="0.25">
      <c r="B1014" s="48">
        <v>45757</v>
      </c>
      <c r="C1014" s="47">
        <v>16.146469116210941</v>
      </c>
      <c r="D1014">
        <v>25.884799999999998</v>
      </c>
    </row>
    <row r="1015" spans="2:4" x14ac:dyDescent="0.25">
      <c r="B1015" s="48">
        <v>45758</v>
      </c>
      <c r="C1015" s="47">
        <v>16.051376342773441</v>
      </c>
      <c r="D1015">
        <v>15.1335</v>
      </c>
    </row>
    <row r="1016" spans="2:4" x14ac:dyDescent="0.25">
      <c r="B1016" s="48">
        <v>45761</v>
      </c>
      <c r="C1016" s="47">
        <v>16.174997329711911</v>
      </c>
      <c r="D1016">
        <v>20.141999999999999</v>
      </c>
    </row>
    <row r="1017" spans="2:4" x14ac:dyDescent="0.25">
      <c r="B1017" s="48">
        <v>45762</v>
      </c>
      <c r="C1017" s="47">
        <v>16.194013595581051</v>
      </c>
      <c r="D1017">
        <v>16.8262</v>
      </c>
    </row>
    <row r="1018" spans="2:4" x14ac:dyDescent="0.25">
      <c r="B1018" s="48">
        <v>45763</v>
      </c>
      <c r="C1018" s="47">
        <v>15.766103744506839</v>
      </c>
      <c r="D1018">
        <v>21.244700000000002</v>
      </c>
    </row>
    <row r="1019" spans="2:4" x14ac:dyDescent="0.25">
      <c r="B1019" s="48">
        <v>45764</v>
      </c>
      <c r="C1019" s="47">
        <v>15.3477029800415</v>
      </c>
      <c r="D1019">
        <v>20.714099999999998</v>
      </c>
    </row>
    <row r="1020" spans="2:4" x14ac:dyDescent="0.25">
      <c r="B1020" s="48">
        <v>45768</v>
      </c>
      <c r="C1020" s="47">
        <v>15.766103744506839</v>
      </c>
      <c r="D1020">
        <v>20.6143</v>
      </c>
    </row>
    <row r="1021" spans="2:4" x14ac:dyDescent="0.25">
      <c r="B1021" s="48">
        <v>45769</v>
      </c>
      <c r="C1021" s="47">
        <v>16.0323600769043</v>
      </c>
      <c r="D1021">
        <v>10.459300000000001</v>
      </c>
    </row>
    <row r="1022" spans="2:4" x14ac:dyDescent="0.25">
      <c r="B1022" s="48">
        <v>45770</v>
      </c>
      <c r="C1022" s="47">
        <v>16.384195327758789</v>
      </c>
      <c r="D1022">
        <v>12.5693</v>
      </c>
    </row>
    <row r="1023" spans="2:4" x14ac:dyDescent="0.25">
      <c r="B1023" s="48">
        <v>45771</v>
      </c>
      <c r="C1023" s="47">
        <v>16.507814407348629</v>
      </c>
      <c r="D1023">
        <v>10.165699999999999</v>
      </c>
    </row>
    <row r="1024" spans="2:4" x14ac:dyDescent="0.25">
      <c r="B1024" s="48">
        <v>45772</v>
      </c>
      <c r="C1024" s="47">
        <v>16.54585075378418</v>
      </c>
      <c r="D1024">
        <v>7.5739999999999998</v>
      </c>
    </row>
    <row r="1025" spans="2:4" x14ac:dyDescent="0.25">
      <c r="B1025" s="48">
        <v>45775</v>
      </c>
      <c r="C1025" s="47">
        <v>16.47928619384766</v>
      </c>
      <c r="D1025">
        <v>7.5468999999999999</v>
      </c>
    </row>
    <row r="1026" spans="2:4" x14ac:dyDescent="0.25">
      <c r="B1026" s="48">
        <v>45776</v>
      </c>
      <c r="C1026" s="47">
        <v>16.707504272460941</v>
      </c>
      <c r="D1026">
        <v>7.7695999999999996</v>
      </c>
    </row>
    <row r="1027" spans="2:4" x14ac:dyDescent="0.25">
      <c r="B1027" s="48">
        <v>45777</v>
      </c>
      <c r="C1027" s="47">
        <v>16.73603439331055</v>
      </c>
      <c r="D1027">
        <v>7.0854999999999997</v>
      </c>
    </row>
    <row r="1028" spans="2:4" x14ac:dyDescent="0.25">
      <c r="B1028" s="48">
        <v>45778</v>
      </c>
      <c r="C1028" s="47">
        <v>16.73603439331055</v>
      </c>
      <c r="D1028">
        <v>7.7526999999999999</v>
      </c>
    </row>
    <row r="1029" spans="2:4" x14ac:dyDescent="0.25">
      <c r="B1029" s="48">
        <v>45779</v>
      </c>
      <c r="C1029" s="47">
        <v>17.002286911010739</v>
      </c>
      <c r="D1029">
        <v>8.9405000000000001</v>
      </c>
    </row>
    <row r="1030" spans="2:4" x14ac:dyDescent="0.25">
      <c r="B1030" s="48">
        <v>45782</v>
      </c>
      <c r="C1030" s="47">
        <v>16.973760604858398</v>
      </c>
      <c r="D1030">
        <v>5.6595000000000004</v>
      </c>
    </row>
    <row r="1031" spans="2:4" x14ac:dyDescent="0.25">
      <c r="B1031" s="48">
        <v>45783</v>
      </c>
      <c r="C1031" s="47">
        <v>16.897689819335941</v>
      </c>
      <c r="D1031">
        <v>8.3333999999999993</v>
      </c>
    </row>
    <row r="1032" spans="2:4" x14ac:dyDescent="0.25">
      <c r="B1032" s="48">
        <v>45784</v>
      </c>
      <c r="C1032" s="47">
        <v>16.840633392333981</v>
      </c>
      <c r="D1032">
        <v>5.4790000000000001</v>
      </c>
    </row>
    <row r="1033" spans="2:4" x14ac:dyDescent="0.25">
      <c r="B1033" s="48">
        <v>45785</v>
      </c>
      <c r="C1033" s="47">
        <v>16.63143348693848</v>
      </c>
      <c r="D1033">
        <v>11.433299999999999</v>
      </c>
    </row>
    <row r="1034" spans="2:4" x14ac:dyDescent="0.25">
      <c r="B1034" s="48">
        <v>45786</v>
      </c>
      <c r="C1034" s="47">
        <v>16.63143348693848</v>
      </c>
      <c r="D1034">
        <v>8.6424000000000003</v>
      </c>
    </row>
    <row r="1035" spans="2:4" x14ac:dyDescent="0.25">
      <c r="B1035" s="48">
        <v>45789</v>
      </c>
      <c r="C1035" s="47">
        <v>17.734489440917969</v>
      </c>
      <c r="D1035">
        <v>16.249500000000001</v>
      </c>
    </row>
    <row r="1036" spans="2:4" x14ac:dyDescent="0.25">
      <c r="B1036" s="48">
        <v>45790</v>
      </c>
      <c r="C1036" s="47">
        <v>17.477743148803711</v>
      </c>
      <c r="D1036">
        <v>8.5997000000000003</v>
      </c>
    </row>
    <row r="1037" spans="2:4" x14ac:dyDescent="0.25">
      <c r="B1037" s="48">
        <v>45791</v>
      </c>
      <c r="C1037" s="47">
        <v>17.553817749023441</v>
      </c>
      <c r="D1037">
        <v>8.6481999999999992</v>
      </c>
    </row>
    <row r="1038" spans="2:4" x14ac:dyDescent="0.25">
      <c r="B1038" s="48">
        <v>45792</v>
      </c>
      <c r="C1038" s="47">
        <v>17.801052093505859</v>
      </c>
      <c r="D1038">
        <v>8.0791000000000004</v>
      </c>
    </row>
    <row r="1039" spans="2:4" x14ac:dyDescent="0.25">
      <c r="B1039" s="48">
        <v>45793</v>
      </c>
      <c r="C1039" s="47">
        <v>17.411178588867191</v>
      </c>
      <c r="D1039">
        <v>12.914099999999999</v>
      </c>
    </row>
    <row r="1040" spans="2:4" x14ac:dyDescent="0.25">
      <c r="B1040" s="48">
        <v>45796</v>
      </c>
      <c r="C1040" s="47">
        <v>17.43019866943359</v>
      </c>
      <c r="D1040">
        <v>9.3943999999999992</v>
      </c>
    </row>
    <row r="1041" spans="2:4" x14ac:dyDescent="0.25">
      <c r="B1041" s="48">
        <v>45797</v>
      </c>
      <c r="C1041" s="47">
        <v>17.3446159362793</v>
      </c>
      <c r="D1041">
        <v>7.0655000000000001</v>
      </c>
    </row>
    <row r="1042" spans="2:4" x14ac:dyDescent="0.25">
      <c r="B1042" s="48">
        <v>45798</v>
      </c>
      <c r="C1042" s="47">
        <v>17.2685432434082</v>
      </c>
      <c r="D1042">
        <v>7.8632</v>
      </c>
    </row>
    <row r="1043" spans="2:4" x14ac:dyDescent="0.25">
      <c r="B1043" s="48">
        <v>45799</v>
      </c>
      <c r="C1043" s="47">
        <v>17.154434204101559</v>
      </c>
      <c r="D1043">
        <v>8.3450000000000006</v>
      </c>
    </row>
    <row r="1044" spans="2:4" x14ac:dyDescent="0.25">
      <c r="B1044" s="48">
        <v>45800</v>
      </c>
      <c r="C1044" s="47">
        <v>17.220998764038089</v>
      </c>
      <c r="D1044">
        <v>10.086499999999999</v>
      </c>
    </row>
    <row r="1045" spans="2:4" x14ac:dyDescent="0.25">
      <c r="B1045" s="48">
        <v>45804</v>
      </c>
      <c r="C1045" s="47">
        <v>17.582344055175781</v>
      </c>
      <c r="D1045">
        <v>9.0144000000000002</v>
      </c>
    </row>
    <row r="1046" spans="2:4" x14ac:dyDescent="0.25">
      <c r="B1046" s="48">
        <v>45805</v>
      </c>
      <c r="C1046" s="47">
        <v>17.458724975585941</v>
      </c>
      <c r="D1046">
        <v>6.6258999999999997</v>
      </c>
    </row>
    <row r="1047" spans="2:4" x14ac:dyDescent="0.25">
      <c r="B1047" s="48">
        <v>45806</v>
      </c>
      <c r="C1047" s="47">
        <v>17.553817749023441</v>
      </c>
      <c r="D1047">
        <v>8.5266000000000002</v>
      </c>
    </row>
    <row r="1048" spans="2:4" x14ac:dyDescent="0.25">
      <c r="B1048" s="48">
        <v>45807</v>
      </c>
      <c r="C1048" s="47">
        <v>17.541280746459961</v>
      </c>
      <c r="D1048">
        <v>12.638500000000001</v>
      </c>
    </row>
    <row r="1049" spans="2:4" x14ac:dyDescent="0.25">
      <c r="B1049" s="48">
        <v>45810</v>
      </c>
      <c r="C1049" s="47">
        <v>17.541280746459961</v>
      </c>
      <c r="D1049">
        <v>8.4754000000000005</v>
      </c>
    </row>
    <row r="1050" spans="2:4" x14ac:dyDescent="0.25">
      <c r="B1050" s="48">
        <v>45811</v>
      </c>
      <c r="C1050" s="47">
        <v>17.39662933349609</v>
      </c>
      <c r="D1050">
        <v>11.2196</v>
      </c>
    </row>
    <row r="1051" spans="2:4" x14ac:dyDescent="0.25">
      <c r="B1051" s="48">
        <v>45812</v>
      </c>
      <c r="C1051" s="47">
        <v>17.213405609130859</v>
      </c>
      <c r="D1051">
        <v>7.5416999999999996</v>
      </c>
    </row>
    <row r="1052" spans="2:4" x14ac:dyDescent="0.25">
      <c r="B1052" s="48">
        <v>45813</v>
      </c>
      <c r="C1052" s="47">
        <v>17.290554046630859</v>
      </c>
      <c r="D1052">
        <v>9.5908999999999995</v>
      </c>
    </row>
    <row r="1053" spans="2:4" x14ac:dyDescent="0.25">
      <c r="B1053" s="48">
        <v>45814</v>
      </c>
      <c r="C1053" s="47">
        <v>17.550924301147461</v>
      </c>
      <c r="D1053">
        <v>6.4259000000000004</v>
      </c>
    </row>
    <row r="1054" spans="2:4" x14ac:dyDescent="0.25">
      <c r="B1054" s="48">
        <v>45817</v>
      </c>
      <c r="C1054" s="47">
        <v>17.637714385986332</v>
      </c>
      <c r="D1054">
        <v>5.3867000000000003</v>
      </c>
    </row>
    <row r="1055" spans="2:4" x14ac:dyDescent="0.25">
      <c r="B1055" s="48">
        <v>45818</v>
      </c>
      <c r="C1055" s="47">
        <v>17.849868774414059</v>
      </c>
      <c r="D1055">
        <v>9.5457999999999998</v>
      </c>
    </row>
    <row r="1056" spans="2:4" x14ac:dyDescent="0.25">
      <c r="B1056" s="48">
        <v>45819</v>
      </c>
      <c r="C1056" s="47">
        <v>17.94630241394043</v>
      </c>
      <c r="D1056">
        <v>15.5312</v>
      </c>
    </row>
    <row r="1057" spans="2:4" x14ac:dyDescent="0.25">
      <c r="B1057" s="48">
        <v>45820</v>
      </c>
      <c r="C1057" s="47">
        <v>17.8980827331543</v>
      </c>
      <c r="D1057">
        <v>11.3626</v>
      </c>
    </row>
    <row r="1058" spans="2:4" x14ac:dyDescent="0.25">
      <c r="B1058" s="48">
        <v>45821</v>
      </c>
      <c r="C1058" s="47">
        <v>17.763078689575199</v>
      </c>
      <c r="D1058">
        <v>10.4719</v>
      </c>
    </row>
    <row r="1059" spans="2:4" x14ac:dyDescent="0.25">
      <c r="B1059" s="48">
        <v>45824</v>
      </c>
      <c r="C1059" s="47">
        <v>18.0813102722168</v>
      </c>
      <c r="D1059">
        <v>9.6041000000000007</v>
      </c>
    </row>
    <row r="1060" spans="2:4" x14ac:dyDescent="0.25">
      <c r="B1060" s="48">
        <v>45825</v>
      </c>
      <c r="C1060" s="47">
        <v>18.0041618347168</v>
      </c>
      <c r="D1060">
        <v>10.1289</v>
      </c>
    </row>
    <row r="1061" spans="2:4" x14ac:dyDescent="0.25">
      <c r="B1061" s="48">
        <v>45826</v>
      </c>
      <c r="C1061" s="47">
        <v>17.772722244262699</v>
      </c>
      <c r="D1061">
        <v>10.915900000000001</v>
      </c>
    </row>
    <row r="1062" spans="2:4" x14ac:dyDescent="0.25">
      <c r="B1062" s="48">
        <v>45828</v>
      </c>
      <c r="C1062" s="47">
        <v>17.049468994140621</v>
      </c>
      <c r="D1062">
        <v>37.327100000000002</v>
      </c>
    </row>
    <row r="1063" spans="2:4" x14ac:dyDescent="0.25">
      <c r="B1063" s="48">
        <v>45831</v>
      </c>
      <c r="C1063" s="47">
        <v>17.45449066162109</v>
      </c>
      <c r="D1063">
        <v>15.2728</v>
      </c>
    </row>
    <row r="1064" spans="2:4" x14ac:dyDescent="0.25">
      <c r="B1064" s="48">
        <v>45832</v>
      </c>
      <c r="C1064" s="47">
        <v>17.647356033325199</v>
      </c>
      <c r="D1064">
        <v>8.7637</v>
      </c>
    </row>
    <row r="1065" spans="2:4" x14ac:dyDescent="0.25">
      <c r="B1065" s="48">
        <v>45833</v>
      </c>
      <c r="C1065" s="47">
        <v>17.849868774414059</v>
      </c>
      <c r="D1065">
        <v>10.846500000000001</v>
      </c>
    </row>
    <row r="1066" spans="2:4" x14ac:dyDescent="0.25">
      <c r="B1066" s="48">
        <v>45834</v>
      </c>
      <c r="C1066" s="47">
        <v>17.93665885925293</v>
      </c>
      <c r="D1066">
        <v>14.3277</v>
      </c>
    </row>
    <row r="1067" spans="2:4" x14ac:dyDescent="0.25">
      <c r="B1067" s="48">
        <v>45835</v>
      </c>
      <c r="C1067" s="47">
        <v>17.859512329101559</v>
      </c>
      <c r="D1067">
        <v>13.5021</v>
      </c>
    </row>
    <row r="1068" spans="2:4" x14ac:dyDescent="0.25">
      <c r="B1068" s="48">
        <v>45838</v>
      </c>
      <c r="C1068" s="47">
        <v>17.869155883789059</v>
      </c>
      <c r="D1068">
        <v>12.7431</v>
      </c>
    </row>
    <row r="1069" spans="2:4" x14ac:dyDescent="0.25">
      <c r="B1069" s="48">
        <v>45839</v>
      </c>
      <c r="C1069" s="47">
        <v>18.225957870483398</v>
      </c>
      <c r="D1069">
        <v>15.0101</v>
      </c>
    </row>
    <row r="1070" spans="2:4" x14ac:dyDescent="0.25">
      <c r="B1070" s="48">
        <v>45840</v>
      </c>
      <c r="C1070" s="47">
        <v>18.206670761108398</v>
      </c>
      <c r="D1070">
        <v>9.4283000000000001</v>
      </c>
    </row>
    <row r="1071" spans="2:4" x14ac:dyDescent="0.25">
      <c r="B1071" s="48">
        <v>45841</v>
      </c>
      <c r="C1071" s="47">
        <v>18.283819198608398</v>
      </c>
      <c r="D1071">
        <v>4.2672999999999996</v>
      </c>
    </row>
    <row r="1072" spans="2:4" x14ac:dyDescent="0.25">
      <c r="B1072" s="48">
        <v>45845</v>
      </c>
      <c r="C1072" s="47">
        <v>18.148811340332031</v>
      </c>
      <c r="D1072">
        <v>8.7904</v>
      </c>
    </row>
    <row r="1073" spans="2:4" x14ac:dyDescent="0.25">
      <c r="B1073" s="48">
        <v>45846</v>
      </c>
      <c r="C1073" s="47">
        <v>18.216314315795898</v>
      </c>
      <c r="D1073">
        <v>10.8324</v>
      </c>
    </row>
    <row r="1074" spans="2:4" x14ac:dyDescent="0.25">
      <c r="B1074" s="48">
        <v>45847</v>
      </c>
      <c r="C1074" s="47">
        <v>18.148811340332031</v>
      </c>
      <c r="D1074">
        <v>13.0928</v>
      </c>
    </row>
    <row r="1075" spans="2:4" x14ac:dyDescent="0.25">
      <c r="B1075" s="48">
        <v>45848</v>
      </c>
      <c r="C1075" s="47">
        <v>17.45449066162109</v>
      </c>
      <c r="D1075">
        <v>27.407299999999999</v>
      </c>
    </row>
    <row r="1076" spans="2:4" x14ac:dyDescent="0.25">
      <c r="B1076" s="48">
        <v>45849</v>
      </c>
      <c r="C1076" s="47">
        <v>17.541280746459961</v>
      </c>
      <c r="D1076">
        <v>16.461200000000002</v>
      </c>
    </row>
    <row r="1077" spans="2:4" x14ac:dyDescent="0.25">
      <c r="B1077" s="48">
        <v>45852</v>
      </c>
      <c r="C1077" s="47">
        <v>17.36770057678223</v>
      </c>
      <c r="D1077">
        <v>14.495200000000001</v>
      </c>
    </row>
    <row r="1078" spans="2:4" x14ac:dyDescent="0.25">
      <c r="B1078" s="48">
        <v>45853</v>
      </c>
      <c r="C1078" s="47">
        <v>17.570209503173832</v>
      </c>
      <c r="D1078">
        <v>14.0136</v>
      </c>
    </row>
    <row r="1079" spans="2:4" x14ac:dyDescent="0.25">
      <c r="B1079" s="48">
        <v>45854</v>
      </c>
      <c r="C1079" s="47">
        <v>17.840225219726559</v>
      </c>
      <c r="D1079">
        <v>15.715299999999999</v>
      </c>
    </row>
    <row r="1080" spans="2:4" x14ac:dyDescent="0.25">
      <c r="B1080" s="48">
        <v>45855</v>
      </c>
      <c r="C1080" s="47">
        <v>17.811294555664059</v>
      </c>
      <c r="D1080">
        <v>13.528</v>
      </c>
    </row>
    <row r="1081" spans="2:4" x14ac:dyDescent="0.25">
      <c r="B1081" s="48">
        <v>45856</v>
      </c>
      <c r="C1081" s="47">
        <v>17.560565948486332</v>
      </c>
      <c r="D1081">
        <v>9.7067999999999994</v>
      </c>
    </row>
    <row r="1082" spans="2:4" x14ac:dyDescent="0.25">
      <c r="B1082" s="48">
        <v>45859</v>
      </c>
      <c r="C1082" s="47">
        <v>17.541280746459961</v>
      </c>
      <c r="D1082">
        <v>11.4693</v>
      </c>
    </row>
    <row r="1083" spans="2:4" x14ac:dyDescent="0.25">
      <c r="B1083" s="48">
        <v>45860</v>
      </c>
      <c r="C1083" s="47">
        <v>17.608785629272461</v>
      </c>
      <c r="D1083">
        <v>18.8705</v>
      </c>
    </row>
    <row r="1084" spans="2:4" x14ac:dyDescent="0.25">
      <c r="B1084" s="48">
        <v>45861</v>
      </c>
      <c r="C1084" s="47">
        <v>17.792009353637699</v>
      </c>
      <c r="D1084">
        <v>24.739699999999999</v>
      </c>
    </row>
    <row r="1085" spans="2:4" x14ac:dyDescent="0.25">
      <c r="B1085" s="48">
        <v>45862</v>
      </c>
      <c r="C1085" s="47">
        <v>17.049468994140621</v>
      </c>
      <c r="D1085">
        <v>14.675700000000001</v>
      </c>
    </row>
    <row r="1086" spans="2:4" x14ac:dyDescent="0.25">
      <c r="B1086" s="48">
        <v>45863</v>
      </c>
      <c r="C1086" s="47">
        <v>16.75052452087402</v>
      </c>
      <c r="D1086">
        <v>19.087800000000001</v>
      </c>
    </row>
    <row r="1087" spans="2:4" x14ac:dyDescent="0.25">
      <c r="B1087" s="48">
        <v>45866</v>
      </c>
      <c r="C1087" s="47">
        <v>16.548013687133789</v>
      </c>
      <c r="D1087">
        <v>21.715199999999999</v>
      </c>
    </row>
    <row r="1088" spans="2:4" x14ac:dyDescent="0.25">
      <c r="B1088" s="48">
        <v>45867</v>
      </c>
      <c r="C1088" s="47">
        <v>16.59622955322266</v>
      </c>
      <c r="D1088">
        <v>11.563700000000001</v>
      </c>
    </row>
    <row r="1089" spans="2:4" x14ac:dyDescent="0.25">
      <c r="B1089" s="48">
        <v>45868</v>
      </c>
      <c r="C1089" s="47">
        <v>16.345504760742191</v>
      </c>
      <c r="D1089">
        <v>13.2788</v>
      </c>
    </row>
    <row r="1090" spans="2:4" x14ac:dyDescent="0.25">
      <c r="B1090" s="48">
        <v>45869</v>
      </c>
      <c r="C1090" s="47">
        <v>16.12370491027832</v>
      </c>
      <c r="D1090">
        <v>15.926399999999999</v>
      </c>
    </row>
    <row r="1091" spans="2:4" x14ac:dyDescent="0.25">
      <c r="B1091" s="48">
        <v>45870</v>
      </c>
      <c r="C1091" s="47">
        <v>15.824760437011721</v>
      </c>
      <c r="D1091">
        <v>20.078399999999998</v>
      </c>
    </row>
    <row r="1092" spans="2:4" x14ac:dyDescent="0.25">
      <c r="B1092" s="48">
        <v>45873</v>
      </c>
      <c r="C1092" s="47">
        <v>15.892264366149901</v>
      </c>
      <c r="D1092">
        <v>18.306000000000001</v>
      </c>
    </row>
    <row r="1093" spans="2:4" x14ac:dyDescent="0.25">
      <c r="B1093" s="48">
        <v>45874</v>
      </c>
      <c r="C1093" s="47">
        <v>15.622251510620121</v>
      </c>
      <c r="D1093">
        <v>22.539899999999999</v>
      </c>
    </row>
    <row r="1094" spans="2:4" x14ac:dyDescent="0.25">
      <c r="B1094" s="48">
        <v>45875</v>
      </c>
      <c r="C1094" s="47">
        <v>15.49688720703125</v>
      </c>
      <c r="D1094">
        <v>16.9925</v>
      </c>
    </row>
    <row r="1095" spans="2:4" x14ac:dyDescent="0.25">
      <c r="B1095" s="48">
        <v>45876</v>
      </c>
      <c r="C1095" s="47">
        <v>15.44867038726807</v>
      </c>
      <c r="D1095">
        <v>19.616499999999998</v>
      </c>
    </row>
    <row r="1096" spans="2:4" x14ac:dyDescent="0.25">
      <c r="B1096" s="48">
        <v>45877</v>
      </c>
      <c r="C1096" s="47">
        <v>15.41973972320557</v>
      </c>
      <c r="D1096">
        <v>13.9099</v>
      </c>
    </row>
    <row r="1097" spans="2:4" x14ac:dyDescent="0.25">
      <c r="B1097" s="48">
        <v>45880</v>
      </c>
      <c r="C1097" s="47">
        <v>15.41009616851807</v>
      </c>
      <c r="D1097">
        <v>20.161799999999999</v>
      </c>
    </row>
    <row r="1098" spans="2:4" x14ac:dyDescent="0.25">
      <c r="B1098" s="48">
        <v>45881</v>
      </c>
      <c r="C1098" s="47">
        <v>15.49688720703125</v>
      </c>
      <c r="D1098">
        <v>18.403099999999998</v>
      </c>
    </row>
    <row r="1099" spans="2:4" x14ac:dyDescent="0.25">
      <c r="B1099" s="48">
        <v>45882</v>
      </c>
      <c r="C1099" s="47">
        <v>15.795829772949221</v>
      </c>
      <c r="D1099">
        <v>27.608699999999999</v>
      </c>
    </row>
    <row r="1100" spans="2:4" x14ac:dyDescent="0.25">
      <c r="B1100" s="48">
        <v>45883</v>
      </c>
      <c r="C1100" s="47">
        <v>15.77654457092285</v>
      </c>
      <c r="D1100">
        <v>18.6751</v>
      </c>
    </row>
    <row r="1101" spans="2:4" x14ac:dyDescent="0.25">
      <c r="B1101" s="48">
        <v>45884</v>
      </c>
      <c r="C1101" s="47">
        <v>15.96941089630127</v>
      </c>
      <c r="D1101">
        <v>9.0008999999999997</v>
      </c>
    </row>
    <row r="1102" spans="2:4" x14ac:dyDescent="0.25">
      <c r="B1102" s="48">
        <v>45887</v>
      </c>
      <c r="C1102" s="47">
        <v>15.824760437011721</v>
      </c>
      <c r="D1102">
        <v>11.116099999999999</v>
      </c>
    </row>
    <row r="1103" spans="2:4" x14ac:dyDescent="0.25">
      <c r="B1103" s="48">
        <v>45888</v>
      </c>
      <c r="C1103" s="47">
        <v>16.007986068725589</v>
      </c>
      <c r="D1103">
        <v>18.923300000000001</v>
      </c>
    </row>
    <row r="1104" spans="2:4" x14ac:dyDescent="0.25">
      <c r="B1104" s="48">
        <v>45889</v>
      </c>
      <c r="C1104" s="47">
        <v>16.403364181518551</v>
      </c>
      <c r="D1104">
        <v>22.9496</v>
      </c>
    </row>
    <row r="1105" spans="2:4" x14ac:dyDescent="0.25">
      <c r="B1105" s="48">
        <v>45890</v>
      </c>
      <c r="C1105" s="47">
        <v>16.441934585571289</v>
      </c>
      <c r="D1105">
        <v>19.9741</v>
      </c>
    </row>
    <row r="1106" spans="2:4" x14ac:dyDescent="0.25">
      <c r="B1106" s="48">
        <v>45891</v>
      </c>
      <c r="C1106" s="47">
        <v>16.72159385681152</v>
      </c>
      <c r="D1106">
        <v>33.953400000000002</v>
      </c>
    </row>
    <row r="1107" spans="2:4" x14ac:dyDescent="0.25">
      <c r="B1107" s="48">
        <v>45894</v>
      </c>
      <c r="C1107" s="47">
        <v>16.71195030212402</v>
      </c>
      <c r="D1107">
        <v>17.1874</v>
      </c>
    </row>
    <row r="1108" spans="2:4" x14ac:dyDescent="0.25">
      <c r="B1108" s="48">
        <v>45895</v>
      </c>
      <c r="C1108" s="47">
        <v>16.60587310791016</v>
      </c>
      <c r="D1108">
        <v>14.770200000000001</v>
      </c>
    </row>
    <row r="1109" spans="2:4" x14ac:dyDescent="0.25">
      <c r="B1109" s="48">
        <v>45896</v>
      </c>
      <c r="C1109" s="47">
        <v>16.74088096618652</v>
      </c>
      <c r="D1109">
        <v>10.264900000000001</v>
      </c>
    </row>
    <row r="1110" spans="2:4" x14ac:dyDescent="0.25">
      <c r="B1110" s="48">
        <v>45897</v>
      </c>
      <c r="C1110" s="47">
        <v>16.393720626831051</v>
      </c>
      <c r="D1110">
        <v>28.336300000000001</v>
      </c>
    </row>
    <row r="1111" spans="2:4" x14ac:dyDescent="0.25">
      <c r="B1111" s="48">
        <v>45898</v>
      </c>
      <c r="C1111" s="47">
        <v>16.220138549804691</v>
      </c>
      <c r="D1111">
        <v>17.333200000000001</v>
      </c>
    </row>
    <row r="1112" spans="2:4" x14ac:dyDescent="0.25">
      <c r="B1112" s="48">
        <v>45902</v>
      </c>
      <c r="C1112" s="47">
        <v>16.287641525268551</v>
      </c>
      <c r="D1112">
        <v>13.5031</v>
      </c>
    </row>
    <row r="1113" spans="2:4" x14ac:dyDescent="0.25">
      <c r="B1113" s="48">
        <v>45903</v>
      </c>
      <c r="C1113" s="47">
        <v>16.04655838012695</v>
      </c>
      <c r="D1113">
        <v>19.2636</v>
      </c>
    </row>
    <row r="1114" spans="2:4" x14ac:dyDescent="0.25">
      <c r="B1114" s="48">
        <v>45904</v>
      </c>
      <c r="C1114" s="47">
        <v>15.998342514038089</v>
      </c>
      <c r="D1114">
        <v>15.1677</v>
      </c>
    </row>
    <row r="1115" spans="2:4" x14ac:dyDescent="0.25">
      <c r="B1115" s="48">
        <v>45905</v>
      </c>
      <c r="C1115" s="47">
        <v>15.795829772949221</v>
      </c>
      <c r="D1115">
        <v>23.404</v>
      </c>
    </row>
    <row r="1116" spans="2:4" x14ac:dyDescent="0.25">
      <c r="B1116" s="48">
        <v>45908</v>
      </c>
      <c r="C1116" s="47">
        <v>16.19120979309082</v>
      </c>
      <c r="D1116">
        <v>25.547899999999998</v>
      </c>
    </row>
    <row r="1117" spans="2:4" x14ac:dyDescent="0.25">
      <c r="B1117" s="48">
        <v>45909</v>
      </c>
      <c r="C1117" s="47">
        <v>16.403364181518551</v>
      </c>
      <c r="D1117">
        <v>14.879899999999999</v>
      </c>
    </row>
    <row r="1118" spans="2:4" x14ac:dyDescent="0.25">
      <c r="B1118" s="48">
        <v>45910</v>
      </c>
      <c r="C1118" s="47">
        <v>16.374433517456051</v>
      </c>
      <c r="D1118">
        <v>17.812799999999999</v>
      </c>
    </row>
    <row r="1119" spans="2:4" x14ac:dyDescent="0.25">
      <c r="B1119" s="48">
        <v>45911</v>
      </c>
      <c r="C1119" s="47">
        <v>16.461221694946289</v>
      </c>
      <c r="D1119">
        <v>30.2376</v>
      </c>
    </row>
    <row r="1120" spans="2:4" x14ac:dyDescent="0.25">
      <c r="B1120" s="48">
        <v>45912</v>
      </c>
      <c r="C1120" s="47">
        <v>16.355146408081051</v>
      </c>
      <c r="D1120">
        <v>12.966900000000001</v>
      </c>
    </row>
    <row r="1121" spans="2:4" x14ac:dyDescent="0.25">
      <c r="B1121" s="48">
        <v>45915</v>
      </c>
      <c r="C1121" s="47">
        <v>16.316574096679691</v>
      </c>
      <c r="D1121">
        <v>18.852799999999998</v>
      </c>
    </row>
    <row r="1122" spans="2:4" x14ac:dyDescent="0.25">
      <c r="B1122" s="48">
        <v>45916</v>
      </c>
      <c r="C1122" s="47">
        <v>16.451578140258789</v>
      </c>
      <c r="D1122">
        <v>17.749400000000001</v>
      </c>
    </row>
    <row r="1123" spans="2:4" x14ac:dyDescent="0.25">
      <c r="B1123" s="48">
        <v>45917</v>
      </c>
      <c r="C1123" s="47">
        <v>17.049468994140621</v>
      </c>
      <c r="D1123">
        <v>32.050800000000002</v>
      </c>
    </row>
    <row r="1124" spans="2:4" x14ac:dyDescent="0.25">
      <c r="B1124" s="48">
        <v>45918</v>
      </c>
      <c r="C1124" s="47">
        <v>16.943389892578121</v>
      </c>
      <c r="D1124">
        <v>13.245799999999999</v>
      </c>
    </row>
    <row r="1125" spans="2:4" x14ac:dyDescent="0.25">
      <c r="B1125" s="48">
        <v>45919</v>
      </c>
      <c r="C1125" s="47">
        <v>16.364789962768551</v>
      </c>
      <c r="D1125">
        <v>54.720199999999998</v>
      </c>
    </row>
    <row r="1126" spans="2:4" x14ac:dyDescent="0.25">
      <c r="B1126" s="48">
        <v>45922</v>
      </c>
      <c r="C1126" s="47">
        <v>16.538370132446289</v>
      </c>
      <c r="D1126">
        <v>14.994199999999999</v>
      </c>
    </row>
    <row r="1127" spans="2:4" x14ac:dyDescent="0.25">
      <c r="B1127" s="48">
        <v>45923</v>
      </c>
      <c r="C1127" s="47">
        <v>16.277997970581051</v>
      </c>
      <c r="D1127">
        <v>11.5244</v>
      </c>
    </row>
    <row r="1128" spans="2:4" x14ac:dyDescent="0.25">
      <c r="B1128" s="48">
        <v>45924</v>
      </c>
      <c r="C1128" s="47">
        <v>16.422649383544918</v>
      </c>
      <c r="D1128">
        <v>17.049600000000002</v>
      </c>
    </row>
    <row r="1129" spans="2:4" x14ac:dyDescent="0.25">
      <c r="B1129" s="48">
        <v>45925</v>
      </c>
      <c r="C1129" s="47">
        <v>15.950125694274901</v>
      </c>
      <c r="D1129">
        <v>17.831199999999999</v>
      </c>
    </row>
    <row r="1130" spans="2:4" x14ac:dyDescent="0.25">
      <c r="B1130" s="48">
        <v>45926</v>
      </c>
      <c r="C1130" s="47">
        <v>15.930838584899901</v>
      </c>
      <c r="D1130">
        <v>19.4635</v>
      </c>
    </row>
    <row r="1131" spans="2:4" x14ac:dyDescent="0.25">
      <c r="B1131" s="48">
        <v>45929</v>
      </c>
      <c r="C1131" s="47">
        <v>15.73797130584717</v>
      </c>
      <c r="D1131">
        <v>19.3703</v>
      </c>
    </row>
    <row r="1132" spans="2:4" x14ac:dyDescent="0.25">
      <c r="B1132" s="48">
        <v>45930</v>
      </c>
      <c r="C1132" s="47">
        <v>15.689754486083981</v>
      </c>
      <c r="D1132">
        <v>13.331200000000001</v>
      </c>
    </row>
    <row r="1133" spans="2:4" x14ac:dyDescent="0.25">
      <c r="B1133" s="48">
        <v>45931</v>
      </c>
      <c r="C1133" s="47">
        <v>15.78618812561035</v>
      </c>
      <c r="D1133">
        <v>15.8992</v>
      </c>
    </row>
    <row r="1134" spans="2:4" x14ac:dyDescent="0.25">
      <c r="B1134" s="48">
        <v>45932</v>
      </c>
      <c r="C1134" s="47">
        <v>15.574033737182621</v>
      </c>
      <c r="D1134">
        <v>13.738799999999999</v>
      </c>
    </row>
    <row r="1135" spans="2:4" x14ac:dyDescent="0.25">
      <c r="B1135" s="48">
        <v>45933</v>
      </c>
      <c r="C1135" s="47">
        <v>15.651180267333981</v>
      </c>
      <c r="D1135">
        <v>15.110099999999999</v>
      </c>
    </row>
    <row r="1136" spans="2:4" x14ac:dyDescent="0.25">
      <c r="B1136" s="48">
        <v>45936</v>
      </c>
      <c r="C1136" s="47">
        <v>16.09477615356445</v>
      </c>
      <c r="D1136">
        <v>21.090499999999999</v>
      </c>
    </row>
    <row r="1137" spans="2:4" x14ac:dyDescent="0.25">
      <c r="B1137" s="48">
        <v>45937</v>
      </c>
      <c r="C1137" s="47">
        <v>15.805473327636721</v>
      </c>
      <c r="D1137">
        <v>15.1785</v>
      </c>
    </row>
    <row r="1138" spans="2:4" x14ac:dyDescent="0.25">
      <c r="B1138" s="48">
        <v>45938</v>
      </c>
      <c r="C1138" s="47">
        <v>16.14299201965332</v>
      </c>
      <c r="D1138">
        <v>13.231299999999999</v>
      </c>
    </row>
    <row r="1139" spans="2:4" x14ac:dyDescent="0.25">
      <c r="B1139" s="48">
        <v>45939</v>
      </c>
      <c r="C1139" s="47">
        <v>16.451578140258789</v>
      </c>
      <c r="D1139">
        <v>21.105899999999998</v>
      </c>
    </row>
    <row r="1140" spans="2:4" x14ac:dyDescent="0.25">
      <c r="B1140" s="48">
        <v>45940</v>
      </c>
      <c r="C1140" s="47">
        <v>15.98869800567627</v>
      </c>
      <c r="D1140">
        <v>15.1327</v>
      </c>
    </row>
    <row r="1141" spans="2:4" x14ac:dyDescent="0.25">
      <c r="B1141" s="48">
        <v>45943</v>
      </c>
      <c r="C1141" s="47">
        <v>16.18156623840332</v>
      </c>
      <c r="D1141">
        <v>9.9597999999999995</v>
      </c>
    </row>
    <row r="1142" spans="2:4" x14ac:dyDescent="0.25">
      <c r="B1142" s="48">
        <v>45944</v>
      </c>
      <c r="C1142" s="47">
        <v>15.892264366149901</v>
      </c>
      <c r="D1142">
        <v>19.1816</v>
      </c>
    </row>
    <row r="1143" spans="2:4" x14ac:dyDescent="0.25">
      <c r="B1143" s="48">
        <v>45945</v>
      </c>
      <c r="C1143" s="47">
        <v>15.85369300842285</v>
      </c>
      <c r="D1143">
        <v>23.613299999999999</v>
      </c>
    </row>
    <row r="1144" spans="2:4" x14ac:dyDescent="0.25">
      <c r="B1144" s="48">
        <v>45946</v>
      </c>
      <c r="C1144" s="47">
        <v>15.49688720703125</v>
      </c>
      <c r="D1144">
        <v>30.758900000000001</v>
      </c>
    </row>
    <row r="1145" spans="2:4" x14ac:dyDescent="0.25">
      <c r="B1145" s="48">
        <v>45947</v>
      </c>
      <c r="C1145" s="47">
        <v>15.74761486053467</v>
      </c>
      <c r="D1145">
        <v>12.874599999999999</v>
      </c>
    </row>
    <row r="1146" spans="2:4" x14ac:dyDescent="0.25">
      <c r="B1146" s="48">
        <v>45950</v>
      </c>
      <c r="C1146" s="47">
        <v>16.306928634643551</v>
      </c>
      <c r="D1146">
        <v>19.872900000000001</v>
      </c>
    </row>
    <row r="1147" spans="2:4" x14ac:dyDescent="0.25">
      <c r="B1147" s="48">
        <v>45951</v>
      </c>
      <c r="C1147" s="47">
        <v>16.789096832275391</v>
      </c>
      <c r="D1147">
        <v>24.526800000000001</v>
      </c>
    </row>
    <row r="1148" spans="2:4" x14ac:dyDescent="0.25">
      <c r="B1148" s="48">
        <v>45952</v>
      </c>
      <c r="C1148" s="47">
        <v>16.846958160400391</v>
      </c>
      <c r="D1148">
        <v>23.013100000000001</v>
      </c>
    </row>
    <row r="1149" spans="2:4" x14ac:dyDescent="0.25">
      <c r="B1149" s="48">
        <v>45953</v>
      </c>
      <c r="C1149" s="47">
        <v>16.904817581176761</v>
      </c>
      <c r="D1149">
        <v>14.1388</v>
      </c>
    </row>
    <row r="1150" spans="2:4" x14ac:dyDescent="0.25">
      <c r="B1150" s="48">
        <v>45954</v>
      </c>
      <c r="C1150" s="47">
        <v>16.856601715087891</v>
      </c>
      <c r="D1150">
        <v>8.4924999999999997</v>
      </c>
    </row>
    <row r="1151" spans="2:4" x14ac:dyDescent="0.25">
      <c r="B1151" s="48">
        <v>45957</v>
      </c>
      <c r="C1151" s="47">
        <v>16.6794319152832</v>
      </c>
      <c r="D1151">
        <v>11.499700000000001</v>
      </c>
    </row>
    <row r="1152" spans="2:4" x14ac:dyDescent="0.25">
      <c r="B1152" s="48">
        <v>45958</v>
      </c>
      <c r="C1152" s="47">
        <v>16.5326042175293</v>
      </c>
      <c r="D1152">
        <v>15.833299999999999</v>
      </c>
    </row>
    <row r="1153" spans="2:4" x14ac:dyDescent="0.25">
      <c r="B1153" s="48">
        <v>45959</v>
      </c>
      <c r="C1153" s="47">
        <v>16.5228157043457</v>
      </c>
      <c r="D1153">
        <v>13.8482</v>
      </c>
    </row>
    <row r="1154" spans="2:4" x14ac:dyDescent="0.25">
      <c r="B1154" s="48">
        <v>45960</v>
      </c>
      <c r="C1154" s="47">
        <v>16.287895202636719</v>
      </c>
      <c r="D1154">
        <v>14.1274</v>
      </c>
    </row>
    <row r="1155" spans="2:4" x14ac:dyDescent="0.25">
      <c r="B1155" s="48">
        <v>45961</v>
      </c>
      <c r="C1155" s="47">
        <v>16.219375610351559</v>
      </c>
      <c r="D1155">
        <v>13.4594</v>
      </c>
    </row>
    <row r="1156" spans="2:4" x14ac:dyDescent="0.25">
      <c r="B1156" s="48">
        <v>45964</v>
      </c>
      <c r="C1156" s="47">
        <v>16.062761306762699</v>
      </c>
      <c r="D1156">
        <v>12.2738</v>
      </c>
    </row>
    <row r="1157" spans="2:4" x14ac:dyDescent="0.25">
      <c r="B1157" s="48">
        <v>45965</v>
      </c>
      <c r="C1157" s="47">
        <v>15.9550895690918</v>
      </c>
      <c r="D1157">
        <v>10.752700000000001</v>
      </c>
    </row>
    <row r="1158" spans="2:4" x14ac:dyDescent="0.25">
      <c r="B1158" s="48">
        <v>45966</v>
      </c>
      <c r="C1158" s="47">
        <v>16.072551727294918</v>
      </c>
      <c r="D1158">
        <v>9.3229000000000006</v>
      </c>
    </row>
    <row r="1159" spans="2:4" x14ac:dyDescent="0.25">
      <c r="B1159" s="48">
        <v>45967</v>
      </c>
      <c r="C1159" s="47">
        <v>15.837629318237299</v>
      </c>
      <c r="D1159">
        <v>10.3416</v>
      </c>
    </row>
    <row r="1160" spans="2:4" x14ac:dyDescent="0.25">
      <c r="B1160" s="48">
        <v>45968</v>
      </c>
      <c r="C1160" s="47">
        <v>16.150857925415039</v>
      </c>
      <c r="D1160">
        <v>8.0945</v>
      </c>
    </row>
    <row r="1161" spans="2:4" x14ac:dyDescent="0.25">
      <c r="B1161" s="48">
        <v>45971</v>
      </c>
      <c r="C1161" s="47">
        <v>16.40535736083984</v>
      </c>
      <c r="D1161">
        <v>9.8899000000000008</v>
      </c>
    </row>
    <row r="1162" spans="2:4" x14ac:dyDescent="0.25">
      <c r="B1162" s="48">
        <v>45972</v>
      </c>
      <c r="C1162" s="47">
        <v>16.650066375732418</v>
      </c>
      <c r="D1162">
        <v>9.3703000000000003</v>
      </c>
    </row>
    <row r="1163" spans="2:4" x14ac:dyDescent="0.25">
      <c r="B1163" s="48">
        <v>45973</v>
      </c>
      <c r="C1163" s="47">
        <v>16.728374481201168</v>
      </c>
      <c r="D1163">
        <v>10.919499999999999</v>
      </c>
    </row>
    <row r="1164" spans="2:4" x14ac:dyDescent="0.25">
      <c r="B1164" s="48">
        <v>45974</v>
      </c>
      <c r="C1164" s="47">
        <v>16.60112380981445</v>
      </c>
      <c r="D1164">
        <v>10.3049</v>
      </c>
    </row>
    <row r="1165" spans="2:4" x14ac:dyDescent="0.25">
      <c r="B1165" s="48">
        <v>45975</v>
      </c>
      <c r="C1165" s="47">
        <v>16.297683715820309</v>
      </c>
      <c r="D1165">
        <v>11.2486</v>
      </c>
    </row>
    <row r="1166" spans="2:4" x14ac:dyDescent="0.25">
      <c r="B1166" s="48">
        <v>45978</v>
      </c>
      <c r="C1166" s="47">
        <v>16.415145874023441</v>
      </c>
      <c r="D1166">
        <v>10.426600000000001</v>
      </c>
    </row>
    <row r="1167" spans="2:4" x14ac:dyDescent="0.25">
      <c r="B1167" s="48">
        <v>45979</v>
      </c>
      <c r="C1167" s="47">
        <v>16.591337203979489</v>
      </c>
      <c r="D1167">
        <v>14.3713</v>
      </c>
    </row>
    <row r="1168" spans="2:4" x14ac:dyDescent="0.25">
      <c r="B1168" s="48">
        <v>45980</v>
      </c>
      <c r="C1168" s="47">
        <v>16.943717956542969</v>
      </c>
      <c r="D1168">
        <v>7.8076999999999996</v>
      </c>
    </row>
    <row r="1169" spans="2:4" x14ac:dyDescent="0.25">
      <c r="B1169" s="48">
        <v>45981</v>
      </c>
      <c r="C1169" s="47">
        <v>16.767526626586911</v>
      </c>
      <c r="D1169">
        <v>12.455</v>
      </c>
    </row>
    <row r="1170" spans="2:4" x14ac:dyDescent="0.25">
      <c r="B1170" s="48">
        <v>45982</v>
      </c>
      <c r="C1170" s="47">
        <v>17.325466156005859</v>
      </c>
      <c r="D1170">
        <v>16.657</v>
      </c>
    </row>
    <row r="1171" spans="2:4" x14ac:dyDescent="0.25">
      <c r="B1171" s="48">
        <v>45985</v>
      </c>
      <c r="C1171" s="47">
        <v>16.90456581115723</v>
      </c>
      <c r="D1171">
        <v>12.775</v>
      </c>
    </row>
    <row r="1172" spans="2:4" x14ac:dyDescent="0.25">
      <c r="B1172" s="48">
        <v>45986</v>
      </c>
      <c r="C1172" s="47">
        <v>16.91435432434082</v>
      </c>
      <c r="D1172">
        <v>10.433199999999999</v>
      </c>
    </row>
    <row r="1173" spans="2:4" x14ac:dyDescent="0.25">
      <c r="B1173" s="48">
        <v>45987</v>
      </c>
      <c r="C1173" s="47">
        <v>17.0513916015625</v>
      </c>
      <c r="D1173">
        <v>8.26</v>
      </c>
    </row>
    <row r="1174" spans="2:4" x14ac:dyDescent="0.25">
      <c r="B1174" s="48">
        <v>45989</v>
      </c>
      <c r="C1174" s="47">
        <v>17.11012077331543</v>
      </c>
      <c r="D1174">
        <v>3.6888999999999998</v>
      </c>
    </row>
    <row r="1175" spans="2:4" x14ac:dyDescent="0.25">
      <c r="B1175" s="48">
        <v>45992</v>
      </c>
      <c r="C1175" s="47">
        <v>17.080757141113281</v>
      </c>
      <c r="D1175">
        <v>5.5084</v>
      </c>
    </row>
    <row r="1176" spans="2:4" x14ac:dyDescent="0.25">
      <c r="B1176" s="48">
        <v>45993</v>
      </c>
      <c r="C1176" s="47">
        <v>17.04160118103027</v>
      </c>
      <c r="D1176">
        <v>6.6428000000000003</v>
      </c>
    </row>
    <row r="1177" spans="2:4" x14ac:dyDescent="0.25">
      <c r="B1177" s="48">
        <v>45994</v>
      </c>
      <c r="C1177" s="47">
        <v>17.286312103271481</v>
      </c>
      <c r="D1177">
        <v>7.4127000000000001</v>
      </c>
    </row>
    <row r="1178" spans="2:4" x14ac:dyDescent="0.25">
      <c r="B1178" s="48">
        <v>45995</v>
      </c>
      <c r="C1178" s="47">
        <v>17.902982711791989</v>
      </c>
      <c r="D1178">
        <v>18.299700000000001</v>
      </c>
    </row>
    <row r="1179" spans="2:4" x14ac:dyDescent="0.25">
      <c r="B1179" s="48">
        <v>45996</v>
      </c>
      <c r="C1179" s="47">
        <v>17.68763542175293</v>
      </c>
      <c r="D1179">
        <v>9.1982999999999997</v>
      </c>
    </row>
    <row r="1180" spans="2:4" x14ac:dyDescent="0.25">
      <c r="B1180" s="48">
        <v>45999</v>
      </c>
      <c r="C1180" s="47">
        <v>17.345041275024411</v>
      </c>
      <c r="D1180">
        <v>7.2095000000000002</v>
      </c>
    </row>
    <row r="1181" spans="2:4" x14ac:dyDescent="0.25">
      <c r="B1181" s="48">
        <v>46000</v>
      </c>
      <c r="C1181" s="47">
        <v>17.374408721923832</v>
      </c>
      <c r="D1181">
        <v>16.529</v>
      </c>
    </row>
    <row r="1182" spans="2:4" x14ac:dyDescent="0.25">
      <c r="B1182" s="48">
        <v>46001</v>
      </c>
      <c r="C1182" s="47">
        <v>17.68763542175293</v>
      </c>
      <c r="D1182">
        <v>10.143599999999999</v>
      </c>
    </row>
    <row r="1183" spans="2:4" x14ac:dyDescent="0.25">
      <c r="B1183" s="48">
        <v>46002</v>
      </c>
      <c r="C1183" s="47">
        <v>17.423349380493161</v>
      </c>
      <c r="D1183">
        <v>12.986499999999999</v>
      </c>
    </row>
    <row r="1184" spans="2:4" x14ac:dyDescent="0.25">
      <c r="B1184" s="48">
        <v>46003</v>
      </c>
      <c r="C1184" s="47">
        <v>17.403774261474609</v>
      </c>
      <c r="D1184">
        <v>7.9558999999999997</v>
      </c>
    </row>
    <row r="1185" spans="2:4" x14ac:dyDescent="0.25">
      <c r="B1185" s="48">
        <v>46006</v>
      </c>
      <c r="C1185" s="47">
        <v>17.403774261474609</v>
      </c>
      <c r="D1185">
        <v>8.0912000000000006</v>
      </c>
    </row>
    <row r="1186" spans="2:4" x14ac:dyDescent="0.25">
      <c r="B1186" s="48">
        <v>46007</v>
      </c>
      <c r="C1186" s="47">
        <v>17.393985748291019</v>
      </c>
      <c r="D1186">
        <v>14.0588</v>
      </c>
    </row>
    <row r="1187" spans="2:4" x14ac:dyDescent="0.25">
      <c r="B1187" s="48">
        <v>46008</v>
      </c>
      <c r="C1187" s="47">
        <v>17.8344612121582</v>
      </c>
      <c r="D1187">
        <v>15.9749</v>
      </c>
    </row>
    <row r="1188" spans="2:4" x14ac:dyDescent="0.25">
      <c r="B1188" s="48">
        <v>46009</v>
      </c>
      <c r="C1188" s="47">
        <v>18.774148941040039</v>
      </c>
      <c r="D1188">
        <v>29.526499999999999</v>
      </c>
    </row>
    <row r="1189" spans="2:4" x14ac:dyDescent="0.25">
      <c r="B1189" s="48">
        <v>46010</v>
      </c>
      <c r="C1189" s="47">
        <v>19.792140960693359</v>
      </c>
      <c r="D1189">
        <v>118.7058</v>
      </c>
    </row>
    <row r="1190" spans="2:4" x14ac:dyDescent="0.25">
      <c r="B1190" s="48">
        <v>46013</v>
      </c>
      <c r="C1190" s="47">
        <v>18.754571914672852</v>
      </c>
      <c r="D1190">
        <v>23.938800000000001</v>
      </c>
    </row>
    <row r="1191" spans="2:4" x14ac:dyDescent="0.25">
      <c r="B1191" s="48">
        <v>46014</v>
      </c>
      <c r="C1191" s="47">
        <v>18.177055358886719</v>
      </c>
      <c r="D1191">
        <v>13.291700000000001</v>
      </c>
    </row>
    <row r="1192" spans="2:4" x14ac:dyDescent="0.25">
      <c r="B1192" s="48">
        <v>46015</v>
      </c>
      <c r="C1192" s="47">
        <v>18.27494049072266</v>
      </c>
      <c r="D1192">
        <v>13.262499999999999</v>
      </c>
    </row>
    <row r="1193" spans="2:4" x14ac:dyDescent="0.25">
      <c r="B1193" s="48">
        <v>46017</v>
      </c>
      <c r="C1193" s="47">
        <v>18.392402648925781</v>
      </c>
      <c r="D1193">
        <v>6.2039999999999997</v>
      </c>
    </row>
    <row r="1194" spans="2:4" x14ac:dyDescent="0.25">
      <c r="B1194" s="48">
        <v>46020</v>
      </c>
      <c r="C1194" s="47">
        <v>18.040019989013668</v>
      </c>
      <c r="D1194">
        <v>6.0755999999999997</v>
      </c>
    </row>
    <row r="1195" spans="2:4" x14ac:dyDescent="0.25">
      <c r="B1195" s="48">
        <v>46021</v>
      </c>
      <c r="C1195" s="47">
        <v>17.658271789550781</v>
      </c>
      <c r="D1195">
        <v>6.8673999999999999</v>
      </c>
    </row>
    <row r="1196" spans="2:4" x14ac:dyDescent="0.25">
      <c r="B1196" s="48">
        <v>46022</v>
      </c>
      <c r="C1196" s="47">
        <v>17.442926406860352</v>
      </c>
      <c r="D1196">
        <v>4.5240999999999998</v>
      </c>
    </row>
    <row r="1197" spans="2:4" x14ac:dyDescent="0.25">
      <c r="B1197" s="48">
        <v>46024</v>
      </c>
      <c r="C1197" s="47">
        <v>17.76594352722168</v>
      </c>
      <c r="D1197">
        <v>8.3277000000000001</v>
      </c>
    </row>
    <row r="1198" spans="2:4" x14ac:dyDescent="0.25">
      <c r="B1198" s="48">
        <v>46027</v>
      </c>
      <c r="C1198" s="47">
        <v>17.305889129638668</v>
      </c>
      <c r="D1198">
        <v>16.098800000000001</v>
      </c>
    </row>
    <row r="1199" spans="2:4" x14ac:dyDescent="0.25">
      <c r="B1199" s="48">
        <v>46028</v>
      </c>
      <c r="C1199" s="47">
        <v>17.71700286865234</v>
      </c>
      <c r="D1199">
        <v>11.9069</v>
      </c>
    </row>
    <row r="1200" spans="2:4" x14ac:dyDescent="0.25">
      <c r="B1200" s="48">
        <v>46029</v>
      </c>
      <c r="C1200" s="47">
        <v>17.8442497253418</v>
      </c>
      <c r="D1200">
        <v>8.9600000000000009</v>
      </c>
    </row>
    <row r="1201" spans="2:4" x14ac:dyDescent="0.25">
      <c r="B1201" s="48">
        <v>46030</v>
      </c>
      <c r="C1201" s="47">
        <v>17.658271789550781</v>
      </c>
      <c r="D1201">
        <v>7.4615999999999998</v>
      </c>
    </row>
    <row r="1202" spans="2:4" x14ac:dyDescent="0.25">
      <c r="B1202" s="48">
        <v>46031</v>
      </c>
      <c r="C1202" s="47">
        <v>17.452714920043949</v>
      </c>
      <c r="D1202">
        <v>6.3563000000000001</v>
      </c>
    </row>
    <row r="1203" spans="2:4" x14ac:dyDescent="0.25">
      <c r="B1203" s="48">
        <v>46034</v>
      </c>
      <c r="C1203" s="47">
        <v>17.423349380493161</v>
      </c>
      <c r="D1203">
        <v>12.8116</v>
      </c>
    </row>
    <row r="1204" spans="2:4" x14ac:dyDescent="0.25">
      <c r="B1204" s="48">
        <v>46035</v>
      </c>
      <c r="C1204" s="47">
        <v>17.149274826049801</v>
      </c>
      <c r="D1204">
        <v>19.913499999999999</v>
      </c>
    </row>
    <row r="1205" spans="2:4" x14ac:dyDescent="0.25">
      <c r="B1205" s="48">
        <v>46036</v>
      </c>
      <c r="C1205" s="47">
        <v>18.9405517578125</v>
      </c>
      <c r="D1205">
        <v>37.606900000000003</v>
      </c>
    </row>
    <row r="1206" spans="2:4" x14ac:dyDescent="0.25">
      <c r="B1206" s="48">
        <v>46037</v>
      </c>
      <c r="C1206" s="47">
        <v>18.42176628112793</v>
      </c>
      <c r="D1206">
        <v>19.0778</v>
      </c>
    </row>
    <row r="1207" spans="2:4" x14ac:dyDescent="0.25">
      <c r="B1207" s="48">
        <v>46038</v>
      </c>
      <c r="C1207" s="47">
        <v>18.235786437988281</v>
      </c>
      <c r="D1207">
        <v>12.7927</v>
      </c>
    </row>
    <row r="1208" spans="2:4" x14ac:dyDescent="0.25">
      <c r="B1208" s="48">
        <v>46042</v>
      </c>
      <c r="C1208" s="47">
        <v>17.824672698974609</v>
      </c>
      <c r="D1208">
        <v>8.8854000000000006</v>
      </c>
    </row>
    <row r="1209" spans="2:4" x14ac:dyDescent="0.25">
      <c r="B1209" s="48">
        <v>46043</v>
      </c>
      <c r="C1209" s="47">
        <v>17.92255783081055</v>
      </c>
      <c r="D1209">
        <v>9.3118999999999996</v>
      </c>
    </row>
    <row r="1210" spans="2:4" x14ac:dyDescent="0.25">
      <c r="B1210" s="48">
        <v>46044</v>
      </c>
      <c r="C1210" s="47">
        <v>17.902982711791989</v>
      </c>
      <c r="D1210">
        <v>7.3463000000000003</v>
      </c>
    </row>
    <row r="1211" spans="2:4" x14ac:dyDescent="0.25">
      <c r="B1211" s="48">
        <v>46045</v>
      </c>
      <c r="C1211" s="47">
        <v>17.854038238525391</v>
      </c>
      <c r="D1211">
        <v>4.3475999999999999</v>
      </c>
    </row>
    <row r="1212" spans="2:4" x14ac:dyDescent="0.25">
      <c r="B1212" s="48">
        <v>46048</v>
      </c>
      <c r="C1212" s="47">
        <v>18.157478332519531</v>
      </c>
      <c r="D1212">
        <v>5.1623999999999999</v>
      </c>
    </row>
    <row r="1213" spans="2:4" x14ac:dyDescent="0.25">
      <c r="B1213" s="48">
        <v>46049</v>
      </c>
      <c r="C1213" s="47">
        <v>17.863826751708981</v>
      </c>
      <c r="D1213">
        <v>7.9602000000000004</v>
      </c>
    </row>
    <row r="1214" spans="2:4" x14ac:dyDescent="0.25">
      <c r="B1214" s="48">
        <v>46050</v>
      </c>
      <c r="C1214" s="47">
        <v>17.550600051879879</v>
      </c>
      <c r="D1214">
        <v>8.7292000000000005</v>
      </c>
    </row>
    <row r="1215" spans="2:4" x14ac:dyDescent="0.25">
      <c r="B1215" s="48">
        <v>46051</v>
      </c>
      <c r="C1215" s="47">
        <v>17.374408721923832</v>
      </c>
      <c r="D1215">
        <v>15.133900000000001</v>
      </c>
    </row>
    <row r="1216" spans="2:4" x14ac:dyDescent="0.25">
      <c r="B1216" s="48">
        <v>46052</v>
      </c>
      <c r="C1216" s="47">
        <v>17.208003997802731</v>
      </c>
      <c r="D1216">
        <v>17.1905</v>
      </c>
    </row>
    <row r="1217" spans="2:4" x14ac:dyDescent="0.25">
      <c r="B1217" s="48">
        <v>46055</v>
      </c>
      <c r="C1217" s="47">
        <v>17.951923370361332</v>
      </c>
      <c r="D1217">
        <v>14.203799999999999</v>
      </c>
    </row>
    <row r="1218" spans="2:4" x14ac:dyDescent="0.25">
      <c r="B1218" s="48">
        <v>46056</v>
      </c>
      <c r="C1218" s="47">
        <v>16.953506469726559</v>
      </c>
      <c r="D1218">
        <v>29.449200000000001</v>
      </c>
    </row>
    <row r="1219" spans="2:4" x14ac:dyDescent="0.25">
      <c r="B1219" s="48">
        <v>46057</v>
      </c>
      <c r="C1219" s="47">
        <v>16.38577842712402</v>
      </c>
      <c r="D1219">
        <v>32.385599999999997</v>
      </c>
    </row>
    <row r="1220" spans="2:4" x14ac:dyDescent="0.25">
      <c r="B1220" s="48">
        <v>46058</v>
      </c>
      <c r="C1220" s="47">
        <v>16.444509506225589</v>
      </c>
      <c r="D1220">
        <v>13.642799999999999</v>
      </c>
    </row>
    <row r="1221" spans="2:4" x14ac:dyDescent="0.25">
      <c r="B1221" s="48">
        <v>46059</v>
      </c>
      <c r="C1221" s="47">
        <v>16.483663558959961</v>
      </c>
      <c r="D1221">
        <v>14.6225</v>
      </c>
    </row>
    <row r="1222" spans="2:4" x14ac:dyDescent="0.25">
      <c r="B1222" s="48">
        <v>46062</v>
      </c>
      <c r="C1222" s="47">
        <v>15.964878082275391</v>
      </c>
      <c r="D1222">
        <v>10.2782</v>
      </c>
    </row>
    <row r="1223" spans="2:4" x14ac:dyDescent="0.25">
      <c r="B1223" s="48">
        <v>46063</v>
      </c>
      <c r="C1223" s="47">
        <v>16.25853157043457</v>
      </c>
      <c r="D1223">
        <v>9.9780999999999995</v>
      </c>
    </row>
    <row r="1224" spans="2:4" x14ac:dyDescent="0.25">
      <c r="B1224" s="48">
        <v>46064</v>
      </c>
      <c r="C1224" s="47">
        <v>15.426516532897949</v>
      </c>
      <c r="D1224">
        <v>12.472899999999999</v>
      </c>
    </row>
    <row r="1225" spans="2:4" x14ac:dyDescent="0.25">
      <c r="B1225" s="48">
        <v>46065</v>
      </c>
      <c r="C1225" s="47">
        <v>13.90931510925293</v>
      </c>
      <c r="D1225">
        <v>32.387500000000003</v>
      </c>
    </row>
    <row r="1226" spans="2:4" x14ac:dyDescent="0.25">
      <c r="B1226" s="48">
        <v>46066</v>
      </c>
      <c r="C1226" s="47">
        <v>14.408523559570311</v>
      </c>
      <c r="D1226">
        <v>19.8383</v>
      </c>
    </row>
    <row r="1227" spans="2:4" x14ac:dyDescent="0.25">
      <c r="B1227" s="48">
        <v>46070</v>
      </c>
      <c r="C1227" s="47">
        <v>14.437888145446779</v>
      </c>
      <c r="D1227">
        <v>23.069500000000001</v>
      </c>
    </row>
    <row r="1228" spans="2:4" x14ac:dyDescent="0.25">
      <c r="B1228" s="48">
        <v>46071</v>
      </c>
      <c r="C1228" s="47">
        <v>14.731540679931641</v>
      </c>
      <c r="D1228">
        <v>14.666600000000001</v>
      </c>
    </row>
    <row r="1229" spans="2:4" x14ac:dyDescent="0.25">
      <c r="B1229" s="48">
        <v>46072</v>
      </c>
      <c r="C1229" s="47">
        <v>14.24212074279785</v>
      </c>
      <c r="D1229">
        <v>18.068200000000001</v>
      </c>
    </row>
    <row r="1230" spans="2:4" x14ac:dyDescent="0.25">
      <c r="B1230" s="48">
        <v>46073</v>
      </c>
      <c r="C1230" s="47">
        <v>14.34000396728516</v>
      </c>
      <c r="D1230">
        <v>15.8459</v>
      </c>
    </row>
    <row r="1231" spans="2:4" x14ac:dyDescent="0.25">
      <c r="B1231" s="48">
        <v>46076</v>
      </c>
      <c r="C1231" s="47">
        <v>13.61566257476807</v>
      </c>
      <c r="D1231">
        <v>23.772099999999998</v>
      </c>
    </row>
    <row r="1232" spans="2:4" x14ac:dyDescent="0.25">
      <c r="B1232" s="48">
        <v>46077</v>
      </c>
      <c r="C1232" s="47">
        <v>13.54714393615723</v>
      </c>
      <c r="D1232">
        <v>25.141200000000001</v>
      </c>
    </row>
    <row r="1233" spans="2:4" x14ac:dyDescent="0.25">
      <c r="B1233" s="48">
        <v>46078</v>
      </c>
      <c r="C1233" s="47">
        <v>13.938679695129389</v>
      </c>
      <c r="D1233">
        <v>28.804500000000001</v>
      </c>
    </row>
    <row r="1234" spans="2:4" x14ac:dyDescent="0.25">
      <c r="B1234" s="48">
        <v>46079</v>
      </c>
      <c r="C1234" s="47">
        <v>14.38894557952881</v>
      </c>
      <c r="D1234">
        <v>19.283300000000001</v>
      </c>
    </row>
    <row r="1235" spans="2:4" x14ac:dyDescent="0.25">
      <c r="B1235" s="48">
        <v>46080</v>
      </c>
      <c r="C1235" s="47">
        <v>14.13444709777832</v>
      </c>
      <c r="D1235">
        <v>16.921500000000002</v>
      </c>
    </row>
    <row r="1236" spans="2:4" x14ac:dyDescent="0.25">
      <c r="B1236" s="48">
        <v>46083</v>
      </c>
      <c r="C1236" s="47">
        <v>13.889737129211429</v>
      </c>
      <c r="D1236">
        <v>10.539300000000001</v>
      </c>
    </row>
    <row r="1237" spans="2:4" x14ac:dyDescent="0.25">
      <c r="B1237" s="48">
        <v>46084</v>
      </c>
      <c r="C1237" s="47">
        <v>13.91910362243652</v>
      </c>
      <c r="D1237">
        <v>11.463100000000001</v>
      </c>
    </row>
    <row r="1238" spans="2:4" x14ac:dyDescent="0.25">
      <c r="B1238" s="48">
        <v>46085</v>
      </c>
      <c r="C1238" s="47">
        <v>14.02677536010742</v>
      </c>
      <c r="D1238">
        <v>20.009499999999999</v>
      </c>
    </row>
    <row r="1239" spans="2:4" x14ac:dyDescent="0.25">
      <c r="B1239" s="48">
        <v>46086</v>
      </c>
      <c r="C1239" s="47">
        <v>14.09529399871826</v>
      </c>
      <c r="D1239">
        <v>14.782299999999999</v>
      </c>
    </row>
    <row r="1240" spans="2:4" x14ac:dyDescent="0.25">
      <c r="B1240" s="48">
        <v>46087</v>
      </c>
      <c r="C1240" s="47">
        <v>14.13444709777832</v>
      </c>
      <c r="D1240">
        <v>15.2174</v>
      </c>
    </row>
    <row r="1241" spans="2:4" x14ac:dyDescent="0.25">
      <c r="B1241" s="48">
        <v>46090</v>
      </c>
      <c r="C1241" s="47">
        <v>14.114871025085449</v>
      </c>
      <c r="D1241">
        <v>14.572800000000001</v>
      </c>
    </row>
    <row r="1242" spans="2:4" x14ac:dyDescent="0.25">
      <c r="B1242" s="48">
        <v>46091</v>
      </c>
      <c r="C1242" s="47">
        <v>13.742911338806151</v>
      </c>
      <c r="D1242">
        <v>17.286899999999999</v>
      </c>
    </row>
    <row r="1243" spans="2:4" x14ac:dyDescent="0.25">
      <c r="B1243" s="48">
        <v>46092</v>
      </c>
      <c r="C1243" s="47">
        <v>13.57650852203369</v>
      </c>
      <c r="D1243">
        <v>15.353300000000001</v>
      </c>
    </row>
    <row r="1244" spans="2:4" x14ac:dyDescent="0.25">
      <c r="B1244" s="48">
        <v>46093</v>
      </c>
      <c r="C1244" s="47">
        <v>13.15560722351074</v>
      </c>
      <c r="D1244">
        <v>16.372599999999998</v>
      </c>
    </row>
    <row r="1245" spans="2:4" x14ac:dyDescent="0.25">
      <c r="B1245" s="48">
        <v>46094</v>
      </c>
      <c r="C1245" s="47">
        <v>12.989205360412599</v>
      </c>
      <c r="D1245">
        <v>10.4565</v>
      </c>
    </row>
    <row r="1246" spans="2:4" x14ac:dyDescent="0.25">
      <c r="B1246" s="48">
        <v>46097</v>
      </c>
      <c r="C1246" s="47">
        <v>12.979416847229</v>
      </c>
      <c r="D1246">
        <v>22.523199999999999</v>
      </c>
    </row>
    <row r="1247" spans="2:4" x14ac:dyDescent="0.25">
      <c r="B1247" s="48">
        <v>46098</v>
      </c>
      <c r="C1247" s="47">
        <v>12.92068576812744</v>
      </c>
      <c r="D1247">
        <v>22.008800000000001</v>
      </c>
    </row>
    <row r="1248" spans="2:4" x14ac:dyDescent="0.25">
      <c r="B1248" s="48">
        <v>46099</v>
      </c>
      <c r="C1248" s="47">
        <v>12.64661121368408</v>
      </c>
      <c r="D1248">
        <v>25.447600000000001</v>
      </c>
    </row>
    <row r="1249" spans="2:4" x14ac:dyDescent="0.25">
      <c r="B1249" s="48">
        <v>46100</v>
      </c>
      <c r="C1249" s="47">
        <v>12.773860931396481</v>
      </c>
      <c r="D1249">
        <v>24.3172</v>
      </c>
    </row>
    <row r="1250" spans="2:4" x14ac:dyDescent="0.25">
      <c r="B1250" s="48">
        <v>46101</v>
      </c>
      <c r="C1250" s="47">
        <v>12.84237861633301</v>
      </c>
      <c r="D1250">
        <v>100.9795</v>
      </c>
    </row>
    <row r="1251" spans="2:4" x14ac:dyDescent="0.25">
      <c r="B1251" s="48">
        <v>46104</v>
      </c>
      <c r="C1251" s="47">
        <v>13.018570899963381</v>
      </c>
      <c r="D1251">
        <v>15.9831</v>
      </c>
    </row>
    <row r="1252" spans="2:4" x14ac:dyDescent="0.25">
      <c r="B1252" s="48">
        <v>46105</v>
      </c>
      <c r="C1252" s="47">
        <v>12.803225517272949</v>
      </c>
      <c r="D1252">
        <v>11.069900000000001</v>
      </c>
    </row>
    <row r="1253" spans="2:4" x14ac:dyDescent="0.25">
      <c r="B1253" s="48">
        <v>46106</v>
      </c>
      <c r="C1253" s="47">
        <v>12.89132118225098</v>
      </c>
      <c r="D1253">
        <v>11.348100000000001</v>
      </c>
    </row>
    <row r="1254" spans="2:4" x14ac:dyDescent="0.25">
      <c r="B1254" s="48">
        <v>46107</v>
      </c>
      <c r="C1254" s="47">
        <v>12.881532669067379</v>
      </c>
      <c r="D1254">
        <v>8.7505000000000006</v>
      </c>
    </row>
    <row r="1255" spans="2:4" x14ac:dyDescent="0.25">
      <c r="B1255" s="48">
        <v>46108</v>
      </c>
      <c r="C1255" s="47">
        <v>12.558515548706049</v>
      </c>
      <c r="D1255">
        <v>11.866899999999999</v>
      </c>
    </row>
    <row r="1256" spans="2:4" x14ac:dyDescent="0.25">
      <c r="B1256" s="48">
        <v>46111</v>
      </c>
      <c r="C1256" s="47">
        <v>12.96962833404541</v>
      </c>
      <c r="D1256">
        <v>10.980700000000001</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N51"/>
  <sheetViews>
    <sheetView zoomScale="90" zoomScaleNormal="9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N51" sqref="N51"/>
    </sheetView>
  </sheetViews>
  <sheetFormatPr defaultColWidth="8.85546875" defaultRowHeight="15" x14ac:dyDescent="0.25"/>
  <cols>
    <col min="1" max="1" width="20.7109375" style="6" customWidth="1"/>
    <col min="2" max="6" width="13.42578125" style="6" customWidth="1"/>
    <col min="7" max="7" width="14.85546875" style="6" bestFit="1" customWidth="1"/>
    <col min="8" max="11" width="13.42578125" style="6" customWidth="1"/>
    <col min="12" max="12" width="13.28515625" style="6" customWidth="1"/>
    <col min="13" max="14" width="12.140625" style="6" customWidth="1"/>
    <col min="15" max="16384" width="8.85546875" style="6"/>
  </cols>
  <sheetData>
    <row r="1" spans="1:14" s="8" customFormat="1" x14ac:dyDescent="0.25">
      <c r="A1" s="8" t="str">
        <f>'Data Sheet'!B1</f>
        <v>INFOSYS LTD</v>
      </c>
      <c r="H1" t="str">
        <f>UPDATE</f>
        <v/>
      </c>
      <c r="J1" s="3"/>
      <c r="K1" s="3"/>
      <c r="M1" s="8" t="s">
        <v>1</v>
      </c>
    </row>
    <row r="3" spans="1:14" s="2" customFormat="1" x14ac:dyDescent="0.25">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25">
      <c r="A4" s="8" t="s">
        <v>6</v>
      </c>
      <c r="B4" s="1">
        <f>'Data Sheet'!B17</f>
        <v>68484</v>
      </c>
      <c r="C4" s="1">
        <f>'Data Sheet'!C17</f>
        <v>70522</v>
      </c>
      <c r="D4" s="1">
        <f>'Data Sheet'!D17</f>
        <v>82675</v>
      </c>
      <c r="E4" s="1">
        <f>'Data Sheet'!E17</f>
        <v>90791</v>
      </c>
      <c r="F4" s="1">
        <f>'Data Sheet'!F17</f>
        <v>100472</v>
      </c>
      <c r="G4" s="1">
        <f>'Data Sheet'!G17</f>
        <v>121641</v>
      </c>
      <c r="H4" s="1">
        <f>'Data Sheet'!H17</f>
        <v>146767</v>
      </c>
      <c r="I4" s="1">
        <f>'Data Sheet'!I17</f>
        <v>153670</v>
      </c>
      <c r="J4" s="1">
        <f>'Data Sheet'!J17</f>
        <v>162990</v>
      </c>
      <c r="K4" s="1">
        <f>'Data Sheet'!K17</f>
        <v>178650</v>
      </c>
      <c r="L4" s="1">
        <f>SUM(Quarters!H4:K4)</f>
        <v>178650</v>
      </c>
      <c r="M4" s="1">
        <f>$K4+M23*K4</f>
        <v>195814.60519050248</v>
      </c>
      <c r="N4" s="1">
        <f>$K4+N23*L4</f>
        <v>190748.53963085247</v>
      </c>
    </row>
    <row r="5" spans="1:14" x14ac:dyDescent="0.25">
      <c r="A5" s="6" t="s">
        <v>7</v>
      </c>
      <c r="B5" s="9">
        <f>SUM('Data Sheet'!B18,'Data Sheet'!B20:B24, -1*'Data Sheet'!B19)</f>
        <v>49880</v>
      </c>
      <c r="C5" s="9">
        <f>SUM('Data Sheet'!C18,'Data Sheet'!C20:C24, -1*'Data Sheet'!C19)</f>
        <v>51700</v>
      </c>
      <c r="D5" s="9">
        <f>SUM('Data Sheet'!D18,'Data Sheet'!D20:D24, -1*'Data Sheet'!D19)</f>
        <v>62505</v>
      </c>
      <c r="E5" s="9">
        <f>SUM('Data Sheet'!E18,'Data Sheet'!E20:E24, -1*'Data Sheet'!E19)</f>
        <v>68524</v>
      </c>
      <c r="F5" s="9">
        <f>SUM('Data Sheet'!F18,'Data Sheet'!F20:F24, -1*'Data Sheet'!F19)</f>
        <v>72583</v>
      </c>
      <c r="G5" s="9">
        <f>SUM('Data Sheet'!G18,'Data Sheet'!G20:G24, -1*'Data Sheet'!G19)</f>
        <v>90150</v>
      </c>
      <c r="H5" s="9">
        <f>SUM('Data Sheet'!H18,'Data Sheet'!H20:H24, -1*'Data Sheet'!H19)</f>
        <v>111637</v>
      </c>
      <c r="I5" s="9">
        <f>SUM('Data Sheet'!I18,'Data Sheet'!I20:I24, -1*'Data Sheet'!I19)</f>
        <v>117245</v>
      </c>
      <c r="J5" s="9">
        <f>SUM('Data Sheet'!J18,'Data Sheet'!J20:J24, -1*'Data Sheet'!J19)</f>
        <v>123754</v>
      </c>
      <c r="K5" s="9">
        <f>SUM('Data Sheet'!K18,'Data Sheet'!K20:K24, -1*'Data Sheet'!K19)</f>
        <v>136370</v>
      </c>
      <c r="L5" s="9">
        <f>SUM(Quarters!H5:K5)</f>
        <v>136371</v>
      </c>
      <c r="M5" s="9">
        <f t="shared" ref="M5:N5" si="0">M4-M6</f>
        <v>149188.10794479161</v>
      </c>
      <c r="N5" s="9">
        <f t="shared" si="0"/>
        <v>145606.32016792041</v>
      </c>
    </row>
    <row r="6" spans="1:14" s="8" customFormat="1" x14ac:dyDescent="0.25">
      <c r="A6" s="8" t="s">
        <v>8</v>
      </c>
      <c r="B6" s="1">
        <f>B4-B5</f>
        <v>18604</v>
      </c>
      <c r="C6" s="1">
        <f t="shared" ref="C6:K6" si="1">C4-C5</f>
        <v>18822</v>
      </c>
      <c r="D6" s="1">
        <f t="shared" si="1"/>
        <v>20170</v>
      </c>
      <c r="E6" s="1">
        <f t="shared" si="1"/>
        <v>22267</v>
      </c>
      <c r="F6" s="1">
        <f t="shared" si="1"/>
        <v>27889</v>
      </c>
      <c r="G6" s="1">
        <f t="shared" si="1"/>
        <v>31491</v>
      </c>
      <c r="H6" s="1">
        <f t="shared" si="1"/>
        <v>35130</v>
      </c>
      <c r="I6" s="1">
        <f t="shared" si="1"/>
        <v>36425</v>
      </c>
      <c r="J6" s="1">
        <f t="shared" si="1"/>
        <v>39236</v>
      </c>
      <c r="K6" s="1">
        <f t="shared" si="1"/>
        <v>42280</v>
      </c>
      <c r="L6" s="1">
        <f>SUM(Quarters!H6:K6)</f>
        <v>42279</v>
      </c>
      <c r="M6" s="1">
        <f>M4*M24</f>
        <v>46626.497245710874</v>
      </c>
      <c r="N6" s="1">
        <f>N4*N24</f>
        <v>45142.219462932051</v>
      </c>
    </row>
    <row r="7" spans="1:14" x14ac:dyDescent="0.25">
      <c r="A7" s="6" t="s">
        <v>9</v>
      </c>
      <c r="B7" s="9">
        <f>'Data Sheet'!B25</f>
        <v>3050</v>
      </c>
      <c r="C7" s="9">
        <f>'Data Sheet'!C25</f>
        <v>3311</v>
      </c>
      <c r="D7" s="9">
        <f>'Data Sheet'!D25</f>
        <v>2882</v>
      </c>
      <c r="E7" s="9">
        <f>'Data Sheet'!E25</f>
        <v>2803</v>
      </c>
      <c r="F7" s="9">
        <f>'Data Sheet'!F25</f>
        <v>2201</v>
      </c>
      <c r="G7" s="9">
        <f>'Data Sheet'!G25</f>
        <v>2295</v>
      </c>
      <c r="H7" s="9">
        <f>'Data Sheet'!H25</f>
        <v>2701</v>
      </c>
      <c r="I7" s="9">
        <f>'Data Sheet'!I25</f>
        <v>4711</v>
      </c>
      <c r="J7" s="9">
        <f>'Data Sheet'!J25</f>
        <v>3600</v>
      </c>
      <c r="K7" s="9">
        <f>'Data Sheet'!K25</f>
        <v>3033</v>
      </c>
      <c r="L7" s="9">
        <f>SUM(Quarters!H7:K7)</f>
        <v>3033</v>
      </c>
      <c r="M7" s="9">
        <v>0</v>
      </c>
      <c r="N7" s="9">
        <v>0</v>
      </c>
    </row>
    <row r="8" spans="1:14" x14ac:dyDescent="0.25">
      <c r="A8" s="6" t="s">
        <v>10</v>
      </c>
      <c r="B8" s="9">
        <f>'Data Sheet'!B26</f>
        <v>1703</v>
      </c>
      <c r="C8" s="9">
        <f>'Data Sheet'!C26</f>
        <v>1863</v>
      </c>
      <c r="D8" s="9">
        <f>'Data Sheet'!D26</f>
        <v>2011</v>
      </c>
      <c r="E8" s="9">
        <f>'Data Sheet'!E26</f>
        <v>2893</v>
      </c>
      <c r="F8" s="9">
        <f>'Data Sheet'!F26</f>
        <v>3267</v>
      </c>
      <c r="G8" s="9">
        <f>'Data Sheet'!G26</f>
        <v>3476</v>
      </c>
      <c r="H8" s="9">
        <f>'Data Sheet'!H26</f>
        <v>4225</v>
      </c>
      <c r="I8" s="9">
        <f>'Data Sheet'!I26</f>
        <v>4678</v>
      </c>
      <c r="J8" s="9">
        <f>'Data Sheet'!J26</f>
        <v>4812</v>
      </c>
      <c r="K8" s="9">
        <f>'Data Sheet'!K26</f>
        <v>4902</v>
      </c>
      <c r="L8" s="9">
        <f>SUM(Quarters!H8:K8)</f>
        <v>4901</v>
      </c>
      <c r="M8" s="9">
        <f>+$L8</f>
        <v>4901</v>
      </c>
      <c r="N8" s="9">
        <f>+$L8</f>
        <v>4901</v>
      </c>
    </row>
    <row r="9" spans="1:14" x14ac:dyDescent="0.25">
      <c r="A9" s="6" t="s">
        <v>11</v>
      </c>
      <c r="B9" s="9">
        <f>'Data Sheet'!B27</f>
        <v>0</v>
      </c>
      <c r="C9" s="9">
        <f>'Data Sheet'!C27</f>
        <v>0</v>
      </c>
      <c r="D9" s="9">
        <f>'Data Sheet'!D27</f>
        <v>0</v>
      </c>
      <c r="E9" s="9">
        <f>'Data Sheet'!E27</f>
        <v>170</v>
      </c>
      <c r="F9" s="9">
        <f>'Data Sheet'!F27</f>
        <v>195</v>
      </c>
      <c r="G9" s="9">
        <f>'Data Sheet'!G27</f>
        <v>200</v>
      </c>
      <c r="H9" s="9">
        <f>'Data Sheet'!H27</f>
        <v>284</v>
      </c>
      <c r="I9" s="9">
        <f>'Data Sheet'!I27</f>
        <v>470</v>
      </c>
      <c r="J9" s="9">
        <f>'Data Sheet'!J27</f>
        <v>416</v>
      </c>
      <c r="K9" s="9">
        <f>'Data Sheet'!K27</f>
        <v>416</v>
      </c>
      <c r="L9" s="9">
        <f>SUM(Quarters!H9:K9)</f>
        <v>416</v>
      </c>
      <c r="M9" s="9">
        <f>+$L9</f>
        <v>416</v>
      </c>
      <c r="N9" s="9">
        <f>+$L9</f>
        <v>416</v>
      </c>
    </row>
    <row r="10" spans="1:14" x14ac:dyDescent="0.25">
      <c r="A10" s="6" t="s">
        <v>12</v>
      </c>
      <c r="B10" s="9">
        <f>'Data Sheet'!B28</f>
        <v>19951</v>
      </c>
      <c r="C10" s="9">
        <f>'Data Sheet'!C28</f>
        <v>20270</v>
      </c>
      <c r="D10" s="9">
        <f>'Data Sheet'!D28</f>
        <v>21041</v>
      </c>
      <c r="E10" s="9">
        <f>'Data Sheet'!E28</f>
        <v>22007</v>
      </c>
      <c r="F10" s="9">
        <f>'Data Sheet'!F28</f>
        <v>26628</v>
      </c>
      <c r="G10" s="9">
        <f>'Data Sheet'!G28</f>
        <v>30110</v>
      </c>
      <c r="H10" s="9">
        <f>'Data Sheet'!H28</f>
        <v>33322</v>
      </c>
      <c r="I10" s="9">
        <f>'Data Sheet'!I28</f>
        <v>35988</v>
      </c>
      <c r="J10" s="9">
        <f>'Data Sheet'!J28</f>
        <v>37608</v>
      </c>
      <c r="K10" s="9">
        <f>'Data Sheet'!K28</f>
        <v>39995</v>
      </c>
      <c r="L10" s="9">
        <f>SUM(Quarters!H10:K10)</f>
        <v>39995</v>
      </c>
      <c r="M10" s="9">
        <f>M6+M7-SUM(M8:M9)</f>
        <v>41309.497245710874</v>
      </c>
      <c r="N10" s="9">
        <f>N6+N7-SUM(N8:N9)</f>
        <v>39825.219462932051</v>
      </c>
    </row>
    <row r="11" spans="1:14" x14ac:dyDescent="0.25">
      <c r="A11" s="6" t="s">
        <v>13</v>
      </c>
      <c r="B11" s="9">
        <f>'Data Sheet'!B29</f>
        <v>5598</v>
      </c>
      <c r="C11" s="9">
        <f>'Data Sheet'!C29</f>
        <v>4241</v>
      </c>
      <c r="D11" s="9">
        <f>'Data Sheet'!D29</f>
        <v>5631</v>
      </c>
      <c r="E11" s="9">
        <f>'Data Sheet'!E29</f>
        <v>5368</v>
      </c>
      <c r="F11" s="9">
        <f>'Data Sheet'!F29</f>
        <v>7205</v>
      </c>
      <c r="G11" s="9">
        <f>'Data Sheet'!G29</f>
        <v>7964</v>
      </c>
      <c r="H11" s="9">
        <f>'Data Sheet'!H29</f>
        <v>9214</v>
      </c>
      <c r="I11" s="9">
        <f>'Data Sheet'!I29</f>
        <v>9740</v>
      </c>
      <c r="J11" s="9">
        <f>'Data Sheet'!J29</f>
        <v>10858</v>
      </c>
      <c r="K11" s="9">
        <f>'Data Sheet'!K29</f>
        <v>10521</v>
      </c>
      <c r="L11" s="9">
        <f>SUM(Quarters!H11:K11)</f>
        <v>10521</v>
      </c>
      <c r="M11" s="10">
        <f>IF($L10&gt;0,$L11/$L10,0)</f>
        <v>0.26305788223527943</v>
      </c>
      <c r="N11" s="10">
        <f>IF($L10&gt;0,$L11/$L10,0)</f>
        <v>0.26305788223527943</v>
      </c>
    </row>
    <row r="12" spans="1:14" s="8" customFormat="1" x14ac:dyDescent="0.25">
      <c r="A12" s="8" t="s">
        <v>14</v>
      </c>
      <c r="B12" s="1">
        <f>'Data Sheet'!B30</f>
        <v>14353</v>
      </c>
      <c r="C12" s="1">
        <f>'Data Sheet'!C30</f>
        <v>16029</v>
      </c>
      <c r="D12" s="1">
        <f>'Data Sheet'!D30</f>
        <v>15404</v>
      </c>
      <c r="E12" s="1">
        <f>'Data Sheet'!E30</f>
        <v>16594</v>
      </c>
      <c r="F12" s="1">
        <f>'Data Sheet'!F30</f>
        <v>19351</v>
      </c>
      <c r="G12" s="1">
        <f>'Data Sheet'!G30</f>
        <v>22110</v>
      </c>
      <c r="H12" s="1">
        <f>'Data Sheet'!H30</f>
        <v>24095</v>
      </c>
      <c r="I12" s="1">
        <f>'Data Sheet'!I30</f>
        <v>26233</v>
      </c>
      <c r="J12" s="1">
        <f>'Data Sheet'!J30</f>
        <v>26713</v>
      </c>
      <c r="K12" s="1">
        <f>'Data Sheet'!K30</f>
        <v>29440</v>
      </c>
      <c r="L12" s="1">
        <f>SUM(Quarters!H12:K12)</f>
        <v>29440</v>
      </c>
      <c r="M12" s="1">
        <f>M10-M11*M10</f>
        <v>30442.708384050064</v>
      </c>
      <c r="N12" s="1">
        <f>N10-N11*N10</f>
        <v>29348.881571457914</v>
      </c>
    </row>
    <row r="13" spans="1:14" x14ac:dyDescent="0.25">
      <c r="A13" s="11" t="s">
        <v>57</v>
      </c>
      <c r="B13" s="9">
        <f>IF('Data Sheet'!B93&gt;0,B12/'Data Sheet'!B93,0)</f>
        <v>31.243605650971944</v>
      </c>
      <c r="C13" s="9">
        <f>IF('Data Sheet'!C93&gt;0,C12/'Data Sheet'!C93,0)</f>
        <v>36.694748408955633</v>
      </c>
      <c r="D13" s="9">
        <f>IF('Data Sheet'!D93&gt;0,D12/'Data Sheet'!D93,0)</f>
        <v>35.258303005333154</v>
      </c>
      <c r="E13" s="9">
        <f>IF('Data Sheet'!E93&gt;0,E12/'Data Sheet'!E93,0)</f>
        <v>38.962197698990373</v>
      </c>
      <c r="F13" s="9">
        <f>IF('Data Sheet'!F93&gt;0,F12/'Data Sheet'!F93,0)</f>
        <v>45.417419672823712</v>
      </c>
      <c r="G13" s="9">
        <f>IF('Data Sheet'!G93&gt;0,G12/'Data Sheet'!G93,0)</f>
        <v>52.559013003066532</v>
      </c>
      <c r="H13" s="9">
        <f>IF('Data Sheet'!H93&gt;0,H12/'Data Sheet'!H93,0)</f>
        <v>58.079834160921756</v>
      </c>
      <c r="I13" s="9">
        <f>IF('Data Sheet'!I93&gt;0,I12/'Data Sheet'!I93,0)</f>
        <v>63.198342528126432</v>
      </c>
      <c r="J13" s="9">
        <f>IF('Data Sheet'!J93&gt;0,J12/'Data Sheet'!J93,0)</f>
        <v>64.317530638287636</v>
      </c>
      <c r="K13" s="9">
        <f>IF('Data Sheet'!K93&gt;0,K12/'Data Sheet'!K93,0)</f>
        <v>72.590985304270632</v>
      </c>
      <c r="L13" s="9">
        <f>IF('Data Sheet'!$B6&gt;0,'Profit &amp; Loss'!L12/'Data Sheet'!$B6,0)</f>
        <v>72.542995851606989</v>
      </c>
      <c r="M13" s="9">
        <f>IF('Data Sheet'!$B6&gt;0,'Profit &amp; Loss'!M12/'Data Sheet'!$B6,0)</f>
        <v>75.01376589727667</v>
      </c>
      <c r="N13" s="9">
        <f>IF('Data Sheet'!$B6&gt;0,'Profit &amp; Loss'!N12/'Data Sheet'!$B6,0)</f>
        <v>72.318471266561687</v>
      </c>
    </row>
    <row r="14" spans="1:14" x14ac:dyDescent="0.25">
      <c r="A14" s="6" t="s">
        <v>16</v>
      </c>
      <c r="B14" s="9">
        <f t="shared" ref="B14:K14" si="2">IF(B15&gt;0,B15/B13,"")</f>
        <v>16.359507468821846</v>
      </c>
      <c r="C14" s="9">
        <f t="shared" si="2"/>
        <v>15.421825316613639</v>
      </c>
      <c r="D14" s="9">
        <f t="shared" si="2"/>
        <v>21.097158303038171</v>
      </c>
      <c r="E14" s="9">
        <f t="shared" si="2"/>
        <v>16.464676991683742</v>
      </c>
      <c r="F14" s="9">
        <f t="shared" si="2"/>
        <v>30.121702418479664</v>
      </c>
      <c r="G14" s="9">
        <f t="shared" si="2"/>
        <v>36.280171393034827</v>
      </c>
      <c r="H14" s="9">
        <f t="shared" si="2"/>
        <v>24.585986179705333</v>
      </c>
      <c r="I14" s="9">
        <f t="shared" si="2"/>
        <v>23.703944440208897</v>
      </c>
      <c r="J14" s="9">
        <f t="shared" si="2"/>
        <v>24.420247239171935</v>
      </c>
      <c r="K14" s="9">
        <f t="shared" si="2"/>
        <v>17.228034510869566</v>
      </c>
      <c r="L14" s="9">
        <f>IF(L13&gt;0,L15/L13,0)</f>
        <v>15.987070652173912</v>
      </c>
      <c r="M14" s="9">
        <f>M25</f>
        <v>20.334824210606076</v>
      </c>
      <c r="N14" s="9">
        <f>N25</f>
        <v>15.987070652173912</v>
      </c>
    </row>
    <row r="15" spans="1:14" s="8" customFormat="1" x14ac:dyDescent="0.25">
      <c r="A15" s="8" t="s">
        <v>58</v>
      </c>
      <c r="B15" s="1">
        <f>'Data Sheet'!B90</f>
        <v>511.13</v>
      </c>
      <c r="C15" s="1">
        <f>'Data Sheet'!C90</f>
        <v>565.9</v>
      </c>
      <c r="D15" s="1">
        <f>'Data Sheet'!D90</f>
        <v>743.85</v>
      </c>
      <c r="E15" s="1">
        <f>'Data Sheet'!E90</f>
        <v>641.5</v>
      </c>
      <c r="F15" s="1">
        <f>'Data Sheet'!F90</f>
        <v>1368.05</v>
      </c>
      <c r="G15" s="1">
        <f>'Data Sheet'!G90</f>
        <v>1906.85</v>
      </c>
      <c r="H15" s="1">
        <f>'Data Sheet'!H90</f>
        <v>1427.95</v>
      </c>
      <c r="I15" s="1">
        <f>'Data Sheet'!I90</f>
        <v>1498.05</v>
      </c>
      <c r="J15" s="1">
        <f>'Data Sheet'!J90</f>
        <v>1570.65</v>
      </c>
      <c r="K15" s="1">
        <f>'Data Sheet'!K90</f>
        <v>1250.5999999999999</v>
      </c>
      <c r="L15" s="1">
        <f>'Data Sheet'!B8</f>
        <v>1159.75</v>
      </c>
      <c r="M15" s="12">
        <f>M13*M14</f>
        <v>1525.3917428966781</v>
      </c>
      <c r="N15" s="13">
        <f>N13*N14</f>
        <v>1156.1605095957307</v>
      </c>
    </row>
    <row r="17" spans="1:14" s="8" customFormat="1" x14ac:dyDescent="0.25">
      <c r="A17" s="8" t="s">
        <v>15</v>
      </c>
    </row>
    <row r="18" spans="1:14" x14ac:dyDescent="0.25">
      <c r="A18" s="6" t="s">
        <v>17</v>
      </c>
      <c r="B18" s="7">
        <f>IF('Data Sheet'!B30&gt;0, 'Data Sheet'!B31/'Data Sheet'!B30, 0)</f>
        <v>0.4104786455793214</v>
      </c>
      <c r="C18" s="7">
        <f>IF('Data Sheet'!C30&gt;0, 'Data Sheet'!C31/'Data Sheet'!C30, 0)</f>
        <v>0.5905296649822197</v>
      </c>
      <c r="D18" s="7">
        <f>IF('Data Sheet'!D30&gt;0, 'Data Sheet'!D31/'Data Sheet'!D30, 0)</f>
        <v>0.5987081277590236</v>
      </c>
      <c r="E18" s="7">
        <f>IF('Data Sheet'!E30&gt;0, 'Data Sheet'!E31/'Data Sheet'!E30, 0)</f>
        <v>0.44757141135350126</v>
      </c>
      <c r="F18" s="7">
        <f>IF('Data Sheet'!F30&gt;0, 'Data Sheet'!F31/'Data Sheet'!F30, 0)</f>
        <v>0.59271355485504629</v>
      </c>
      <c r="G18" s="7">
        <f>IF('Data Sheet'!G30&gt;0, 'Data Sheet'!G31/'Data Sheet'!G30, 0)</f>
        <v>0.58831298055178649</v>
      </c>
      <c r="H18" s="7">
        <f>IF('Data Sheet'!H30&gt;0, 'Data Sheet'!H31/'Data Sheet'!H30, 0)</f>
        <v>0.58390537455903713</v>
      </c>
      <c r="I18" s="7">
        <f>IF('Data Sheet'!I30&gt;0, 'Data Sheet'!I31/'Data Sheet'!I30, 0)</f>
        <v>0.72630656043914155</v>
      </c>
      <c r="J18" s="7">
        <f>IF('Data Sheet'!J30&gt;0, 'Data Sheet'!J31/'Data Sheet'!J30, 0)</f>
        <v>0.66738292217272488</v>
      </c>
      <c r="K18" s="7">
        <f>IF('Data Sheet'!K30&gt;0, 'Data Sheet'!K31/'Data Sheet'!K30, 0)</f>
        <v>0.66</v>
      </c>
    </row>
    <row r="19" spans="1:14" x14ac:dyDescent="0.25">
      <c r="A19" s="6" t="s">
        <v>18</v>
      </c>
      <c r="B19" s="7">
        <f t="shared" ref="B19:L19" si="3">IF(B6&gt;0,B6/B4,0)</f>
        <v>0.27165469306699375</v>
      </c>
      <c r="C19" s="7">
        <f t="shared" ref="C19:K19" si="4">IF(C6&gt;0,C6/C4,0)</f>
        <v>0.26689543688494372</v>
      </c>
      <c r="D19" s="7">
        <f t="shared" si="4"/>
        <v>0.24396734200181433</v>
      </c>
      <c r="E19" s="7">
        <f t="shared" si="4"/>
        <v>0.24525558700752279</v>
      </c>
      <c r="F19" s="7">
        <f t="shared" si="4"/>
        <v>0.27757982323433394</v>
      </c>
      <c r="G19" s="7">
        <f t="shared" si="4"/>
        <v>0.25888475102966929</v>
      </c>
      <c r="H19" s="7">
        <f t="shared" si="4"/>
        <v>0.23935898396778568</v>
      </c>
      <c r="I19" s="7">
        <f t="shared" si="4"/>
        <v>0.23703390381987374</v>
      </c>
      <c r="J19" s="7">
        <f t="shared" si="4"/>
        <v>0.24072642493404503</v>
      </c>
      <c r="K19" s="7">
        <f t="shared" si="4"/>
        <v>0.23666386789812482</v>
      </c>
      <c r="L19" s="7">
        <f t="shared" si="3"/>
        <v>0.23665827036104115</v>
      </c>
    </row>
    <row r="20" spans="1:14" x14ac:dyDescent="0.25">
      <c r="B20" s="7"/>
      <c r="C20" s="7"/>
      <c r="D20" s="7"/>
      <c r="E20" s="7"/>
      <c r="F20" s="7"/>
      <c r="G20" s="7"/>
      <c r="H20" s="7"/>
      <c r="I20" s="7"/>
      <c r="J20" s="7"/>
      <c r="K20" s="7"/>
      <c r="L20" s="7"/>
    </row>
    <row r="21" spans="1:14" x14ac:dyDescent="0.25">
      <c r="B21" s="7"/>
      <c r="C21" s="7"/>
      <c r="D21" s="7"/>
      <c r="E21" s="7"/>
      <c r="F21" s="7"/>
      <c r="G21" s="7"/>
      <c r="H21" s="7"/>
      <c r="I21" s="7"/>
      <c r="J21" s="7"/>
      <c r="K21" s="7"/>
      <c r="L21" s="7"/>
    </row>
    <row r="22" spans="1:14" s="2" customFormat="1" x14ac:dyDescent="0.25">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25">
      <c r="A23" s="6"/>
      <c r="B23" s="6"/>
      <c r="C23" s="6"/>
      <c r="D23" s="6"/>
      <c r="E23" s="6"/>
      <c r="F23" s="6"/>
      <c r="G23" s="6" t="s">
        <v>22</v>
      </c>
      <c r="H23" s="7">
        <f>IF(B4=0,"",POWER($K4/B4,1/9)-1)</f>
        <v>0.11241852195135271</v>
      </c>
      <c r="I23" s="7">
        <f>IF(D4=0,"",POWER($K4/D4,1/7)-1)</f>
        <v>0.11635961365932812</v>
      </c>
      <c r="J23" s="7">
        <f>IF(F4=0,"",POWER($K4/F4,1/5)-1)</f>
        <v>0.12199673885587958</v>
      </c>
      <c r="K23" s="7">
        <f>IF(H4=0,"",POWER($K4/H4, 1/3)-1)</f>
        <v>6.772202424210727E-2</v>
      </c>
      <c r="L23" s="7">
        <f>IF(ISERROR(MAX(IF(J4=0,"",(K4-J4)/J4),IF(K4=0,"",(L4-K4)/K4))),"",MAX(IF(J4=0,"",(K4-J4)/J4),IF(K4=0,"",(L4-K4)/K4)))</f>
        <v>9.6079514080618447E-2</v>
      </c>
      <c r="M23" s="22">
        <f>MAX(K23:L23)</f>
        <v>9.6079514080618447E-2</v>
      </c>
      <c r="N23" s="22">
        <f>MIN(H23:L23)</f>
        <v>6.772202424210727E-2</v>
      </c>
    </row>
    <row r="24" spans="1:14" x14ac:dyDescent="0.25">
      <c r="G24" s="6" t="s">
        <v>18</v>
      </c>
      <c r="H24" s="7">
        <f>IF(SUM(B4:$K$4)=0,"",SUMPRODUCT(B19:$K$19,B4:$K$4)/SUM(B4:$K$4))</f>
        <v>0.24842648101153941</v>
      </c>
      <c r="I24" s="7">
        <f>IF(SUM(E4:$K$4)=0,"",SUMPRODUCT(E19:$K$19,E4:$K$4)/SUM(E4:$K$4))</f>
        <v>0.24578290039278269</v>
      </c>
      <c r="J24" s="7">
        <f>IF(SUM(G4:$K$4)=0,"",SUMPRODUCT(G19:$K$19,G4:$K$4)/SUM(G4:$K$4))</f>
        <v>0.241662498461474</v>
      </c>
      <c r="K24" s="7">
        <f>IF(SUM(I4:$K$4)=0, "", SUMPRODUCT(I19:$K$19,I4:$K$4)/SUM(I4:$K$4))</f>
        <v>0.23811552361147564</v>
      </c>
      <c r="L24" s="7">
        <f>L19</f>
        <v>0.23665827036104115</v>
      </c>
      <c r="M24" s="22">
        <f>MAX(K24:L24)</f>
        <v>0.23811552361147564</v>
      </c>
      <c r="N24" s="22">
        <f>MIN(H24:L24)</f>
        <v>0.23665827036104115</v>
      </c>
    </row>
    <row r="25" spans="1:14" x14ac:dyDescent="0.25">
      <c r="G25" s="6" t="s">
        <v>23</v>
      </c>
      <c r="H25" s="9">
        <f>IF(ISERROR(AVERAGEIF(B14:$L14,"&gt;0")),"",AVERAGEIF(B14:$L14,"&gt;0"))</f>
        <v>21.970029537618323</v>
      </c>
      <c r="I25" s="9">
        <f>IF(ISERROR(AVERAGEIF(E14:$L14,"&gt;0")),"",AVERAGEIF(E14:$L14,"&gt;0"))</f>
        <v>23.598979228165987</v>
      </c>
      <c r="J25" s="9">
        <f>IF(ISERROR(AVERAGEIF(G14:$L14,"&gt;0")),"",AVERAGEIF(G14:$L14,"&gt;0"))</f>
        <v>23.700909069194079</v>
      </c>
      <c r="K25" s="9">
        <f>IF(ISERROR(AVERAGEIF(I14:$L14,"&gt;0")),"",AVERAGEIF(I14:$L14,"&gt;0"))</f>
        <v>20.334824210606076</v>
      </c>
      <c r="L25" s="9">
        <f>L14</f>
        <v>15.987070652173912</v>
      </c>
      <c r="M25" s="1">
        <f>MAX(K25:L25)</f>
        <v>20.334824210606076</v>
      </c>
      <c r="N25" s="1">
        <f>MIN(H25:L25)</f>
        <v>15.987070652173912</v>
      </c>
    </row>
    <row r="27" spans="1:14" x14ac:dyDescent="0.25">
      <c r="A27" s="6" t="s">
        <v>98</v>
      </c>
      <c r="C27" s="41">
        <f>C4/B4-1</f>
        <v>2.9758775772443125E-2</v>
      </c>
      <c r="D27" s="41">
        <f t="shared" ref="D27:K27" si="5">D4/C4-1</f>
        <v>0.17232920223476356</v>
      </c>
      <c r="E27" s="41">
        <f t="shared" si="5"/>
        <v>9.8167523435137571E-2</v>
      </c>
      <c r="F27" s="41">
        <f t="shared" si="5"/>
        <v>0.10662951173574475</v>
      </c>
      <c r="G27" s="41">
        <f t="shared" si="5"/>
        <v>0.21069551715900947</v>
      </c>
      <c r="H27" s="41">
        <f t="shared" si="5"/>
        <v>0.20655864387829759</v>
      </c>
      <c r="I27" s="41">
        <f t="shared" si="5"/>
        <v>4.7033733741236095E-2</v>
      </c>
      <c r="J27" s="41">
        <f t="shared" si="5"/>
        <v>6.0649443612936782E-2</v>
      </c>
      <c r="K27" s="41">
        <f t="shared" si="5"/>
        <v>9.6079514080618544E-2</v>
      </c>
    </row>
    <row r="28" spans="1:14" x14ac:dyDescent="0.25">
      <c r="C28" s="41"/>
      <c r="D28" s="41"/>
      <c r="E28" s="41"/>
      <c r="F28" s="41"/>
      <c r="G28" s="41"/>
      <c r="H28" s="41"/>
      <c r="I28" s="41"/>
      <c r="J28" s="41"/>
      <c r="K28" s="41"/>
    </row>
    <row r="29" spans="1:14" x14ac:dyDescent="0.25">
      <c r="A29" s="6" t="s">
        <v>99</v>
      </c>
      <c r="B29" s="43">
        <f>'Data Sheet'!B17-'Data Sheet'!B18-'Data Sheet'!B19-'Data Sheet'!B20-'Data Sheet'!B21</f>
        <v>61544</v>
      </c>
      <c r="C29" s="43">
        <f>'Data Sheet'!C17-'Data Sheet'!C18-'Data Sheet'!C19-'Data Sheet'!C20-'Data Sheet'!C21</f>
        <v>63029</v>
      </c>
      <c r="D29" s="43">
        <f>'Data Sheet'!D17-'Data Sheet'!D18-'Data Sheet'!D19-'Data Sheet'!D20-'Data Sheet'!D21</f>
        <v>72552</v>
      </c>
      <c r="E29" s="43">
        <f>'Data Sheet'!E17-'Data Sheet'!E18-'Data Sheet'!E19-'Data Sheet'!E20-'Data Sheet'!E21</f>
        <v>79476</v>
      </c>
      <c r="F29" s="43">
        <f>'Data Sheet'!F17-'Data Sheet'!F18-'Data Sheet'!F19-'Data Sheet'!F20-'Data Sheet'!F21</f>
        <v>87529</v>
      </c>
      <c r="G29" s="43">
        <f>'Data Sheet'!G17-'Data Sheet'!G18-'Data Sheet'!G19-'Data Sheet'!G20-'Data Sheet'!G21</f>
        <v>100819</v>
      </c>
      <c r="H29" s="43">
        <f>'Data Sheet'!H17-'Data Sheet'!H18-'Data Sheet'!H19-'Data Sheet'!H20-'Data Sheet'!H21</f>
        <v>120261</v>
      </c>
      <c r="I29" s="43">
        <f>'Data Sheet'!I17-'Data Sheet'!I18-'Data Sheet'!I19-'Data Sheet'!I20-'Data Sheet'!I21</f>
        <v>126276</v>
      </c>
      <c r="J29" s="43">
        <f>'Data Sheet'!J17-'Data Sheet'!J18-'Data Sheet'!J19-'Data Sheet'!J20-'Data Sheet'!J21</f>
        <v>132373</v>
      </c>
      <c r="K29" s="43">
        <f>'Data Sheet'!K17-'Data Sheet'!K18-'Data Sheet'!K19-'Data Sheet'!K20-'Data Sheet'!K21</f>
        <v>145505</v>
      </c>
    </row>
    <row r="30" spans="1:14" x14ac:dyDescent="0.25">
      <c r="A30" s="6" t="s">
        <v>100</v>
      </c>
      <c r="B30" s="41">
        <f>B29/B4</f>
        <v>0.8986624613048303</v>
      </c>
      <c r="C30" s="41">
        <f t="shared" ref="C30:K30" si="6">C29/C4</f>
        <v>0.89374946825104218</v>
      </c>
      <c r="D30" s="41">
        <f t="shared" si="6"/>
        <v>0.87755669791351676</v>
      </c>
      <c r="E30" s="41">
        <f t="shared" si="6"/>
        <v>0.87537310966946058</v>
      </c>
      <c r="F30" s="41">
        <f t="shared" si="6"/>
        <v>0.87117803965283858</v>
      </c>
      <c r="G30" s="41">
        <f t="shared" si="6"/>
        <v>0.82882416290559924</v>
      </c>
      <c r="H30" s="41">
        <f t="shared" si="6"/>
        <v>0.81940081898519423</v>
      </c>
      <c r="I30" s="41">
        <f t="shared" si="6"/>
        <v>0.8217348864449795</v>
      </c>
      <c r="J30" s="41">
        <f t="shared" si="6"/>
        <v>0.81215411988465547</v>
      </c>
      <c r="K30" s="41">
        <f t="shared" si="6"/>
        <v>0.81446963336132105</v>
      </c>
    </row>
    <row r="32" spans="1:14" x14ac:dyDescent="0.25">
      <c r="A32" s="29" t="s">
        <v>102</v>
      </c>
      <c r="B32" s="41">
        <f>B6/B4</f>
        <v>0.27165469306699375</v>
      </c>
      <c r="C32" s="41">
        <f t="shared" ref="C32:K32" si="7">C6/C4</f>
        <v>0.26689543688494372</v>
      </c>
      <c r="D32" s="41">
        <f t="shared" si="7"/>
        <v>0.24396734200181433</v>
      </c>
      <c r="E32" s="41">
        <f t="shared" si="7"/>
        <v>0.24525558700752279</v>
      </c>
      <c r="F32" s="41">
        <f t="shared" si="7"/>
        <v>0.27757982323433394</v>
      </c>
      <c r="G32" s="41">
        <f t="shared" si="7"/>
        <v>0.25888475102966929</v>
      </c>
      <c r="H32" s="41">
        <f t="shared" si="7"/>
        <v>0.23935898396778568</v>
      </c>
      <c r="I32" s="41">
        <f t="shared" si="7"/>
        <v>0.23703390381987374</v>
      </c>
      <c r="J32" s="41">
        <f t="shared" si="7"/>
        <v>0.24072642493404503</v>
      </c>
      <c r="K32" s="41">
        <f t="shared" si="7"/>
        <v>0.23666386789812482</v>
      </c>
    </row>
    <row r="34" spans="1:11" x14ac:dyDescent="0.25">
      <c r="A34" s="29" t="s">
        <v>103</v>
      </c>
      <c r="B34" s="41">
        <f>(B6-B8)/B4</f>
        <v>0.24678757081946148</v>
      </c>
      <c r="C34" s="41">
        <f t="shared" ref="C34:K34" si="8">(C6-C8)/C4</f>
        <v>0.24047814866282863</v>
      </c>
      <c r="D34" s="41">
        <f t="shared" si="8"/>
        <v>0.2196431811309344</v>
      </c>
      <c r="E34" s="41">
        <f t="shared" si="8"/>
        <v>0.21339119516251612</v>
      </c>
      <c r="F34" s="41">
        <f t="shared" si="8"/>
        <v>0.24506330121824987</v>
      </c>
      <c r="G34" s="41">
        <f t="shared" si="8"/>
        <v>0.23030885967724699</v>
      </c>
      <c r="H34" s="41">
        <f t="shared" si="8"/>
        <v>0.21057185879659596</v>
      </c>
      <c r="I34" s="41">
        <f t="shared" si="8"/>
        <v>0.20659204789483959</v>
      </c>
      <c r="J34" s="41">
        <f t="shared" si="8"/>
        <v>0.21120314129701209</v>
      </c>
      <c r="K34" s="41">
        <f t="shared" si="8"/>
        <v>0.20922474111390987</v>
      </c>
    </row>
    <row r="36" spans="1:11" x14ac:dyDescent="0.25">
      <c r="A36" s="6" t="s">
        <v>106</v>
      </c>
      <c r="B36" s="41">
        <f>B12/B4</f>
        <v>0.20958180012849717</v>
      </c>
      <c r="C36" s="41">
        <f t="shared" ref="C36:K36" si="9">C12/C4</f>
        <v>0.22729077451008195</v>
      </c>
      <c r="D36" s="41">
        <f t="shared" si="9"/>
        <v>0.1863199274266707</v>
      </c>
      <c r="E36" s="41">
        <f t="shared" si="9"/>
        <v>0.182771420074677</v>
      </c>
      <c r="F36" s="41">
        <f t="shared" si="9"/>
        <v>0.19260092364041723</v>
      </c>
      <c r="G36" s="41">
        <f t="shared" si="9"/>
        <v>0.18176437221002786</v>
      </c>
      <c r="H36" s="41">
        <f t="shared" si="9"/>
        <v>0.16417178248516356</v>
      </c>
      <c r="I36" s="41">
        <f t="shared" si="9"/>
        <v>0.17070996290752913</v>
      </c>
      <c r="J36" s="41">
        <f t="shared" si="9"/>
        <v>0.16389349039818393</v>
      </c>
      <c r="K36" s="41">
        <f t="shared" si="9"/>
        <v>0.16479149174363281</v>
      </c>
    </row>
    <row r="38" spans="1:11" x14ac:dyDescent="0.25">
      <c r="A38" s="6" t="s">
        <v>110</v>
      </c>
      <c r="C38" s="41">
        <f>(C13/B13)-1</f>
        <v>0.17447226862608001</v>
      </c>
      <c r="D38" s="41">
        <f t="shared" ref="D38:K38" si="10">(D13/C13)-1</f>
        <v>-3.9145803307154003E-2</v>
      </c>
      <c r="E38" s="41">
        <f t="shared" si="10"/>
        <v>0.10505028257023508</v>
      </c>
      <c r="F38" s="41">
        <f t="shared" si="10"/>
        <v>0.16567910320932988</v>
      </c>
      <c r="G38" s="41">
        <f t="shared" si="10"/>
        <v>0.15724348458563164</v>
      </c>
      <c r="H38" s="41">
        <f t="shared" si="10"/>
        <v>0.10504042679669645</v>
      </c>
      <c r="I38" s="41">
        <f t="shared" si="10"/>
        <v>8.812883922882464E-2</v>
      </c>
      <c r="J38" s="41">
        <f t="shared" si="10"/>
        <v>1.7709137065787806E-2</v>
      </c>
      <c r="K38" s="41">
        <f t="shared" si="10"/>
        <v>0.12863451976276408</v>
      </c>
    </row>
    <row r="40" spans="1:11" x14ac:dyDescent="0.25">
      <c r="A40" s="6" t="s">
        <v>111</v>
      </c>
      <c r="B40" s="43">
        <f>'Profit &amp; Loss'!B13*'Profit &amp; Loss'!B18</f>
        <v>12.824832930625396</v>
      </c>
      <c r="C40" s="43">
        <f>'Profit &amp; Loss'!C13*'Profit &amp; Loss'!C18</f>
        <v>21.669337484547409</v>
      </c>
      <c r="D40" s="43">
        <f>'Profit &amp; Loss'!D13*'Profit &amp; Loss'!D18</f>
        <v>21.109432580283368</v>
      </c>
      <c r="E40" s="43">
        <f>'Profit &amp; Loss'!E13*'Profit &amp; Loss'!E18</f>
        <v>17.438365813571259</v>
      </c>
      <c r="F40" s="43">
        <f>'Profit &amp; Loss'!F13*'Profit &amp; Loss'!F18</f>
        <v>26.919520266622854</v>
      </c>
      <c r="G40" s="43">
        <f>'Profit &amp; Loss'!G13*'Profit &amp; Loss'!G18</f>
        <v>30.921149594694175</v>
      </c>
      <c r="H40" s="43">
        <f>'Profit &amp; Loss'!H13*'Profit &amp; Loss'!H18</f>
        <v>33.913127320059779</v>
      </c>
      <c r="I40" s="43">
        <f>'Profit &amp; Loss'!I13*'Profit &amp; Loss'!I18</f>
        <v>45.901370787058227</v>
      </c>
      <c r="J40" s="43">
        <f>'Profit &amp; Loss'!J13*'Profit &amp; Loss'!J18</f>
        <v>42.924421544314164</v>
      </c>
      <c r="K40" s="43">
        <f>'Profit &amp; Loss'!K13*'Profit &amp; Loss'!K18</f>
        <v>47.910050300818618</v>
      </c>
    </row>
    <row r="41" spans="1:11" x14ac:dyDescent="0.25">
      <c r="A41" s="29" t="s">
        <v>112</v>
      </c>
      <c r="C41" s="41">
        <f>C40/B40-1</f>
        <v>0.68963896853592122</v>
      </c>
      <c r="D41" s="41">
        <f t="shared" ref="D41:K41" si="11">D40/C40-1</f>
        <v>-2.583857972876713E-2</v>
      </c>
      <c r="E41" s="41">
        <f t="shared" si="11"/>
        <v>-0.17390646350868566</v>
      </c>
      <c r="F41" s="41">
        <f t="shared" si="11"/>
        <v>0.54369512340846571</v>
      </c>
      <c r="G41" s="41">
        <f t="shared" si="11"/>
        <v>0.148651583996944</v>
      </c>
      <c r="H41" s="41">
        <f t="shared" si="11"/>
        <v>9.6761529392781931E-2</v>
      </c>
      <c r="I41" s="41">
        <f t="shared" si="11"/>
        <v>0.35349861290755524</v>
      </c>
      <c r="J41" s="41">
        <f t="shared" si="11"/>
        <v>-6.4855345095345296E-2</v>
      </c>
      <c r="K41" s="41">
        <f t="shared" si="11"/>
        <v>0.11614900276192208</v>
      </c>
    </row>
    <row r="43" spans="1:11" x14ac:dyDescent="0.25">
      <c r="A43" s="29" t="s">
        <v>79</v>
      </c>
      <c r="B43" s="49">
        <f>'Data Sheet'!B93*'Data Sheet'!B90</f>
        <v>234808.01069999998</v>
      </c>
      <c r="C43" s="49">
        <f>'Data Sheet'!C93*'Data Sheet'!C90</f>
        <v>247196.43799999999</v>
      </c>
      <c r="D43" s="49">
        <f>'Data Sheet'!D93*'Data Sheet'!D90</f>
        <v>324980.62650000001</v>
      </c>
      <c r="E43" s="49">
        <f>'Data Sheet'!E93*'Data Sheet'!E90</f>
        <v>273214.84999999998</v>
      </c>
      <c r="F43" s="49">
        <f>'Data Sheet'!F93*'Data Sheet'!F90</f>
        <v>582885.06349999993</v>
      </c>
      <c r="G43" s="49">
        <f>'Data Sheet'!G93*'Data Sheet'!G90</f>
        <v>802154.5895</v>
      </c>
      <c r="H43" s="49">
        <f>'Data Sheet'!H93*'Data Sheet'!H90</f>
        <v>592399.33700000006</v>
      </c>
      <c r="I43" s="49">
        <f>'Data Sheet'!I93*'Data Sheet'!I90</f>
        <v>621825.57449999999</v>
      </c>
      <c r="J43" s="49">
        <f>'Data Sheet'!J93*'Data Sheet'!J90</f>
        <v>652338.06449999998</v>
      </c>
      <c r="K43" s="49">
        <f>'Data Sheet'!K93*'Data Sheet'!K90</f>
        <v>507193.33599999995</v>
      </c>
    </row>
    <row r="44" spans="1:11" x14ac:dyDescent="0.25">
      <c r="A44" s="29" t="s">
        <v>119</v>
      </c>
      <c r="E44" s="49">
        <f>'Data Sheet'!E59</f>
        <v>4633</v>
      </c>
      <c r="F44" s="49">
        <f>'Data Sheet'!F59</f>
        <v>5325</v>
      </c>
      <c r="G44" s="49">
        <f>'Data Sheet'!G59</f>
        <v>5474</v>
      </c>
      <c r="H44" s="49">
        <f>'Data Sheet'!H59</f>
        <v>8299</v>
      </c>
      <c r="I44" s="49">
        <f>'Data Sheet'!I59</f>
        <v>8359</v>
      </c>
      <c r="J44" s="49">
        <f>'Data Sheet'!J59</f>
        <v>8227</v>
      </c>
      <c r="K44" s="49">
        <f>'Data Sheet'!K59</f>
        <v>9176</v>
      </c>
    </row>
    <row r="45" spans="1:11" x14ac:dyDescent="0.25">
      <c r="A45" s="29" t="s">
        <v>120</v>
      </c>
      <c r="B45" s="49">
        <f>'Data Sheet'!B69</f>
        <v>22625</v>
      </c>
      <c r="C45" s="49">
        <f>'Data Sheet'!C69</f>
        <v>19818</v>
      </c>
      <c r="D45" s="49">
        <f>'Data Sheet'!D69</f>
        <v>19568</v>
      </c>
      <c r="E45" s="49">
        <f>'Data Sheet'!E69</f>
        <v>18649</v>
      </c>
      <c r="F45" s="49">
        <f>'Data Sheet'!F69</f>
        <v>24714</v>
      </c>
      <c r="G45" s="49">
        <f>'Data Sheet'!G69</f>
        <v>17472</v>
      </c>
      <c r="H45" s="49">
        <f>'Data Sheet'!H69</f>
        <v>12173</v>
      </c>
      <c r="I45" s="49">
        <f>'Data Sheet'!I69</f>
        <v>14786</v>
      </c>
      <c r="J45" s="49">
        <f>'Data Sheet'!J69</f>
        <v>24455</v>
      </c>
      <c r="K45" s="49">
        <f>'Data Sheet'!K69</f>
        <v>22201</v>
      </c>
    </row>
    <row r="46" spans="1:11" x14ac:dyDescent="0.25">
      <c r="A46" s="29" t="s">
        <v>121</v>
      </c>
      <c r="B46" s="49">
        <f>B43+B44-B45</f>
        <v>212183.01069999998</v>
      </c>
      <c r="C46" s="49">
        <f t="shared" ref="C46:K46" si="12">C43+C44-C45</f>
        <v>227378.43799999999</v>
      </c>
      <c r="D46" s="49">
        <f t="shared" si="12"/>
        <v>305412.62650000001</v>
      </c>
      <c r="E46" s="49">
        <f t="shared" si="12"/>
        <v>259198.84999999998</v>
      </c>
      <c r="F46" s="49">
        <f t="shared" si="12"/>
        <v>563496.06349999993</v>
      </c>
      <c r="G46" s="49">
        <f t="shared" si="12"/>
        <v>790156.5895</v>
      </c>
      <c r="H46" s="49">
        <f t="shared" si="12"/>
        <v>588525.33700000006</v>
      </c>
      <c r="I46" s="49">
        <f t="shared" si="12"/>
        <v>615398.57449999999</v>
      </c>
      <c r="J46" s="49">
        <f t="shared" si="12"/>
        <v>636110.06449999998</v>
      </c>
      <c r="K46" s="49">
        <f t="shared" si="12"/>
        <v>494168.33599999995</v>
      </c>
    </row>
    <row r="48" spans="1:11" x14ac:dyDescent="0.25">
      <c r="A48" s="29" t="s">
        <v>122</v>
      </c>
      <c r="B48" s="43">
        <f>B46/B6</f>
        <v>11.405236008385293</v>
      </c>
      <c r="C48" s="43">
        <f t="shared" ref="C48:K48" si="13">C46/C6</f>
        <v>12.080461056210817</v>
      </c>
      <c r="D48" s="43">
        <f t="shared" si="13"/>
        <v>15.141924962816065</v>
      </c>
      <c r="E48" s="43">
        <f t="shared" si="13"/>
        <v>11.640492657295548</v>
      </c>
      <c r="F48" s="43">
        <f t="shared" si="13"/>
        <v>20.204957635626947</v>
      </c>
      <c r="G48" s="43">
        <f t="shared" si="13"/>
        <v>25.091505176082055</v>
      </c>
      <c r="H48" s="43">
        <f t="shared" si="13"/>
        <v>16.752784998576718</v>
      </c>
      <c r="I48" s="43">
        <f t="shared" si="13"/>
        <v>16.894950569663692</v>
      </c>
      <c r="J48" s="43">
        <f t="shared" si="13"/>
        <v>16.21240861708635</v>
      </c>
      <c r="K48" s="43">
        <f t="shared" si="13"/>
        <v>11.687992809839166</v>
      </c>
    </row>
    <row r="49" spans="1:11" x14ac:dyDescent="0.25">
      <c r="A49" s="29" t="s">
        <v>123</v>
      </c>
      <c r="B49" s="43">
        <f>B46/B4</f>
        <v>3.0982858872145318</v>
      </c>
      <c r="C49" s="43">
        <f t="shared" ref="C49:J49" si="14">C46/C4</f>
        <v>3.2242199313689346</v>
      </c>
      <c r="D49" s="43">
        <f t="shared" si="14"/>
        <v>3.6941351859691567</v>
      </c>
      <c r="E49" s="43">
        <f t="shared" si="14"/>
        <v>2.8548958597217782</v>
      </c>
      <c r="F49" s="43">
        <f t="shared" si="14"/>
        <v>5.6084885689545336</v>
      </c>
      <c r="G49" s="43">
        <f t="shared" si="14"/>
        <v>6.4958080704696606</v>
      </c>
      <c r="H49" s="43">
        <f t="shared" si="14"/>
        <v>4.0099295958900845</v>
      </c>
      <c r="I49" s="43">
        <f t="shared" si="14"/>
        <v>4.0046760883711849</v>
      </c>
      <c r="J49" s="43">
        <f t="shared" si="14"/>
        <v>3.9027551659611017</v>
      </c>
      <c r="K49" s="43">
        <f>K46/K4</f>
        <v>2.7661255863420093</v>
      </c>
    </row>
    <row r="51" spans="1:11" x14ac:dyDescent="0.25">
      <c r="A51" s="29" t="s">
        <v>124</v>
      </c>
      <c r="B51" s="43">
        <f>B43/'Balance Sheet'!B26</f>
        <v>3.4039026224232405</v>
      </c>
      <c r="C51" s="43">
        <f>C43/'Balance Sheet'!C26</f>
        <v>3.8075325847542474</v>
      </c>
      <c r="D51" s="43">
        <f>D43/'Balance Sheet'!D26</f>
        <v>5.003704910081912</v>
      </c>
      <c r="E51" s="43">
        <f>E43/'Balance Sheet'!E26</f>
        <v>4.1744056531703588</v>
      </c>
      <c r="F51" s="43">
        <f>F43/'Balance Sheet'!F26</f>
        <v>7.6342819805896447</v>
      </c>
      <c r="G51" s="43">
        <f>G43/'Balance Sheet'!G26</f>
        <v>10.645714525547445</v>
      </c>
      <c r="H51" s="43">
        <f>H43/'Balance Sheet'!H26</f>
        <v>7.8560257933613595</v>
      </c>
      <c r="I51" s="43">
        <f>I43/'Balance Sheet'!I26</f>
        <v>7.056897436333923</v>
      </c>
      <c r="J51" s="43">
        <f>J43/'Balance Sheet'!J26</f>
        <v>6.8080951856644889</v>
      </c>
      <c r="K51" s="43">
        <f>K43/'Balance Sheet'!K26</f>
        <v>5.4623846120708217</v>
      </c>
    </row>
  </sheetData>
  <hyperlinks>
    <hyperlink ref="M1" r:id="rId1"/>
  </hyperlinks>
  <printOptions gridLines="1"/>
  <pageMargins left="0.7" right="0.7" top="0.75" bottom="0.75" header="0.3" footer="0.3"/>
  <pageSetup paperSize="9" orientation="landscape" horizontalDpi="300" verticalDpi="300"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K22"/>
  <sheetViews>
    <sheetView zoomScale="90" zoomScaleNormal="90" workbookViewId="0">
      <pane xSplit="1" ySplit="3" topLeftCell="D4" activePane="bottomRight" state="frozen"/>
      <selection pane="topRight" activeCell="B1" sqref="B1"/>
      <selection pane="bottomLeft" activeCell="A4" sqref="A4"/>
      <selection pane="bottomRight" activeCell="K5" sqref="K5"/>
    </sheetView>
  </sheetViews>
  <sheetFormatPr defaultColWidth="8.85546875" defaultRowHeight="15" x14ac:dyDescent="0.25"/>
  <cols>
    <col min="1" max="1" width="20.7109375" style="6" customWidth="1"/>
    <col min="2" max="11" width="13.42578125" style="6" bestFit="1" customWidth="1"/>
    <col min="12" max="16384" width="8.85546875" style="6"/>
  </cols>
  <sheetData>
    <row r="1" spans="1:11" s="8" customFormat="1" x14ac:dyDescent="0.25">
      <c r="A1" s="8" t="str">
        <f>'Profit &amp; Loss'!A1</f>
        <v>INFOSYS LTD</v>
      </c>
      <c r="E1" t="str">
        <f>UPDATE</f>
        <v/>
      </c>
      <c r="J1" s="4" t="s">
        <v>1</v>
      </c>
      <c r="K1" s="4"/>
    </row>
    <row r="3" spans="1:11" s="2" customFormat="1" x14ac:dyDescent="0.25">
      <c r="A3" s="15" t="s">
        <v>2</v>
      </c>
      <c r="B3" s="16">
        <f>'Data Sheet'!B41</f>
        <v>45291</v>
      </c>
      <c r="C3" s="16">
        <f>'Data Sheet'!C41</f>
        <v>45382</v>
      </c>
      <c r="D3" s="16">
        <f>'Data Sheet'!D41</f>
        <v>45473</v>
      </c>
      <c r="E3" s="16">
        <f>'Data Sheet'!E41</f>
        <v>45565</v>
      </c>
      <c r="F3" s="16">
        <f>'Data Sheet'!F41</f>
        <v>45657</v>
      </c>
      <c r="G3" s="16">
        <f>'Data Sheet'!G41</f>
        <v>45747</v>
      </c>
      <c r="H3" s="16">
        <f>'Data Sheet'!H41</f>
        <v>45838</v>
      </c>
      <c r="I3" s="16">
        <f>'Data Sheet'!I41</f>
        <v>45930</v>
      </c>
      <c r="J3" s="16">
        <f>'Data Sheet'!J41</f>
        <v>46022</v>
      </c>
      <c r="K3" s="16">
        <f>'Data Sheet'!K41</f>
        <v>46112</v>
      </c>
    </row>
    <row r="4" spans="1:11" s="8" customFormat="1" x14ac:dyDescent="0.25">
      <c r="A4" s="8" t="s">
        <v>6</v>
      </c>
      <c r="B4" s="1">
        <f>'Data Sheet'!B42</f>
        <v>38821</v>
      </c>
      <c r="C4" s="1">
        <f>'Data Sheet'!C42</f>
        <v>37923</v>
      </c>
      <c r="D4" s="1">
        <f>'Data Sheet'!D42</f>
        <v>39315</v>
      </c>
      <c r="E4" s="1">
        <f>'Data Sheet'!E42</f>
        <v>40986</v>
      </c>
      <c r="F4" s="1">
        <f>'Data Sheet'!F42</f>
        <v>41764</v>
      </c>
      <c r="G4" s="1">
        <f>'Data Sheet'!G42</f>
        <v>40925</v>
      </c>
      <c r="H4" s="1">
        <f>'Data Sheet'!H42</f>
        <v>42279</v>
      </c>
      <c r="I4" s="1">
        <f>'Data Sheet'!I42</f>
        <v>44490</v>
      </c>
      <c r="J4" s="1">
        <f>'Data Sheet'!J42</f>
        <v>45479</v>
      </c>
      <c r="K4" s="1">
        <f>'Data Sheet'!K42</f>
        <v>46402</v>
      </c>
    </row>
    <row r="5" spans="1:11" x14ac:dyDescent="0.25">
      <c r="A5" s="6" t="s">
        <v>7</v>
      </c>
      <c r="B5" s="9">
        <f>'Data Sheet'!B43</f>
        <v>29684</v>
      </c>
      <c r="C5" s="9">
        <f>'Data Sheet'!C43</f>
        <v>29139</v>
      </c>
      <c r="D5" s="9">
        <f>'Data Sheet'!D43</f>
        <v>29878</v>
      </c>
      <c r="E5" s="9">
        <f>'Data Sheet'!E43</f>
        <v>31177</v>
      </c>
      <c r="F5" s="9">
        <f>'Data Sheet'!F43</f>
        <v>31649</v>
      </c>
      <c r="G5" s="9">
        <f>'Data Sheet'!G43</f>
        <v>31051</v>
      </c>
      <c r="H5" s="9">
        <f>'Data Sheet'!H43</f>
        <v>32336</v>
      </c>
      <c r="I5" s="9">
        <f>'Data Sheet'!I43</f>
        <v>33955</v>
      </c>
      <c r="J5" s="9">
        <f>'Data Sheet'!J43</f>
        <v>34845</v>
      </c>
      <c r="K5" s="9">
        <f>'Data Sheet'!K43</f>
        <v>35235</v>
      </c>
    </row>
    <row r="6" spans="1:11" s="8" customFormat="1" x14ac:dyDescent="0.25">
      <c r="A6" s="8" t="s">
        <v>8</v>
      </c>
      <c r="B6" s="1">
        <f>'Data Sheet'!B50</f>
        <v>9137</v>
      </c>
      <c r="C6" s="1">
        <f>'Data Sheet'!C50</f>
        <v>8784</v>
      </c>
      <c r="D6" s="1">
        <f>'Data Sheet'!D50</f>
        <v>9437</v>
      </c>
      <c r="E6" s="1">
        <f>'Data Sheet'!E50</f>
        <v>9809</v>
      </c>
      <c r="F6" s="1">
        <f>'Data Sheet'!F50</f>
        <v>10115</v>
      </c>
      <c r="G6" s="1">
        <f>'Data Sheet'!G50</f>
        <v>9874</v>
      </c>
      <c r="H6" s="1">
        <f>'Data Sheet'!H50</f>
        <v>9943</v>
      </c>
      <c r="I6" s="1">
        <f>'Data Sheet'!I50</f>
        <v>10535</v>
      </c>
      <c r="J6" s="1">
        <f>'Data Sheet'!J50</f>
        <v>10634</v>
      </c>
      <c r="K6" s="1">
        <f>'Data Sheet'!K50</f>
        <v>11167</v>
      </c>
    </row>
    <row r="7" spans="1:11" x14ac:dyDescent="0.25">
      <c r="A7" s="6" t="s">
        <v>9</v>
      </c>
      <c r="B7" s="9">
        <f>'Data Sheet'!B44</f>
        <v>789</v>
      </c>
      <c r="C7" s="9">
        <f>'Data Sheet'!C44</f>
        <v>2729</v>
      </c>
      <c r="D7" s="9">
        <f>'Data Sheet'!D44</f>
        <v>838</v>
      </c>
      <c r="E7" s="9">
        <f>'Data Sheet'!E44</f>
        <v>712</v>
      </c>
      <c r="F7" s="9">
        <f>'Data Sheet'!F44</f>
        <v>859</v>
      </c>
      <c r="G7" s="9">
        <f>'Data Sheet'!G44</f>
        <v>1190</v>
      </c>
      <c r="H7" s="9">
        <f>'Data Sheet'!H44</f>
        <v>1042</v>
      </c>
      <c r="I7" s="9">
        <f>'Data Sheet'!I44</f>
        <v>982</v>
      </c>
      <c r="J7" s="9">
        <f>'Data Sheet'!J44</f>
        <v>-150</v>
      </c>
      <c r="K7" s="9">
        <f>'Data Sheet'!K44</f>
        <v>1159</v>
      </c>
    </row>
    <row r="8" spans="1:11" x14ac:dyDescent="0.25">
      <c r="A8" s="6" t="s">
        <v>10</v>
      </c>
      <c r="B8" s="9">
        <f>'Data Sheet'!B45</f>
        <v>1176</v>
      </c>
      <c r="C8" s="9">
        <f>'Data Sheet'!C45</f>
        <v>1163</v>
      </c>
      <c r="D8" s="9">
        <f>'Data Sheet'!D45</f>
        <v>1149</v>
      </c>
      <c r="E8" s="9">
        <f>'Data Sheet'!E45</f>
        <v>1160</v>
      </c>
      <c r="F8" s="9">
        <f>'Data Sheet'!F45</f>
        <v>1203</v>
      </c>
      <c r="G8" s="9">
        <f>'Data Sheet'!G45</f>
        <v>1299</v>
      </c>
      <c r="H8" s="9">
        <f>'Data Sheet'!H45</f>
        <v>1140</v>
      </c>
      <c r="I8" s="9">
        <f>'Data Sheet'!I45</f>
        <v>1182</v>
      </c>
      <c r="J8" s="9">
        <f>'Data Sheet'!J45</f>
        <v>1155</v>
      </c>
      <c r="K8" s="9">
        <f>'Data Sheet'!K45</f>
        <v>1424</v>
      </c>
    </row>
    <row r="9" spans="1:11" x14ac:dyDescent="0.25">
      <c r="A9" s="6" t="s">
        <v>11</v>
      </c>
      <c r="B9" s="9">
        <f>'Data Sheet'!B46</f>
        <v>131</v>
      </c>
      <c r="C9" s="9">
        <f>'Data Sheet'!C46</f>
        <v>110</v>
      </c>
      <c r="D9" s="9">
        <f>'Data Sheet'!D46</f>
        <v>105</v>
      </c>
      <c r="E9" s="9">
        <f>'Data Sheet'!E46</f>
        <v>108</v>
      </c>
      <c r="F9" s="9">
        <f>'Data Sheet'!F46</f>
        <v>101</v>
      </c>
      <c r="G9" s="9">
        <f>'Data Sheet'!G46</f>
        <v>102</v>
      </c>
      <c r="H9" s="9">
        <f>'Data Sheet'!H46</f>
        <v>105</v>
      </c>
      <c r="I9" s="9">
        <f>'Data Sheet'!I46</f>
        <v>106</v>
      </c>
      <c r="J9" s="9">
        <f>'Data Sheet'!J46</f>
        <v>100</v>
      </c>
      <c r="K9" s="9">
        <f>'Data Sheet'!K46</f>
        <v>105</v>
      </c>
    </row>
    <row r="10" spans="1:11" x14ac:dyDescent="0.25">
      <c r="A10" s="6" t="s">
        <v>12</v>
      </c>
      <c r="B10" s="9">
        <f>'Data Sheet'!B47</f>
        <v>8619</v>
      </c>
      <c r="C10" s="9">
        <f>'Data Sheet'!C47</f>
        <v>10240</v>
      </c>
      <c r="D10" s="9">
        <f>'Data Sheet'!D47</f>
        <v>9021</v>
      </c>
      <c r="E10" s="9">
        <f>'Data Sheet'!E47</f>
        <v>9253</v>
      </c>
      <c r="F10" s="9">
        <f>'Data Sheet'!F47</f>
        <v>9670</v>
      </c>
      <c r="G10" s="9">
        <f>'Data Sheet'!G47</f>
        <v>9663</v>
      </c>
      <c r="H10" s="9">
        <f>'Data Sheet'!H47</f>
        <v>9740</v>
      </c>
      <c r="I10" s="9">
        <f>'Data Sheet'!I47</f>
        <v>10229</v>
      </c>
      <c r="J10" s="9">
        <f>'Data Sheet'!J47</f>
        <v>9229</v>
      </c>
      <c r="K10" s="9">
        <f>'Data Sheet'!K47</f>
        <v>10797</v>
      </c>
    </row>
    <row r="11" spans="1:11" x14ac:dyDescent="0.25">
      <c r="A11" s="6" t="s">
        <v>13</v>
      </c>
      <c r="B11" s="9">
        <f>'Data Sheet'!B48</f>
        <v>2506</v>
      </c>
      <c r="C11" s="9">
        <f>'Data Sheet'!C48</f>
        <v>2265</v>
      </c>
      <c r="D11" s="9">
        <f>'Data Sheet'!D48</f>
        <v>2647</v>
      </c>
      <c r="E11" s="9">
        <f>'Data Sheet'!E48</f>
        <v>2737</v>
      </c>
      <c r="F11" s="9">
        <f>'Data Sheet'!F48</f>
        <v>2848</v>
      </c>
      <c r="G11" s="9">
        <f>'Data Sheet'!G48</f>
        <v>2625</v>
      </c>
      <c r="H11" s="9">
        <f>'Data Sheet'!H48</f>
        <v>2816</v>
      </c>
      <c r="I11" s="9">
        <f>'Data Sheet'!I48</f>
        <v>2854</v>
      </c>
      <c r="J11" s="9">
        <f>'Data Sheet'!J48</f>
        <v>2563</v>
      </c>
      <c r="K11" s="9">
        <f>'Data Sheet'!K48</f>
        <v>2288</v>
      </c>
    </row>
    <row r="12" spans="1:11" s="8" customFormat="1" x14ac:dyDescent="0.25">
      <c r="A12" s="8" t="s">
        <v>14</v>
      </c>
      <c r="B12" s="1">
        <f>'Data Sheet'!B49</f>
        <v>6106</v>
      </c>
      <c r="C12" s="1">
        <f>'Data Sheet'!C49</f>
        <v>7969</v>
      </c>
      <c r="D12" s="1">
        <f>'Data Sheet'!D49</f>
        <v>6368</v>
      </c>
      <c r="E12" s="1">
        <f>'Data Sheet'!E49</f>
        <v>6506</v>
      </c>
      <c r="F12" s="1">
        <f>'Data Sheet'!F49</f>
        <v>6806</v>
      </c>
      <c r="G12" s="1">
        <f>'Data Sheet'!G49</f>
        <v>7033</v>
      </c>
      <c r="H12" s="1">
        <f>'Data Sheet'!H49</f>
        <v>6921</v>
      </c>
      <c r="I12" s="1">
        <f>'Data Sheet'!I49</f>
        <v>7364</v>
      </c>
      <c r="J12" s="1">
        <f>'Data Sheet'!J49</f>
        <v>6654</v>
      </c>
      <c r="K12" s="1">
        <f>'Data Sheet'!K49</f>
        <v>8501</v>
      </c>
    </row>
    <row r="14" spans="1:11" s="8" customFormat="1" x14ac:dyDescent="0.25">
      <c r="A14" s="2" t="s">
        <v>18</v>
      </c>
      <c r="B14" s="14">
        <f>IF(B4&gt;0,B6/B4,"")</f>
        <v>0.23536230390767884</v>
      </c>
      <c r="C14" s="14">
        <f t="shared" ref="C14:K14" si="0">IF(C4&gt;0,C6/C4,"")</f>
        <v>0.2316272446800095</v>
      </c>
      <c r="D14" s="14">
        <f t="shared" si="0"/>
        <v>0.24003560981813557</v>
      </c>
      <c r="E14" s="14">
        <f t="shared" si="0"/>
        <v>0.23932562338359439</v>
      </c>
      <c r="F14" s="14">
        <f t="shared" si="0"/>
        <v>0.2421942342687482</v>
      </c>
      <c r="G14" s="14">
        <f t="shared" si="0"/>
        <v>0.24127061698228466</v>
      </c>
      <c r="H14" s="14">
        <f t="shared" si="0"/>
        <v>0.23517585562572435</v>
      </c>
      <c r="I14" s="14">
        <f t="shared" si="0"/>
        <v>0.23679478534502135</v>
      </c>
      <c r="J14" s="14">
        <f t="shared" si="0"/>
        <v>0.2338222036544339</v>
      </c>
      <c r="K14" s="14">
        <f t="shared" si="0"/>
        <v>0.24065773027024698</v>
      </c>
    </row>
    <row r="22" s="30" customFormat="1" x14ac:dyDescent="0.25"/>
  </sheetData>
  <hyperlinks>
    <hyperlink ref="J1" r:id="rId1"/>
  </hyperlinks>
  <printOptions gridLines="1"/>
  <pageMargins left="0.7" right="0.7" top="0.75" bottom="0.75" header="0.3" footer="0.3"/>
  <pageSetup paperSize="9" scale="83" orientation="landscape" horizontalDpi="300" verticalDpi="30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6"/>
  <sheetViews>
    <sheetView zoomScaleNormal="100" workbookViewId="0">
      <pane xSplit="1" ySplit="3" topLeftCell="B4" activePane="bottomRight" state="frozen"/>
      <selection activeCell="C4" sqref="C4"/>
      <selection pane="topRight" activeCell="C4" sqref="C4"/>
      <selection pane="bottomLeft" activeCell="C4" sqref="C4"/>
      <selection pane="bottomRight" activeCell="L14" sqref="L14"/>
    </sheetView>
  </sheetViews>
  <sheetFormatPr defaultColWidth="8.85546875" defaultRowHeight="15" x14ac:dyDescent="0.25"/>
  <cols>
    <col min="1" max="1" width="22.85546875" style="11" bestFit="1" customWidth="1"/>
    <col min="2" max="2" width="13.42578125" style="11" customWidth="1"/>
    <col min="3" max="11" width="15.42578125" style="11" customWidth="1"/>
    <col min="12" max="16384" width="8.85546875" style="11"/>
  </cols>
  <sheetData>
    <row r="1" spans="1:11" s="8" customFormat="1" x14ac:dyDescent="0.25">
      <c r="A1" s="8" t="str">
        <f>'Profit &amp; Loss'!A1</f>
        <v>INFOSYS LTD</v>
      </c>
      <c r="E1" t="str">
        <f>UPDATE</f>
        <v/>
      </c>
      <c r="G1"/>
      <c r="J1" s="4" t="s">
        <v>1</v>
      </c>
      <c r="K1" s="4"/>
    </row>
    <row r="2" spans="1:11" x14ac:dyDescent="0.25">
      <c r="G2" s="8"/>
      <c r="H2" s="8"/>
    </row>
    <row r="3" spans="1:11" s="18" customFormat="1" x14ac:dyDescent="0.25">
      <c r="A3" s="15" t="s">
        <v>2</v>
      </c>
      <c r="B3" s="16">
        <f>'Data Sheet'!B56</f>
        <v>42825</v>
      </c>
      <c r="C3" s="16">
        <f>'Data Sheet'!C56</f>
        <v>43190</v>
      </c>
      <c r="D3" s="16">
        <f>'Data Sheet'!D56</f>
        <v>43555</v>
      </c>
      <c r="E3" s="16">
        <f>'Data Sheet'!E56</f>
        <v>43921</v>
      </c>
      <c r="F3" s="16">
        <f>'Data Sheet'!F56</f>
        <v>44286</v>
      </c>
      <c r="G3" s="16">
        <f>'Data Sheet'!G56</f>
        <v>44651</v>
      </c>
      <c r="H3" s="16">
        <f>'Data Sheet'!H56</f>
        <v>45016</v>
      </c>
      <c r="I3" s="16">
        <f>'Data Sheet'!I56</f>
        <v>45382</v>
      </c>
      <c r="J3" s="16">
        <f>'Data Sheet'!J56</f>
        <v>45747</v>
      </c>
      <c r="K3" s="16">
        <f>'Data Sheet'!K56</f>
        <v>46112</v>
      </c>
    </row>
    <row r="4" spans="1:11" x14ac:dyDescent="0.25">
      <c r="A4" s="6" t="s">
        <v>24</v>
      </c>
      <c r="B4" s="19">
        <f>'Data Sheet'!B57</f>
        <v>1144</v>
      </c>
      <c r="C4" s="19">
        <f>'Data Sheet'!C57</f>
        <v>1088</v>
      </c>
      <c r="D4" s="19">
        <f>'Data Sheet'!D57</f>
        <v>2170</v>
      </c>
      <c r="E4" s="19">
        <f>'Data Sheet'!E57</f>
        <v>2122</v>
      </c>
      <c r="F4" s="19">
        <f>'Data Sheet'!F57</f>
        <v>2124</v>
      </c>
      <c r="G4" s="19">
        <f>'Data Sheet'!G57</f>
        <v>2098</v>
      </c>
      <c r="H4" s="19">
        <f>'Data Sheet'!H57</f>
        <v>2069</v>
      </c>
      <c r="I4" s="19">
        <f>'Data Sheet'!I57</f>
        <v>2071</v>
      </c>
      <c r="J4" s="19">
        <f>'Data Sheet'!J57</f>
        <v>2073</v>
      </c>
      <c r="K4" s="19">
        <f>'Data Sheet'!K57</f>
        <v>2024</v>
      </c>
    </row>
    <row r="5" spans="1:11" s="6" customFormat="1" x14ac:dyDescent="0.25">
      <c r="A5" s="6" t="s">
        <v>25</v>
      </c>
      <c r="B5" s="19">
        <f>'Data Sheet'!B58</f>
        <v>67838</v>
      </c>
      <c r="C5" s="19">
        <f>'Data Sheet'!C58</f>
        <v>63835</v>
      </c>
      <c r="D5" s="19">
        <f>'Data Sheet'!D58</f>
        <v>62778</v>
      </c>
      <c r="E5" s="19">
        <f>'Data Sheet'!E58</f>
        <v>63328</v>
      </c>
      <c r="F5" s="19">
        <f>'Data Sheet'!F58</f>
        <v>74227</v>
      </c>
      <c r="G5" s="19">
        <f>'Data Sheet'!G58</f>
        <v>73252</v>
      </c>
      <c r="H5" s="19">
        <f>'Data Sheet'!H58</f>
        <v>73338</v>
      </c>
      <c r="I5" s="19">
        <f>'Data Sheet'!I58</f>
        <v>86045</v>
      </c>
      <c r="J5" s="19">
        <f>'Data Sheet'!J58</f>
        <v>93745</v>
      </c>
      <c r="K5" s="19">
        <f>'Data Sheet'!K58</f>
        <v>90828</v>
      </c>
    </row>
    <row r="6" spans="1:11" x14ac:dyDescent="0.25">
      <c r="A6" s="11" t="s">
        <v>71</v>
      </c>
      <c r="B6" s="19">
        <f>'Data Sheet'!B59</f>
        <v>0</v>
      </c>
      <c r="C6" s="19">
        <f>'Data Sheet'!C59</f>
        <v>0</v>
      </c>
      <c r="D6" s="19">
        <f>'Data Sheet'!D59</f>
        <v>0</v>
      </c>
      <c r="E6" s="19">
        <f>'Data Sheet'!E59</f>
        <v>4633</v>
      </c>
      <c r="F6" s="19">
        <f>'Data Sheet'!F59</f>
        <v>5325</v>
      </c>
      <c r="G6" s="19">
        <f>'Data Sheet'!G59</f>
        <v>5474</v>
      </c>
      <c r="H6" s="19">
        <f>'Data Sheet'!H59</f>
        <v>8299</v>
      </c>
      <c r="I6" s="19">
        <f>'Data Sheet'!I59</f>
        <v>8359</v>
      </c>
      <c r="J6" s="19">
        <f>'Data Sheet'!J59</f>
        <v>8227</v>
      </c>
      <c r="K6" s="19">
        <f>'Data Sheet'!K59</f>
        <v>9176</v>
      </c>
    </row>
    <row r="7" spans="1:11" s="6" customFormat="1" x14ac:dyDescent="0.25">
      <c r="A7" s="11" t="s">
        <v>72</v>
      </c>
      <c r="B7" s="19">
        <f>'Data Sheet'!B60</f>
        <v>14166</v>
      </c>
      <c r="C7" s="19">
        <f>'Data Sheet'!C60</f>
        <v>14426</v>
      </c>
      <c r="D7" s="19">
        <f>'Data Sheet'!D60</f>
        <v>19118</v>
      </c>
      <c r="E7" s="19">
        <f>'Data Sheet'!E60</f>
        <v>21717</v>
      </c>
      <c r="F7" s="19">
        <f>'Data Sheet'!F60</f>
        <v>25835</v>
      </c>
      <c r="G7" s="19">
        <f>'Data Sheet'!G60</f>
        <v>35905</v>
      </c>
      <c r="H7" s="19">
        <f>'Data Sheet'!H60</f>
        <v>40890</v>
      </c>
      <c r="I7" s="19">
        <f>'Data Sheet'!I60</f>
        <v>40885</v>
      </c>
      <c r="J7" s="19">
        <f>'Data Sheet'!J60</f>
        <v>43750</v>
      </c>
      <c r="K7" s="19">
        <f>'Data Sheet'!K60</f>
        <v>52260</v>
      </c>
    </row>
    <row r="8" spans="1:11" s="8" customFormat="1" x14ac:dyDescent="0.25">
      <c r="A8" s="8" t="s">
        <v>26</v>
      </c>
      <c r="B8" s="20">
        <f>'Data Sheet'!B61</f>
        <v>83148</v>
      </c>
      <c r="C8" s="20">
        <f>'Data Sheet'!C61</f>
        <v>79349</v>
      </c>
      <c r="D8" s="20">
        <f>'Data Sheet'!D61</f>
        <v>84066</v>
      </c>
      <c r="E8" s="20">
        <f>'Data Sheet'!E61</f>
        <v>91800</v>
      </c>
      <c r="F8" s="20">
        <f>'Data Sheet'!F61</f>
        <v>107511</v>
      </c>
      <c r="G8" s="20">
        <f>'Data Sheet'!G61</f>
        <v>116729</v>
      </c>
      <c r="H8" s="20">
        <f>'Data Sheet'!H61</f>
        <v>124596</v>
      </c>
      <c r="I8" s="20">
        <f>'Data Sheet'!I61</f>
        <v>137360</v>
      </c>
      <c r="J8" s="20">
        <f>'Data Sheet'!J61</f>
        <v>147795</v>
      </c>
      <c r="K8" s="20">
        <f>'Data Sheet'!K61</f>
        <v>154288</v>
      </c>
    </row>
    <row r="9" spans="1:11" s="8" customFormat="1" x14ac:dyDescent="0.25">
      <c r="B9" s="20"/>
      <c r="C9" s="20"/>
      <c r="D9" s="20"/>
      <c r="E9" s="20"/>
      <c r="F9" s="20"/>
      <c r="G9" s="20"/>
      <c r="H9" s="20"/>
      <c r="I9" s="20"/>
      <c r="J9" s="20"/>
      <c r="K9" s="20"/>
    </row>
    <row r="10" spans="1:11" x14ac:dyDescent="0.25">
      <c r="A10" s="6" t="s">
        <v>27</v>
      </c>
      <c r="B10" s="19">
        <f>'Data Sheet'!B62</f>
        <v>14179</v>
      </c>
      <c r="C10" s="19">
        <f>'Data Sheet'!C62</f>
        <v>12574</v>
      </c>
      <c r="D10" s="19">
        <f>'Data Sheet'!D62</f>
        <v>15710</v>
      </c>
      <c r="E10" s="19">
        <f>'Data Sheet'!E62</f>
        <v>23789</v>
      </c>
      <c r="F10" s="19">
        <f>'Data Sheet'!F62</f>
        <v>25505</v>
      </c>
      <c r="G10" s="19">
        <f>'Data Sheet'!G62</f>
        <v>25800</v>
      </c>
      <c r="H10" s="19">
        <f>'Data Sheet'!H62</f>
        <v>29225</v>
      </c>
      <c r="I10" s="19">
        <f>'Data Sheet'!I62</f>
        <v>27622</v>
      </c>
      <c r="J10" s="19">
        <f>'Data Sheet'!J62</f>
        <v>30961</v>
      </c>
      <c r="K10" s="19">
        <f>'Data Sheet'!K62</f>
        <v>33770</v>
      </c>
    </row>
    <row r="11" spans="1:11" x14ac:dyDescent="0.25">
      <c r="A11" s="6" t="s">
        <v>28</v>
      </c>
      <c r="B11" s="19">
        <f>'Data Sheet'!B63</f>
        <v>1365</v>
      </c>
      <c r="C11" s="19">
        <f>'Data Sheet'!C63</f>
        <v>1606</v>
      </c>
      <c r="D11" s="19">
        <f>'Data Sheet'!D63</f>
        <v>1388</v>
      </c>
      <c r="E11" s="19">
        <f>'Data Sheet'!E63</f>
        <v>954</v>
      </c>
      <c r="F11" s="19">
        <f>'Data Sheet'!F63</f>
        <v>922</v>
      </c>
      <c r="G11" s="19">
        <f>'Data Sheet'!G63</f>
        <v>416</v>
      </c>
      <c r="H11" s="19">
        <f>'Data Sheet'!H63</f>
        <v>288</v>
      </c>
      <c r="I11" s="19">
        <f>'Data Sheet'!I63</f>
        <v>293</v>
      </c>
      <c r="J11" s="19">
        <f>'Data Sheet'!J63</f>
        <v>814</v>
      </c>
      <c r="K11" s="19">
        <f>'Data Sheet'!K63</f>
        <v>526</v>
      </c>
    </row>
    <row r="12" spans="1:11" x14ac:dyDescent="0.25">
      <c r="A12" s="6" t="s">
        <v>29</v>
      </c>
      <c r="B12" s="19">
        <f>'Data Sheet'!B64</f>
        <v>16423</v>
      </c>
      <c r="C12" s="19">
        <f>'Data Sheet'!C64</f>
        <v>12163</v>
      </c>
      <c r="D12" s="19">
        <f>'Data Sheet'!D64</f>
        <v>11261</v>
      </c>
      <c r="E12" s="19">
        <f>'Data Sheet'!E64</f>
        <v>8792</v>
      </c>
      <c r="F12" s="19">
        <f>'Data Sheet'!F64</f>
        <v>14205</v>
      </c>
      <c r="G12" s="19">
        <f>'Data Sheet'!G64</f>
        <v>20324</v>
      </c>
      <c r="H12" s="19">
        <f>'Data Sheet'!H64</f>
        <v>19478</v>
      </c>
      <c r="I12" s="19">
        <f>'Data Sheet'!I64</f>
        <v>24623</v>
      </c>
      <c r="J12" s="19">
        <f>'Data Sheet'!J64</f>
        <v>23541</v>
      </c>
      <c r="K12" s="19">
        <f>'Data Sheet'!K64</f>
        <v>21880</v>
      </c>
    </row>
    <row r="13" spans="1:11" x14ac:dyDescent="0.25">
      <c r="A13" s="11" t="s">
        <v>73</v>
      </c>
      <c r="B13" s="19">
        <f>'Data Sheet'!B65</f>
        <v>51181</v>
      </c>
      <c r="C13" s="19">
        <f>'Data Sheet'!C65</f>
        <v>53006</v>
      </c>
      <c r="D13" s="19">
        <f>'Data Sheet'!D65</f>
        <v>55707</v>
      </c>
      <c r="E13" s="19">
        <f>'Data Sheet'!E65</f>
        <v>58265</v>
      </c>
      <c r="F13" s="19">
        <f>'Data Sheet'!F65</f>
        <v>66879</v>
      </c>
      <c r="G13" s="19">
        <f>'Data Sheet'!G65</f>
        <v>70189</v>
      </c>
      <c r="H13" s="19">
        <f>'Data Sheet'!H65</f>
        <v>75605</v>
      </c>
      <c r="I13" s="19">
        <f>'Data Sheet'!I65</f>
        <v>84822</v>
      </c>
      <c r="J13" s="19">
        <f>'Data Sheet'!J65</f>
        <v>92479</v>
      </c>
      <c r="K13" s="19">
        <f>'Data Sheet'!K65</f>
        <v>98112</v>
      </c>
    </row>
    <row r="14" spans="1:11" s="8" customFormat="1" x14ac:dyDescent="0.25">
      <c r="A14" s="8" t="s">
        <v>26</v>
      </c>
      <c r="B14" s="19">
        <f>'Data Sheet'!B66</f>
        <v>83148</v>
      </c>
      <c r="C14" s="19">
        <f>'Data Sheet'!C66</f>
        <v>79349</v>
      </c>
      <c r="D14" s="19">
        <f>'Data Sheet'!D66</f>
        <v>84066</v>
      </c>
      <c r="E14" s="19">
        <f>'Data Sheet'!E66</f>
        <v>91800</v>
      </c>
      <c r="F14" s="19">
        <f>'Data Sheet'!F66</f>
        <v>107511</v>
      </c>
      <c r="G14" s="19">
        <f>'Data Sheet'!G66</f>
        <v>116729</v>
      </c>
      <c r="H14" s="19">
        <f>'Data Sheet'!H66</f>
        <v>124596</v>
      </c>
      <c r="I14" s="19">
        <f>'Data Sheet'!I66</f>
        <v>137360</v>
      </c>
      <c r="J14" s="19">
        <f>'Data Sheet'!J66</f>
        <v>147795</v>
      </c>
      <c r="K14" s="19">
        <f>'Data Sheet'!K66</f>
        <v>154288</v>
      </c>
    </row>
    <row r="15" spans="1:11" x14ac:dyDescent="0.25">
      <c r="A15" s="6"/>
      <c r="B15" s="21"/>
      <c r="C15" s="21"/>
      <c r="D15" s="21"/>
      <c r="E15" s="21"/>
      <c r="F15" s="21"/>
      <c r="G15" s="21"/>
      <c r="H15" s="21"/>
      <c r="I15" s="21"/>
      <c r="J15" s="21"/>
      <c r="K15" s="21"/>
    </row>
    <row r="16" spans="1:11" x14ac:dyDescent="0.25">
      <c r="A16" s="29" t="s">
        <v>30</v>
      </c>
      <c r="B16" s="21">
        <f>B13-B7</f>
        <v>37015</v>
      </c>
      <c r="C16" s="21">
        <f t="shared" ref="C16:K16" si="0">C13-C7</f>
        <v>38580</v>
      </c>
      <c r="D16" s="21">
        <f t="shared" si="0"/>
        <v>36589</v>
      </c>
      <c r="E16" s="21">
        <f t="shared" si="0"/>
        <v>36548</v>
      </c>
      <c r="F16" s="21">
        <f t="shared" si="0"/>
        <v>41044</v>
      </c>
      <c r="G16" s="21">
        <f t="shared" si="0"/>
        <v>34284</v>
      </c>
      <c r="H16" s="21">
        <f t="shared" si="0"/>
        <v>34715</v>
      </c>
      <c r="I16" s="21">
        <f t="shared" si="0"/>
        <v>43937</v>
      </c>
      <c r="J16" s="21">
        <f t="shared" si="0"/>
        <v>48729</v>
      </c>
      <c r="K16" s="21">
        <f t="shared" si="0"/>
        <v>45852</v>
      </c>
    </row>
    <row r="17" spans="1:11" x14ac:dyDescent="0.25">
      <c r="A17" s="11" t="s">
        <v>44</v>
      </c>
      <c r="B17" s="21">
        <f>'Data Sheet'!B67</f>
        <v>12322</v>
      </c>
      <c r="C17" s="21">
        <f>'Data Sheet'!C67</f>
        <v>13142</v>
      </c>
      <c r="D17" s="21">
        <f>'Data Sheet'!D67</f>
        <v>14827</v>
      </c>
      <c r="E17" s="21">
        <f>'Data Sheet'!E67</f>
        <v>18487</v>
      </c>
      <c r="F17" s="21">
        <f>'Data Sheet'!F67</f>
        <v>19294</v>
      </c>
      <c r="G17" s="21">
        <f>'Data Sheet'!G67</f>
        <v>22698</v>
      </c>
      <c r="H17" s="21">
        <f>'Data Sheet'!H67</f>
        <v>25424</v>
      </c>
      <c r="I17" s="21">
        <f>'Data Sheet'!I67</f>
        <v>30193</v>
      </c>
      <c r="J17" s="21">
        <f>'Data Sheet'!J67</f>
        <v>31158</v>
      </c>
      <c r="K17" s="21">
        <f>'Data Sheet'!K67</f>
        <v>35234</v>
      </c>
    </row>
    <row r="18" spans="1:11" x14ac:dyDescent="0.25">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25">
      <c r="A20" s="11" t="s">
        <v>46</v>
      </c>
      <c r="B20" s="5">
        <f>IF('Profit &amp; Loss'!B4&gt;0,'Balance Sheet'!B17/('Profit &amp; Loss'!B4/365),0)</f>
        <v>65.672711874306415</v>
      </c>
      <c r="C20" s="5">
        <f>IF('Profit &amp; Loss'!C4&gt;0,'Balance Sheet'!C17/('Profit &amp; Loss'!C4/365),0)</f>
        <v>68.018916082924477</v>
      </c>
      <c r="D20" s="5">
        <f>IF('Profit &amp; Loss'!D4&gt;0,'Balance Sheet'!D17/('Profit &amp; Loss'!D4/365),0)</f>
        <v>65.459389174478375</v>
      </c>
      <c r="E20" s="5">
        <f>IF('Profit &amp; Loss'!E4&gt;0,'Balance Sheet'!E17/('Profit &amp; Loss'!E4/365),0)</f>
        <v>74.321849081957467</v>
      </c>
      <c r="F20" s="5">
        <f>IF('Profit &amp; Loss'!F4&gt;0,'Balance Sheet'!F17/('Profit &amp; Loss'!F4/365),0)</f>
        <v>70.092264511505689</v>
      </c>
      <c r="G20" s="5">
        <f>IF('Profit &amp; Loss'!G4&gt;0,'Balance Sheet'!G17/('Profit &amp; Loss'!G4/365),0)</f>
        <v>68.108368066688044</v>
      </c>
      <c r="H20" s="5">
        <f>IF('Profit &amp; Loss'!H4&gt;0,'Balance Sheet'!H17/('Profit &amp; Loss'!H4/365),0)</f>
        <v>63.227837320378562</v>
      </c>
      <c r="I20" s="5">
        <f>IF('Profit &amp; Loss'!I4&gt;0,'Balance Sheet'!I17/('Profit &amp; Loss'!I4/365),0)</f>
        <v>71.715006182078469</v>
      </c>
      <c r="J20" s="5">
        <f>IF('Profit &amp; Loss'!J4&gt;0,'Balance Sheet'!J17/('Profit &amp; Loss'!J4/365),0)</f>
        <v>69.775262286029815</v>
      </c>
      <c r="K20" s="5">
        <f>IF('Profit &amp; Loss'!K4&gt;0,'Balance Sheet'!K17/('Profit &amp; Loss'!K4/365),0)</f>
        <v>71.986621886369988</v>
      </c>
    </row>
    <row r="21" spans="1:11" x14ac:dyDescent="0.25">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25">
      <c r="A23" s="8" t="s">
        <v>59</v>
      </c>
      <c r="B23" s="14">
        <f>IF(SUM('Balance Sheet'!B4:B5)&gt;0,'Profit &amp; Loss'!B12/SUM('Balance Sheet'!B4:B5),"")</f>
        <v>0.20806877156359629</v>
      </c>
      <c r="C23" s="14">
        <f>IF(SUM('Balance Sheet'!C4:C5)&gt;0,'Profit &amp; Loss'!C12/SUM('Balance Sheet'!C4:C5),"")</f>
        <v>0.24689247262141306</v>
      </c>
      <c r="D23" s="14">
        <f>IF(SUM('Balance Sheet'!D4:D5)&gt;0,'Profit &amp; Loss'!D12/SUM('Balance Sheet'!D4:D5),"")</f>
        <v>0.23717435486851018</v>
      </c>
      <c r="E23" s="14">
        <f>IF(SUM('Balance Sheet'!E4:E5)&gt;0,'Profit &amp; Loss'!E12/SUM('Balance Sheet'!E4:E5),"")</f>
        <v>0.25353705118411002</v>
      </c>
      <c r="F23" s="14">
        <f>IF(SUM('Balance Sheet'!F4:F5)&gt;0,'Profit &amp; Loss'!F12/SUM('Balance Sheet'!F4:F5),"")</f>
        <v>0.2534478919726002</v>
      </c>
      <c r="G23" s="14">
        <f>IF(SUM('Balance Sheet'!G4:G5)&gt;0,'Profit &amp; Loss'!G12/SUM('Balance Sheet'!G4:G5),"")</f>
        <v>0.29343065693430659</v>
      </c>
      <c r="H23" s="14">
        <f>IF(SUM('Balance Sheet'!H4:H5)&gt;0,'Profit &amp; Loss'!H12/SUM('Balance Sheet'!H4:H5),"")</f>
        <v>0.31953266938082669</v>
      </c>
      <c r="I23" s="14">
        <f>IF(SUM('Balance Sheet'!I4:I5)&gt;0,'Profit &amp; Loss'!I12/SUM('Balance Sheet'!I4:I5),"")</f>
        <v>0.29770983703300197</v>
      </c>
      <c r="J23" s="14">
        <f>IF(SUM('Balance Sheet'!J4:J5)&gt;0,'Profit &amp; Loss'!J12/SUM('Balance Sheet'!J4:J5),"")</f>
        <v>0.27878895405873633</v>
      </c>
      <c r="K23" s="14">
        <f>IF(SUM('Balance Sheet'!K4:K5)&gt;0,'Profit &amp; Loss'!K12/SUM('Balance Sheet'!K4:K5),"")</f>
        <v>0.31706371429802266</v>
      </c>
    </row>
    <row r="24" spans="1:11" s="8" customFormat="1" x14ac:dyDescent="0.25">
      <c r="A24" s="8" t="s">
        <v>60</v>
      </c>
      <c r="B24" s="14"/>
      <c r="C24" s="14">
        <f>IF((B4+B5+B6+C4+C5+C6)&gt;0,('Profit &amp; Loss'!C10+'Profit &amp; Loss'!C9)*2/(B4+B5+B6+C4+C5+C6),"")</f>
        <v>0.30275195101004443</v>
      </c>
      <c r="D24" s="14">
        <f>IF((C4+C5+C6+D4+D5+D6)&gt;0,('Profit &amp; Loss'!D10+'Profit &amp; Loss'!D9)*2/(C4+C5+C6+D4+D5+D6),"")</f>
        <v>0.3240292290041657</v>
      </c>
      <c r="E24" s="14">
        <f>IF((D4+D5+D6+E4+E5+E6)&gt;0,('Profit &amp; Loss'!E10+'Profit &amp; Loss'!E9)*2/(D4+D5+D6+E4+E5+E6),"")</f>
        <v>0.32847272107886338</v>
      </c>
      <c r="F24" s="14">
        <f>IF((E4+E5+E6+F4+F5+F6)&gt;0,('Profit &amp; Loss'!F10+'Profit &amp; Loss'!F9)*2/(E4+E5+E6+F4+F5+F6),"")</f>
        <v>0.3534946856529102</v>
      </c>
      <c r="G24" s="14">
        <f>IF((F4+F5+F6+G4+G5+G6)&gt;0,('Profit &amp; Loss'!G10+'Profit &amp; Loss'!G9)*2/(F4+F5+F6+G4+G5+G6),"")</f>
        <v>0.37304615384615386</v>
      </c>
      <c r="H24" s="14">
        <f>IF((G4+G5+G6+H4+H5+H6)&gt;0,('Profit &amp; Loss'!H10+'Profit &amp; Loss'!H9)*2/(G4+G5+G6+H4+H5+H6),"")</f>
        <v>0.40850908648878625</v>
      </c>
      <c r="I24" s="14">
        <f>IF((H4+H5+H6+I4+I5+I6)&gt;0,('Profit &amp; Loss'!I10+'Profit &amp; Loss'!I9)*2/(H4+H5+H6+I4+I5+I6),"")</f>
        <v>0.40468195869708795</v>
      </c>
      <c r="J24" s="14">
        <f>IF((I4+I5+I6+J4+J5+J6)&gt;0,('Profit &amp; Loss'!J10+'Profit &amp; Loss'!J9)*2/(I4+I5+I6+J4+J5+J6),"")</f>
        <v>0.37925393975663274</v>
      </c>
      <c r="K24" s="14">
        <f>IF((J4+J5+J6+K4+K5+K6)&gt;0,('Profit &amp; Loss'!K10+'Profit &amp; Loss'!K9)*2/(J4+J5+J6+K4+K5+K6),"")</f>
        <v>0.39220082203879209</v>
      </c>
    </row>
    <row r="25" spans="1:11" s="18" customFormat="1" x14ac:dyDescent="0.25"/>
    <row r="26" spans="1:11" x14ac:dyDescent="0.25">
      <c r="A26" s="18" t="s">
        <v>125</v>
      </c>
      <c r="B26" s="50">
        <f>B4+B5</f>
        <v>68982</v>
      </c>
      <c r="C26" s="50">
        <f t="shared" ref="C26:J26" si="1">C4+C5</f>
        <v>64923</v>
      </c>
      <c r="D26" s="50">
        <f t="shared" si="1"/>
        <v>64948</v>
      </c>
      <c r="E26" s="50">
        <f t="shared" si="1"/>
        <v>65450</v>
      </c>
      <c r="F26" s="50">
        <f t="shared" si="1"/>
        <v>76351</v>
      </c>
      <c r="G26" s="50">
        <f t="shared" si="1"/>
        <v>75350</v>
      </c>
      <c r="H26" s="50">
        <f t="shared" si="1"/>
        <v>75407</v>
      </c>
      <c r="I26" s="50">
        <f t="shared" si="1"/>
        <v>88116</v>
      </c>
      <c r="J26" s="50">
        <f t="shared" si="1"/>
        <v>95818</v>
      </c>
      <c r="K26" s="50">
        <f>K4+K5</f>
        <v>92852</v>
      </c>
    </row>
  </sheetData>
  <hyperlinks>
    <hyperlink ref="J1" r:id="rId1"/>
  </hyperlinks>
  <printOptions gridLines="1"/>
  <pageMargins left="0.7" right="0.7" top="0.75" bottom="0.75" header="0.3" footer="0.3"/>
  <pageSetup paperSize="9" orientation="landscape" horizontalDpi="0"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85546875" defaultRowHeight="15" x14ac:dyDescent="0.25"/>
  <cols>
    <col min="1" max="1" width="26.85546875" style="6" bestFit="1" customWidth="1"/>
    <col min="2" max="6" width="13.42578125" style="6" customWidth="1"/>
    <col min="7" max="11" width="13.42578125" style="6" bestFit="1" customWidth="1"/>
    <col min="12" max="16384" width="8.85546875" style="6"/>
  </cols>
  <sheetData>
    <row r="1" spans="1:11" s="8" customFormat="1" x14ac:dyDescent="0.25">
      <c r="A1" s="8" t="str">
        <f>'Balance Sheet'!A1</f>
        <v>INFOSYS LTD</v>
      </c>
      <c r="E1" t="str">
        <f>UPDATE</f>
        <v/>
      </c>
      <c r="F1"/>
      <c r="J1" s="4" t="s">
        <v>1</v>
      </c>
      <c r="K1" s="4"/>
    </row>
    <row r="3" spans="1:11" s="2" customFormat="1" x14ac:dyDescent="0.25">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25">
      <c r="A4" s="8" t="s">
        <v>32</v>
      </c>
      <c r="B4" s="1">
        <f>'Data Sheet'!B82</f>
        <v>11531</v>
      </c>
      <c r="C4" s="1">
        <f>'Data Sheet'!C82</f>
        <v>13218</v>
      </c>
      <c r="D4" s="1">
        <f>'Data Sheet'!D82</f>
        <v>14841</v>
      </c>
      <c r="E4" s="1">
        <f>'Data Sheet'!E82</f>
        <v>17003</v>
      </c>
      <c r="F4" s="1">
        <f>'Data Sheet'!F82</f>
        <v>23224</v>
      </c>
      <c r="G4" s="1">
        <f>'Data Sheet'!G82</f>
        <v>23885</v>
      </c>
      <c r="H4" s="1">
        <f>'Data Sheet'!H82</f>
        <v>22467</v>
      </c>
      <c r="I4" s="1">
        <f>'Data Sheet'!I82</f>
        <v>25210</v>
      </c>
      <c r="J4" s="1">
        <f>'Data Sheet'!J82</f>
        <v>35694</v>
      </c>
      <c r="K4" s="1">
        <f>'Data Sheet'!K82</f>
        <v>33986</v>
      </c>
    </row>
    <row r="5" spans="1:11" x14ac:dyDescent="0.25">
      <c r="A5" s="6" t="s">
        <v>33</v>
      </c>
      <c r="B5" s="9">
        <f>'Data Sheet'!B83</f>
        <v>-14664</v>
      </c>
      <c r="C5" s="9">
        <f>'Data Sheet'!C83</f>
        <v>4533</v>
      </c>
      <c r="D5" s="9">
        <f>'Data Sheet'!D83</f>
        <v>-632</v>
      </c>
      <c r="E5" s="9">
        <f>'Data Sheet'!E83</f>
        <v>-331</v>
      </c>
      <c r="F5" s="9">
        <f>'Data Sheet'!F83</f>
        <v>-7373</v>
      </c>
      <c r="G5" s="9">
        <f>'Data Sheet'!G83</f>
        <v>-6485</v>
      </c>
      <c r="H5" s="9">
        <f>'Data Sheet'!H83</f>
        <v>-1071</v>
      </c>
      <c r="I5" s="9">
        <f>'Data Sheet'!I83</f>
        <v>-5093</v>
      </c>
      <c r="J5" s="9">
        <f>'Data Sheet'!J83</f>
        <v>-1864</v>
      </c>
      <c r="K5" s="9">
        <f>'Data Sheet'!K83</f>
        <v>3546</v>
      </c>
    </row>
    <row r="6" spans="1:11" x14ac:dyDescent="0.25">
      <c r="A6" s="6" t="s">
        <v>34</v>
      </c>
      <c r="B6" s="9">
        <f>'Data Sheet'!B84</f>
        <v>-6939</v>
      </c>
      <c r="C6" s="9">
        <f>'Data Sheet'!C84</f>
        <v>-20505</v>
      </c>
      <c r="D6" s="9">
        <f>'Data Sheet'!D84</f>
        <v>-14512</v>
      </c>
      <c r="E6" s="9">
        <f>'Data Sheet'!E84</f>
        <v>-17591</v>
      </c>
      <c r="F6" s="9">
        <f>'Data Sheet'!F84</f>
        <v>-9786</v>
      </c>
      <c r="G6" s="9">
        <f>'Data Sheet'!G84</f>
        <v>-24642</v>
      </c>
      <c r="H6" s="9">
        <f>'Data Sheet'!H84</f>
        <v>-26695</v>
      </c>
      <c r="I6" s="9">
        <f>'Data Sheet'!I84</f>
        <v>-17504</v>
      </c>
      <c r="J6" s="9">
        <f>'Data Sheet'!J84</f>
        <v>-24161</v>
      </c>
      <c r="K6" s="9">
        <f>'Data Sheet'!K84</f>
        <v>-39786</v>
      </c>
    </row>
    <row r="7" spans="1:11" s="8" customFormat="1" x14ac:dyDescent="0.25">
      <c r="A7" s="8" t="s">
        <v>35</v>
      </c>
      <c r="B7" s="1">
        <f>'Data Sheet'!B85</f>
        <v>-10072</v>
      </c>
      <c r="C7" s="1">
        <f>'Data Sheet'!C85</f>
        <v>-2754</v>
      </c>
      <c r="D7" s="1">
        <f>'Data Sheet'!D85</f>
        <v>-303</v>
      </c>
      <c r="E7" s="1">
        <f>'Data Sheet'!E85</f>
        <v>-919</v>
      </c>
      <c r="F7" s="1">
        <f>'Data Sheet'!F85</f>
        <v>6065</v>
      </c>
      <c r="G7" s="1">
        <f>'Data Sheet'!G85</f>
        <v>-7242</v>
      </c>
      <c r="H7" s="1">
        <f>'Data Sheet'!H85</f>
        <v>-5299</v>
      </c>
      <c r="I7" s="1">
        <f>'Data Sheet'!I85</f>
        <v>2613</v>
      </c>
      <c r="J7" s="1">
        <f>'Data Sheet'!J85</f>
        <v>9669</v>
      </c>
      <c r="K7" s="1">
        <f>'Data Sheet'!K85</f>
        <v>-2254</v>
      </c>
    </row>
    <row r="8" spans="1:11" x14ac:dyDescent="0.25">
      <c r="A8" s="29"/>
      <c r="B8" s="9"/>
      <c r="C8" s="9"/>
      <c r="D8" s="9"/>
      <c r="E8" s="9"/>
      <c r="F8" s="9"/>
      <c r="G8" s="9"/>
      <c r="H8" s="9"/>
      <c r="I8" s="9"/>
      <c r="J8" s="9"/>
      <c r="K8" s="9"/>
    </row>
    <row r="24" s="29" customFormat="1" x14ac:dyDescent="0.25"/>
  </sheetData>
  <hyperlinks>
    <hyperlink ref="J1" r:id="rId1"/>
  </hyperlinks>
  <printOptions gridLines="1"/>
  <pageMargins left="0.7" right="0.7" top="0.75" bottom="0.75" header="0.3" footer="0.3"/>
  <pageSetup paperSize="9" orientation="landscape" horizontalDpi="0"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6"/>
  <sheetViews>
    <sheetView zoomScale="150" zoomScaleNormal="150" zoomScalePageLayoutView="150" workbookViewId="0">
      <selection activeCell="B16" sqref="B16"/>
    </sheetView>
  </sheetViews>
  <sheetFormatPr defaultColWidth="8.85546875" defaultRowHeight="15" x14ac:dyDescent="0.25"/>
  <cols>
    <col min="1" max="1" width="8.85546875" style="8"/>
    <col min="2" max="2" width="10.42578125" style="11" customWidth="1"/>
    <col min="3" max="3" width="13.28515625" style="26" customWidth="1"/>
    <col min="4" max="5" width="8.85546875" style="11"/>
    <col min="6" max="6" width="6.85546875" style="11" customWidth="1"/>
    <col min="7" max="16384" width="8.85546875" style="11"/>
  </cols>
  <sheetData>
    <row r="1" spans="1:7" ht="21" x14ac:dyDescent="0.35">
      <c r="A1" s="25" t="s">
        <v>56</v>
      </c>
    </row>
    <row r="3" spans="1:7" x14ac:dyDescent="0.25">
      <c r="A3" s="8" t="s">
        <v>48</v>
      </c>
    </row>
    <row r="4" spans="1:7" x14ac:dyDescent="0.25">
      <c r="B4" s="11" t="s">
        <v>90</v>
      </c>
    </row>
    <row r="5" spans="1:7" x14ac:dyDescent="0.25">
      <c r="B5" s="11" t="s">
        <v>49</v>
      </c>
    </row>
    <row r="7" spans="1:7" x14ac:dyDescent="0.25">
      <c r="A7" s="8" t="s">
        <v>50</v>
      </c>
    </row>
    <row r="8" spans="1:7" x14ac:dyDescent="0.25">
      <c r="B8" s="11" t="s">
        <v>51</v>
      </c>
      <c r="C8" s="27" t="s">
        <v>91</v>
      </c>
    </row>
    <row r="10" spans="1:7" x14ac:dyDescent="0.25">
      <c r="A10" s="8" t="s">
        <v>52</v>
      </c>
    </row>
    <row r="11" spans="1:7" x14ac:dyDescent="0.25">
      <c r="B11" s="11" t="s">
        <v>53</v>
      </c>
    </row>
    <row r="14" spans="1:7" x14ac:dyDescent="0.25">
      <c r="A14" s="8" t="s">
        <v>54</v>
      </c>
    </row>
    <row r="15" spans="1:7" x14ac:dyDescent="0.25">
      <c r="B15" s="11" t="s">
        <v>55</v>
      </c>
    </row>
    <row r="16" spans="1:7" x14ac:dyDescent="0.25">
      <c r="B16" s="11" t="s">
        <v>92</v>
      </c>
      <c r="G16" s="28"/>
    </row>
  </sheetData>
  <hyperlinks>
    <hyperlink ref="C8" r:id="rId1" display=" http://www.screener.in/excel"/>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93"/>
  <sheetViews>
    <sheetView zoomScale="90" zoomScaleNormal="90" zoomScalePageLayoutView="120" workbookViewId="0">
      <pane xSplit="1" ySplit="1" topLeftCell="B51" activePane="bottomRight" state="frozen"/>
      <selection activeCell="C4" sqref="C4"/>
      <selection pane="topRight" activeCell="C4" sqref="C4"/>
      <selection pane="bottomLeft" activeCell="C4" sqref="C4"/>
      <selection pane="bottomRight" activeCell="B69" sqref="B69"/>
    </sheetView>
  </sheetViews>
  <sheetFormatPr defaultColWidth="8.85546875" defaultRowHeight="15" x14ac:dyDescent="0.25"/>
  <cols>
    <col min="1" max="1" width="27.7109375" style="5" bestFit="1" customWidth="1"/>
    <col min="2" max="11" width="13.42578125" style="5" bestFit="1" customWidth="1"/>
    <col min="12" max="16384" width="8.85546875" style="5"/>
  </cols>
  <sheetData>
    <row r="1" spans="1:11" s="1" customFormat="1" x14ac:dyDescent="0.25">
      <c r="A1" s="1" t="s">
        <v>0</v>
      </c>
      <c r="B1" s="1" t="s">
        <v>63</v>
      </c>
      <c r="E1" s="100" t="str">
        <f>IF(B2&lt;&gt;B3, "A NEW VERSION OF THE WORKSHEET IS AVAILABLE", "")</f>
        <v/>
      </c>
      <c r="F1" s="100"/>
      <c r="G1" s="100"/>
      <c r="H1" s="100"/>
      <c r="I1" s="100"/>
      <c r="J1" s="100"/>
      <c r="K1" s="100"/>
    </row>
    <row r="2" spans="1:11" x14ac:dyDescent="0.25">
      <c r="A2" s="1" t="s">
        <v>61</v>
      </c>
      <c r="B2" s="5">
        <v>2.1</v>
      </c>
      <c r="E2" s="101" t="s">
        <v>36</v>
      </c>
      <c r="F2" s="101"/>
      <c r="G2" s="101"/>
      <c r="H2" s="101"/>
      <c r="I2" s="101"/>
      <c r="J2" s="101"/>
      <c r="K2" s="101"/>
    </row>
    <row r="3" spans="1:11" x14ac:dyDescent="0.25">
      <c r="A3" s="1" t="s">
        <v>62</v>
      </c>
      <c r="B3" s="5">
        <v>2.1</v>
      </c>
    </row>
    <row r="4" spans="1:11" x14ac:dyDescent="0.25">
      <c r="A4" s="1"/>
    </row>
    <row r="5" spans="1:11" x14ac:dyDescent="0.25">
      <c r="A5" s="1" t="s">
        <v>64</v>
      </c>
    </row>
    <row r="6" spans="1:11" x14ac:dyDescent="0.25">
      <c r="A6" s="5" t="s">
        <v>42</v>
      </c>
      <c r="B6" s="5">
        <f>IF(B9&gt;0, B9/B8, 0)</f>
        <v>405.82829057986635</v>
      </c>
    </row>
    <row r="7" spans="1:11" x14ac:dyDescent="0.25">
      <c r="A7" s="5" t="s">
        <v>31</v>
      </c>
      <c r="B7">
        <v>5</v>
      </c>
    </row>
    <row r="8" spans="1:11" x14ac:dyDescent="0.25">
      <c r="A8" s="5" t="s">
        <v>43</v>
      </c>
      <c r="B8">
        <v>1159.75</v>
      </c>
    </row>
    <row r="9" spans="1:11" x14ac:dyDescent="0.25">
      <c r="A9" s="5" t="s">
        <v>79</v>
      </c>
      <c r="B9">
        <v>470659.36</v>
      </c>
    </row>
    <row r="15" spans="1:11" x14ac:dyDescent="0.25">
      <c r="A15" s="1" t="s">
        <v>37</v>
      </c>
    </row>
    <row r="16" spans="1:11" s="24" customFormat="1" x14ac:dyDescent="0.25">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25">
      <c r="A17" s="9" t="s">
        <v>6</v>
      </c>
      <c r="B17">
        <v>68484</v>
      </c>
      <c r="C17">
        <v>70522</v>
      </c>
      <c r="D17">
        <v>82675</v>
      </c>
      <c r="E17">
        <v>90791</v>
      </c>
      <c r="F17">
        <v>100472</v>
      </c>
      <c r="G17">
        <v>121641</v>
      </c>
      <c r="H17">
        <v>146767</v>
      </c>
      <c r="I17">
        <v>153670</v>
      </c>
      <c r="J17">
        <v>162990</v>
      </c>
      <c r="K17">
        <v>178650</v>
      </c>
    </row>
    <row r="18" spans="1:11" s="9" customFormat="1" x14ac:dyDescent="0.25">
      <c r="A18" s="5" t="s">
        <v>80</v>
      </c>
    </row>
    <row r="19" spans="1:11" s="9" customFormat="1" x14ac:dyDescent="0.25">
      <c r="A19" s="5" t="s">
        <v>81</v>
      </c>
    </row>
    <row r="20" spans="1:11" s="9" customFormat="1" x14ac:dyDescent="0.25">
      <c r="A20" s="5" t="s">
        <v>82</v>
      </c>
      <c r="B20">
        <v>228</v>
      </c>
      <c r="C20">
        <v>207</v>
      </c>
      <c r="D20">
        <v>221</v>
      </c>
      <c r="E20">
        <v>229</v>
      </c>
      <c r="F20">
        <v>143</v>
      </c>
      <c r="G20">
        <v>132</v>
      </c>
      <c r="H20">
        <v>176</v>
      </c>
      <c r="I20">
        <v>199</v>
      </c>
      <c r="J20">
        <v>222</v>
      </c>
      <c r="K20">
        <v>223</v>
      </c>
    </row>
    <row r="21" spans="1:11" s="9" customFormat="1" x14ac:dyDescent="0.25">
      <c r="A21" s="5" t="s">
        <v>83</v>
      </c>
      <c r="B21">
        <v>6712</v>
      </c>
      <c r="C21">
        <v>7286</v>
      </c>
      <c r="D21">
        <v>9902</v>
      </c>
      <c r="E21">
        <v>11086</v>
      </c>
      <c r="F21">
        <v>12800</v>
      </c>
      <c r="G21">
        <v>20690</v>
      </c>
      <c r="H21">
        <v>26330</v>
      </c>
      <c r="I21">
        <v>27195</v>
      </c>
      <c r="J21">
        <v>30395</v>
      </c>
      <c r="K21">
        <v>32922</v>
      </c>
    </row>
    <row r="22" spans="1:11" s="9" customFormat="1" x14ac:dyDescent="0.25">
      <c r="A22" s="5" t="s">
        <v>84</v>
      </c>
      <c r="B22">
        <v>37669</v>
      </c>
      <c r="C22">
        <v>38902</v>
      </c>
      <c r="D22">
        <v>45323</v>
      </c>
      <c r="E22">
        <v>50895</v>
      </c>
      <c r="F22">
        <v>55547</v>
      </c>
      <c r="G22">
        <v>63997</v>
      </c>
      <c r="H22">
        <v>78374</v>
      </c>
      <c r="I22">
        <v>82636</v>
      </c>
      <c r="J22">
        <v>85968</v>
      </c>
      <c r="K22">
        <v>95112</v>
      </c>
    </row>
    <row r="23" spans="1:11" s="9" customFormat="1" x14ac:dyDescent="0.25">
      <c r="A23" s="5" t="s">
        <v>85</v>
      </c>
      <c r="B23">
        <v>4584</v>
      </c>
      <c r="C23">
        <v>4585</v>
      </c>
      <c r="D23">
        <v>5553</v>
      </c>
      <c r="E23">
        <v>5375</v>
      </c>
      <c r="F23">
        <v>3194</v>
      </c>
      <c r="G23">
        <v>4305</v>
      </c>
      <c r="H23">
        <v>5300</v>
      </c>
      <c r="I23">
        <v>5705</v>
      </c>
      <c r="J23">
        <v>6039</v>
      </c>
      <c r="K23">
        <v>6784</v>
      </c>
    </row>
    <row r="24" spans="1:11" s="9" customFormat="1" x14ac:dyDescent="0.25">
      <c r="A24" s="5" t="s">
        <v>86</v>
      </c>
      <c r="B24">
        <v>687</v>
      </c>
      <c r="C24">
        <v>720</v>
      </c>
      <c r="D24">
        <v>1506</v>
      </c>
      <c r="E24">
        <v>939</v>
      </c>
      <c r="F24">
        <v>899</v>
      </c>
      <c r="G24">
        <v>1026</v>
      </c>
      <c r="H24">
        <v>1457</v>
      </c>
      <c r="I24">
        <v>1510</v>
      </c>
      <c r="J24">
        <v>1130</v>
      </c>
      <c r="K24">
        <v>1329</v>
      </c>
    </row>
    <row r="25" spans="1:11" s="9" customFormat="1" x14ac:dyDescent="0.25">
      <c r="A25" s="9" t="s">
        <v>9</v>
      </c>
      <c r="B25">
        <v>3050</v>
      </c>
      <c r="C25">
        <v>3311</v>
      </c>
      <c r="D25">
        <v>2882</v>
      </c>
      <c r="E25">
        <v>2803</v>
      </c>
      <c r="F25">
        <v>2201</v>
      </c>
      <c r="G25">
        <v>2295</v>
      </c>
      <c r="H25">
        <v>2701</v>
      </c>
      <c r="I25">
        <v>4711</v>
      </c>
      <c r="J25">
        <v>3600</v>
      </c>
      <c r="K25">
        <v>3033</v>
      </c>
    </row>
    <row r="26" spans="1:11" s="9" customFormat="1" x14ac:dyDescent="0.25">
      <c r="A26" s="9" t="s">
        <v>10</v>
      </c>
      <c r="B26">
        <v>1703</v>
      </c>
      <c r="C26">
        <v>1863</v>
      </c>
      <c r="D26">
        <v>2011</v>
      </c>
      <c r="E26">
        <v>2893</v>
      </c>
      <c r="F26">
        <v>3267</v>
      </c>
      <c r="G26">
        <v>3476</v>
      </c>
      <c r="H26">
        <v>4225</v>
      </c>
      <c r="I26">
        <v>4678</v>
      </c>
      <c r="J26">
        <v>4812</v>
      </c>
      <c r="K26">
        <v>4902</v>
      </c>
    </row>
    <row r="27" spans="1:11" s="9" customFormat="1" x14ac:dyDescent="0.25">
      <c r="A27" s="9" t="s">
        <v>11</v>
      </c>
      <c r="E27">
        <v>170</v>
      </c>
      <c r="F27">
        <v>195</v>
      </c>
      <c r="G27">
        <v>200</v>
      </c>
      <c r="H27">
        <v>284</v>
      </c>
      <c r="I27">
        <v>470</v>
      </c>
      <c r="J27">
        <v>416</v>
      </c>
      <c r="K27">
        <v>416</v>
      </c>
    </row>
    <row r="28" spans="1:11" s="9" customFormat="1" x14ac:dyDescent="0.25">
      <c r="A28" s="9" t="s">
        <v>12</v>
      </c>
      <c r="B28">
        <v>19951</v>
      </c>
      <c r="C28">
        <v>20270</v>
      </c>
      <c r="D28">
        <v>21041</v>
      </c>
      <c r="E28">
        <v>22007</v>
      </c>
      <c r="F28">
        <v>26628</v>
      </c>
      <c r="G28">
        <v>30110</v>
      </c>
      <c r="H28">
        <v>33322</v>
      </c>
      <c r="I28">
        <v>35988</v>
      </c>
      <c r="J28">
        <v>37608</v>
      </c>
      <c r="K28">
        <v>39995</v>
      </c>
    </row>
    <row r="29" spans="1:11" s="9" customFormat="1" x14ac:dyDescent="0.25">
      <c r="A29" s="9" t="s">
        <v>13</v>
      </c>
      <c r="B29">
        <v>5598</v>
      </c>
      <c r="C29">
        <v>4241</v>
      </c>
      <c r="D29">
        <v>5631</v>
      </c>
      <c r="E29">
        <v>5368</v>
      </c>
      <c r="F29">
        <v>7205</v>
      </c>
      <c r="G29">
        <v>7964</v>
      </c>
      <c r="H29">
        <v>9214</v>
      </c>
      <c r="I29">
        <v>9740</v>
      </c>
      <c r="J29">
        <v>10858</v>
      </c>
      <c r="K29">
        <v>10521</v>
      </c>
    </row>
    <row r="30" spans="1:11" s="9" customFormat="1" x14ac:dyDescent="0.25">
      <c r="A30" s="9" t="s">
        <v>14</v>
      </c>
      <c r="B30">
        <v>14353</v>
      </c>
      <c r="C30">
        <v>16029</v>
      </c>
      <c r="D30">
        <v>15404</v>
      </c>
      <c r="E30">
        <v>16594</v>
      </c>
      <c r="F30">
        <v>19351</v>
      </c>
      <c r="G30">
        <v>22110</v>
      </c>
      <c r="H30">
        <v>24095</v>
      </c>
      <c r="I30">
        <v>26233</v>
      </c>
      <c r="J30">
        <v>26713</v>
      </c>
      <c r="K30">
        <v>29440</v>
      </c>
    </row>
    <row r="31" spans="1:11" s="9" customFormat="1" x14ac:dyDescent="0.25">
      <c r="A31" s="9" t="s">
        <v>70</v>
      </c>
      <c r="B31">
        <v>5891.6</v>
      </c>
      <c r="C31">
        <v>9465.6</v>
      </c>
      <c r="D31">
        <v>9222.5</v>
      </c>
      <c r="E31">
        <v>7427</v>
      </c>
      <c r="F31">
        <v>11469.6</v>
      </c>
      <c r="G31">
        <v>13007.6</v>
      </c>
      <c r="H31">
        <v>14069.2</v>
      </c>
      <c r="I31">
        <v>19053.2</v>
      </c>
      <c r="J31">
        <v>17827.8</v>
      </c>
      <c r="K31">
        <v>19430.400000000001</v>
      </c>
    </row>
    <row r="32" spans="1:11" s="9" customFormat="1" x14ac:dyDescent="0.25"/>
    <row r="33" spans="1:11" x14ac:dyDescent="0.25">
      <c r="A33" s="9"/>
    </row>
    <row r="34" spans="1:11" x14ac:dyDescent="0.25">
      <c r="A34" s="9"/>
    </row>
    <row r="35" spans="1:11" x14ac:dyDescent="0.25">
      <c r="A35" s="9"/>
    </row>
    <row r="36" spans="1:11" x14ac:dyDescent="0.25">
      <c r="A36" s="9"/>
    </row>
    <row r="37" spans="1:11" x14ac:dyDescent="0.25">
      <c r="A37" s="9"/>
    </row>
    <row r="38" spans="1:11" x14ac:dyDescent="0.25">
      <c r="A38" s="9"/>
    </row>
    <row r="39" spans="1:11" x14ac:dyDescent="0.25">
      <c r="A39" s="9"/>
    </row>
    <row r="40" spans="1:11" x14ac:dyDescent="0.25">
      <c r="A40" s="1" t="s">
        <v>39</v>
      </c>
    </row>
    <row r="41" spans="1:11" s="24" customFormat="1" x14ac:dyDescent="0.25">
      <c r="A41" s="23" t="s">
        <v>38</v>
      </c>
      <c r="B41" s="16">
        <v>45291</v>
      </c>
      <c r="C41" s="16">
        <v>45382</v>
      </c>
      <c r="D41" s="16">
        <v>45473</v>
      </c>
      <c r="E41" s="16">
        <v>45565</v>
      </c>
      <c r="F41" s="16">
        <v>45657</v>
      </c>
      <c r="G41" s="16">
        <v>45747</v>
      </c>
      <c r="H41" s="16">
        <v>45838</v>
      </c>
      <c r="I41" s="16">
        <v>45930</v>
      </c>
      <c r="J41" s="16">
        <v>46022</v>
      </c>
      <c r="K41" s="16">
        <v>46112</v>
      </c>
    </row>
    <row r="42" spans="1:11" s="9" customFormat="1" x14ac:dyDescent="0.25">
      <c r="A42" s="9" t="s">
        <v>6</v>
      </c>
      <c r="B42">
        <v>38821</v>
      </c>
      <c r="C42">
        <v>37923</v>
      </c>
      <c r="D42">
        <v>39315</v>
      </c>
      <c r="E42">
        <v>40986</v>
      </c>
      <c r="F42">
        <v>41764</v>
      </c>
      <c r="G42">
        <v>40925</v>
      </c>
      <c r="H42">
        <v>42279</v>
      </c>
      <c r="I42">
        <v>44490</v>
      </c>
      <c r="J42">
        <v>45479</v>
      </c>
      <c r="K42">
        <v>46402</v>
      </c>
    </row>
    <row r="43" spans="1:11" s="9" customFormat="1" x14ac:dyDescent="0.25">
      <c r="A43" s="9" t="s">
        <v>7</v>
      </c>
      <c r="B43">
        <v>29684</v>
      </c>
      <c r="C43">
        <v>29139</v>
      </c>
      <c r="D43">
        <v>29878</v>
      </c>
      <c r="E43">
        <v>31177</v>
      </c>
      <c r="F43">
        <v>31649</v>
      </c>
      <c r="G43">
        <v>31051</v>
      </c>
      <c r="H43">
        <v>32336</v>
      </c>
      <c r="I43">
        <v>33955</v>
      </c>
      <c r="J43">
        <v>34845</v>
      </c>
      <c r="K43">
        <v>35235</v>
      </c>
    </row>
    <row r="44" spans="1:11" s="9" customFormat="1" x14ac:dyDescent="0.25">
      <c r="A44" s="9" t="s">
        <v>9</v>
      </c>
      <c r="B44">
        <v>789</v>
      </c>
      <c r="C44">
        <v>2729</v>
      </c>
      <c r="D44">
        <v>838</v>
      </c>
      <c r="E44">
        <v>712</v>
      </c>
      <c r="F44">
        <v>859</v>
      </c>
      <c r="G44">
        <v>1190</v>
      </c>
      <c r="H44">
        <v>1042</v>
      </c>
      <c r="I44">
        <v>982</v>
      </c>
      <c r="J44">
        <v>-150</v>
      </c>
      <c r="K44">
        <v>1159</v>
      </c>
    </row>
    <row r="45" spans="1:11" s="9" customFormat="1" x14ac:dyDescent="0.25">
      <c r="A45" s="9" t="s">
        <v>10</v>
      </c>
      <c r="B45">
        <v>1176</v>
      </c>
      <c r="C45">
        <v>1163</v>
      </c>
      <c r="D45">
        <v>1149</v>
      </c>
      <c r="E45">
        <v>1160</v>
      </c>
      <c r="F45">
        <v>1203</v>
      </c>
      <c r="G45">
        <v>1299</v>
      </c>
      <c r="H45">
        <v>1140</v>
      </c>
      <c r="I45">
        <v>1182</v>
      </c>
      <c r="J45">
        <v>1155</v>
      </c>
      <c r="K45">
        <v>1424</v>
      </c>
    </row>
    <row r="46" spans="1:11" s="9" customFormat="1" x14ac:dyDescent="0.25">
      <c r="A46" s="9" t="s">
        <v>11</v>
      </c>
      <c r="B46">
        <v>131</v>
      </c>
      <c r="C46">
        <v>110</v>
      </c>
      <c r="D46">
        <v>105</v>
      </c>
      <c r="E46">
        <v>108</v>
      </c>
      <c r="F46">
        <v>101</v>
      </c>
      <c r="G46">
        <v>102</v>
      </c>
      <c r="H46">
        <v>105</v>
      </c>
      <c r="I46">
        <v>106</v>
      </c>
      <c r="J46">
        <v>100</v>
      </c>
      <c r="K46">
        <v>105</v>
      </c>
    </row>
    <row r="47" spans="1:11" s="9" customFormat="1" x14ac:dyDescent="0.25">
      <c r="A47" s="9" t="s">
        <v>12</v>
      </c>
      <c r="B47">
        <v>8619</v>
      </c>
      <c r="C47">
        <v>10240</v>
      </c>
      <c r="D47">
        <v>9021</v>
      </c>
      <c r="E47">
        <v>9253</v>
      </c>
      <c r="F47">
        <v>9670</v>
      </c>
      <c r="G47">
        <v>9663</v>
      </c>
      <c r="H47">
        <v>9740</v>
      </c>
      <c r="I47">
        <v>10229</v>
      </c>
      <c r="J47">
        <v>9229</v>
      </c>
      <c r="K47">
        <v>10797</v>
      </c>
    </row>
    <row r="48" spans="1:11" s="9" customFormat="1" x14ac:dyDescent="0.25">
      <c r="A48" s="9" t="s">
        <v>13</v>
      </c>
      <c r="B48">
        <v>2506</v>
      </c>
      <c r="C48">
        <v>2265</v>
      </c>
      <c r="D48">
        <v>2647</v>
      </c>
      <c r="E48">
        <v>2737</v>
      </c>
      <c r="F48">
        <v>2848</v>
      </c>
      <c r="G48">
        <v>2625</v>
      </c>
      <c r="H48">
        <v>2816</v>
      </c>
      <c r="I48">
        <v>2854</v>
      </c>
      <c r="J48">
        <v>2563</v>
      </c>
      <c r="K48">
        <v>2288</v>
      </c>
    </row>
    <row r="49" spans="1:11" s="9" customFormat="1" x14ac:dyDescent="0.25">
      <c r="A49" s="9" t="s">
        <v>14</v>
      </c>
      <c r="B49">
        <v>6106</v>
      </c>
      <c r="C49">
        <v>7969</v>
      </c>
      <c r="D49">
        <v>6368</v>
      </c>
      <c r="E49">
        <v>6506</v>
      </c>
      <c r="F49">
        <v>6806</v>
      </c>
      <c r="G49">
        <v>7033</v>
      </c>
      <c r="H49">
        <v>6921</v>
      </c>
      <c r="I49">
        <v>7364</v>
      </c>
      <c r="J49">
        <v>6654</v>
      </c>
      <c r="K49">
        <v>8501</v>
      </c>
    </row>
    <row r="50" spans="1:11" x14ac:dyDescent="0.25">
      <c r="A50" s="9" t="s">
        <v>8</v>
      </c>
      <c r="B50">
        <v>9137</v>
      </c>
      <c r="C50">
        <v>8784</v>
      </c>
      <c r="D50">
        <v>9437</v>
      </c>
      <c r="E50">
        <v>9809</v>
      </c>
      <c r="F50">
        <v>10115</v>
      </c>
      <c r="G50">
        <v>9874</v>
      </c>
      <c r="H50">
        <v>9943</v>
      </c>
      <c r="I50">
        <v>10535</v>
      </c>
      <c r="J50">
        <v>10634</v>
      </c>
      <c r="K50">
        <v>11167</v>
      </c>
    </row>
    <row r="51" spans="1:11" x14ac:dyDescent="0.25">
      <c r="A51" s="9"/>
    </row>
    <row r="52" spans="1:11" x14ac:dyDescent="0.25">
      <c r="A52" s="9"/>
    </row>
    <row r="53" spans="1:11" x14ac:dyDescent="0.25">
      <c r="A53" s="9"/>
    </row>
    <row r="54" spans="1:11" x14ac:dyDescent="0.25">
      <c r="A54" s="9"/>
    </row>
    <row r="55" spans="1:11" x14ac:dyDescent="0.25">
      <c r="A55" s="1" t="s">
        <v>40</v>
      </c>
    </row>
    <row r="56" spans="1:11" s="24" customFormat="1" x14ac:dyDescent="0.25">
      <c r="A56" s="23" t="s">
        <v>38</v>
      </c>
      <c r="B56" s="16">
        <v>42825</v>
      </c>
      <c r="C56" s="16">
        <v>43190</v>
      </c>
      <c r="D56" s="16">
        <v>43555</v>
      </c>
      <c r="E56" s="16">
        <v>43921</v>
      </c>
      <c r="F56" s="16">
        <v>44286</v>
      </c>
      <c r="G56" s="16">
        <v>44651</v>
      </c>
      <c r="H56" s="16">
        <v>45016</v>
      </c>
      <c r="I56" s="16">
        <v>45382</v>
      </c>
      <c r="J56" s="16">
        <v>45747</v>
      </c>
      <c r="K56" s="16">
        <v>46112</v>
      </c>
    </row>
    <row r="57" spans="1:11" x14ac:dyDescent="0.25">
      <c r="A57" s="9" t="s">
        <v>24</v>
      </c>
      <c r="B57">
        <v>1144</v>
      </c>
      <c r="C57">
        <v>1088</v>
      </c>
      <c r="D57">
        <v>2170</v>
      </c>
      <c r="E57">
        <v>2122</v>
      </c>
      <c r="F57">
        <v>2124</v>
      </c>
      <c r="G57">
        <v>2098</v>
      </c>
      <c r="H57">
        <v>2069</v>
      </c>
      <c r="I57">
        <v>2071</v>
      </c>
      <c r="J57">
        <v>2073</v>
      </c>
      <c r="K57">
        <v>2024</v>
      </c>
    </row>
    <row r="58" spans="1:11" x14ac:dyDescent="0.25">
      <c r="A58" s="9" t="s">
        <v>25</v>
      </c>
      <c r="B58">
        <v>67838</v>
      </c>
      <c r="C58">
        <v>63835</v>
      </c>
      <c r="D58">
        <v>62778</v>
      </c>
      <c r="E58">
        <v>63328</v>
      </c>
      <c r="F58">
        <v>74227</v>
      </c>
      <c r="G58">
        <v>73252</v>
      </c>
      <c r="H58">
        <v>73338</v>
      </c>
      <c r="I58">
        <v>86045</v>
      </c>
      <c r="J58">
        <v>93745</v>
      </c>
      <c r="K58">
        <v>90828</v>
      </c>
    </row>
    <row r="59" spans="1:11" x14ac:dyDescent="0.25">
      <c r="A59" s="9" t="s">
        <v>71</v>
      </c>
      <c r="E59">
        <v>4633</v>
      </c>
      <c r="F59">
        <v>5325</v>
      </c>
      <c r="G59">
        <v>5474</v>
      </c>
      <c r="H59">
        <v>8299</v>
      </c>
      <c r="I59">
        <v>8359</v>
      </c>
      <c r="J59">
        <v>8227</v>
      </c>
      <c r="K59">
        <v>9176</v>
      </c>
    </row>
    <row r="60" spans="1:11" x14ac:dyDescent="0.25">
      <c r="A60" s="9" t="s">
        <v>72</v>
      </c>
      <c r="B60">
        <v>14166</v>
      </c>
      <c r="C60">
        <v>14426</v>
      </c>
      <c r="D60">
        <v>19118</v>
      </c>
      <c r="E60">
        <v>21717</v>
      </c>
      <c r="F60">
        <v>25835</v>
      </c>
      <c r="G60">
        <v>35905</v>
      </c>
      <c r="H60">
        <v>40890</v>
      </c>
      <c r="I60">
        <v>40885</v>
      </c>
      <c r="J60">
        <v>43750</v>
      </c>
      <c r="K60">
        <v>52260</v>
      </c>
    </row>
    <row r="61" spans="1:11" s="1" customFormat="1" x14ac:dyDescent="0.25">
      <c r="A61" s="1" t="s">
        <v>26</v>
      </c>
      <c r="B61">
        <v>83148</v>
      </c>
      <c r="C61">
        <v>79349</v>
      </c>
      <c r="D61">
        <v>84066</v>
      </c>
      <c r="E61">
        <v>91800</v>
      </c>
      <c r="F61">
        <v>107511</v>
      </c>
      <c r="G61">
        <v>116729</v>
      </c>
      <c r="H61">
        <v>124596</v>
      </c>
      <c r="I61">
        <v>137360</v>
      </c>
      <c r="J61">
        <v>147795</v>
      </c>
      <c r="K61">
        <v>154288</v>
      </c>
    </row>
    <row r="62" spans="1:11" x14ac:dyDescent="0.25">
      <c r="A62" s="9" t="s">
        <v>27</v>
      </c>
      <c r="B62">
        <v>14179</v>
      </c>
      <c r="C62">
        <v>12574</v>
      </c>
      <c r="D62">
        <v>15710</v>
      </c>
      <c r="E62">
        <v>23789</v>
      </c>
      <c r="F62">
        <v>25505</v>
      </c>
      <c r="G62">
        <v>25800</v>
      </c>
      <c r="H62">
        <v>29225</v>
      </c>
      <c r="I62">
        <v>27622</v>
      </c>
      <c r="J62">
        <v>30961</v>
      </c>
      <c r="K62">
        <v>33770</v>
      </c>
    </row>
    <row r="63" spans="1:11" x14ac:dyDescent="0.25">
      <c r="A63" s="9" t="s">
        <v>28</v>
      </c>
      <c r="B63">
        <v>1365</v>
      </c>
      <c r="C63">
        <v>1606</v>
      </c>
      <c r="D63">
        <v>1388</v>
      </c>
      <c r="E63">
        <v>954</v>
      </c>
      <c r="F63">
        <v>922</v>
      </c>
      <c r="G63">
        <v>416</v>
      </c>
      <c r="H63">
        <v>288</v>
      </c>
      <c r="I63">
        <v>293</v>
      </c>
      <c r="J63">
        <v>814</v>
      </c>
      <c r="K63">
        <v>526</v>
      </c>
    </row>
    <row r="64" spans="1:11" x14ac:dyDescent="0.25">
      <c r="A64" s="9" t="s">
        <v>29</v>
      </c>
      <c r="B64">
        <v>16423</v>
      </c>
      <c r="C64">
        <v>12163</v>
      </c>
      <c r="D64">
        <v>11261</v>
      </c>
      <c r="E64">
        <v>8792</v>
      </c>
      <c r="F64">
        <v>14205</v>
      </c>
      <c r="G64">
        <v>20324</v>
      </c>
      <c r="H64">
        <v>19478</v>
      </c>
      <c r="I64">
        <v>24623</v>
      </c>
      <c r="J64">
        <v>23541</v>
      </c>
      <c r="K64">
        <v>21880</v>
      </c>
    </row>
    <row r="65" spans="1:11" x14ac:dyDescent="0.25">
      <c r="A65" s="9" t="s">
        <v>73</v>
      </c>
      <c r="B65">
        <v>51181</v>
      </c>
      <c r="C65">
        <v>53006</v>
      </c>
      <c r="D65">
        <v>55707</v>
      </c>
      <c r="E65">
        <v>58265</v>
      </c>
      <c r="F65">
        <v>66879</v>
      </c>
      <c r="G65">
        <v>70189</v>
      </c>
      <c r="H65">
        <v>75605</v>
      </c>
      <c r="I65">
        <v>84822</v>
      </c>
      <c r="J65">
        <v>92479</v>
      </c>
      <c r="K65">
        <v>98112</v>
      </c>
    </row>
    <row r="66" spans="1:11" s="1" customFormat="1" x14ac:dyDescent="0.25">
      <c r="A66" s="1" t="s">
        <v>26</v>
      </c>
      <c r="B66">
        <v>83148</v>
      </c>
      <c r="C66">
        <v>79349</v>
      </c>
      <c r="D66">
        <v>84066</v>
      </c>
      <c r="E66">
        <v>91800</v>
      </c>
      <c r="F66">
        <v>107511</v>
      </c>
      <c r="G66">
        <v>116729</v>
      </c>
      <c r="H66">
        <v>124596</v>
      </c>
      <c r="I66">
        <v>137360</v>
      </c>
      <c r="J66">
        <v>147795</v>
      </c>
      <c r="K66">
        <v>154288</v>
      </c>
    </row>
    <row r="67" spans="1:11" s="9" customFormat="1" x14ac:dyDescent="0.25">
      <c r="A67" s="9" t="s">
        <v>78</v>
      </c>
      <c r="B67">
        <v>12322</v>
      </c>
      <c r="C67">
        <v>13142</v>
      </c>
      <c r="D67">
        <v>14827</v>
      </c>
      <c r="E67">
        <v>18487</v>
      </c>
      <c r="F67">
        <v>19294</v>
      </c>
      <c r="G67">
        <v>22698</v>
      </c>
      <c r="H67">
        <v>25424</v>
      </c>
      <c r="I67">
        <v>30193</v>
      </c>
      <c r="J67">
        <v>31158</v>
      </c>
      <c r="K67">
        <v>35234</v>
      </c>
    </row>
    <row r="68" spans="1:11" x14ac:dyDescent="0.25">
      <c r="A68" s="9" t="s">
        <v>45</v>
      </c>
    </row>
    <row r="69" spans="1:11" x14ac:dyDescent="0.25">
      <c r="A69" s="5" t="s">
        <v>87</v>
      </c>
      <c r="B69">
        <v>22625</v>
      </c>
      <c r="C69">
        <v>19818</v>
      </c>
      <c r="D69">
        <v>19568</v>
      </c>
      <c r="E69">
        <v>18649</v>
      </c>
      <c r="F69">
        <v>24714</v>
      </c>
      <c r="G69">
        <v>17472</v>
      </c>
      <c r="H69">
        <v>12173</v>
      </c>
      <c r="I69">
        <v>14786</v>
      </c>
      <c r="J69">
        <v>24455</v>
      </c>
      <c r="K69">
        <v>22201</v>
      </c>
    </row>
    <row r="70" spans="1:11" x14ac:dyDescent="0.25">
      <c r="A70" s="5" t="s">
        <v>74</v>
      </c>
      <c r="B70">
        <v>2285655150</v>
      </c>
      <c r="C70">
        <v>2173312301</v>
      </c>
      <c r="D70">
        <v>4335954462</v>
      </c>
      <c r="E70">
        <v>4240753210</v>
      </c>
      <c r="F70">
        <v>4245146114</v>
      </c>
      <c r="G70">
        <v>4193012929</v>
      </c>
      <c r="H70">
        <v>4136387925</v>
      </c>
      <c r="I70">
        <v>4139950635</v>
      </c>
      <c r="J70">
        <v>4143607528</v>
      </c>
      <c r="K70">
        <v>4046940812</v>
      </c>
    </row>
    <row r="71" spans="1:11" x14ac:dyDescent="0.25">
      <c r="A71" s="5" t="s">
        <v>75</v>
      </c>
      <c r="D71">
        <v>2184191490</v>
      </c>
    </row>
    <row r="72" spans="1:11" x14ac:dyDescent="0.25">
      <c r="A72" s="5" t="s">
        <v>88</v>
      </c>
      <c r="B72">
        <v>5</v>
      </c>
      <c r="C72">
        <v>5</v>
      </c>
      <c r="D72">
        <v>5</v>
      </c>
      <c r="E72">
        <v>5</v>
      </c>
      <c r="F72">
        <v>5</v>
      </c>
      <c r="G72">
        <v>5</v>
      </c>
      <c r="H72">
        <v>5</v>
      </c>
      <c r="I72">
        <v>5</v>
      </c>
      <c r="J72">
        <v>5</v>
      </c>
      <c r="K72">
        <v>5</v>
      </c>
    </row>
    <row r="74" spans="1:11" x14ac:dyDescent="0.25">
      <c r="A74" s="9"/>
    </row>
    <row r="75" spans="1:11" x14ac:dyDescent="0.25">
      <c r="A75" s="9"/>
    </row>
    <row r="76" spans="1:11" x14ac:dyDescent="0.25">
      <c r="A76" s="9"/>
    </row>
    <row r="77" spans="1:11" x14ac:dyDescent="0.25">
      <c r="A77" s="9"/>
    </row>
    <row r="78" spans="1:11" x14ac:dyDescent="0.25">
      <c r="A78" s="9"/>
    </row>
    <row r="79" spans="1:11" x14ac:dyDescent="0.25">
      <c r="A79" s="9"/>
    </row>
    <row r="80" spans="1:11" x14ac:dyDescent="0.25">
      <c r="A80" s="1" t="s">
        <v>41</v>
      </c>
    </row>
    <row r="81" spans="1:11" s="24" customFormat="1" x14ac:dyDescent="0.25">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25">
      <c r="A82" s="9" t="s">
        <v>32</v>
      </c>
      <c r="B82">
        <v>11531</v>
      </c>
      <c r="C82">
        <v>13218</v>
      </c>
      <c r="D82">
        <v>14841</v>
      </c>
      <c r="E82">
        <v>17003</v>
      </c>
      <c r="F82">
        <v>23224</v>
      </c>
      <c r="G82">
        <v>23885</v>
      </c>
      <c r="H82">
        <v>22467</v>
      </c>
      <c r="I82">
        <v>25210</v>
      </c>
      <c r="J82">
        <v>35694</v>
      </c>
      <c r="K82">
        <v>33986</v>
      </c>
    </row>
    <row r="83" spans="1:11" s="9" customFormat="1" x14ac:dyDescent="0.25">
      <c r="A83" s="9" t="s">
        <v>33</v>
      </c>
      <c r="B83">
        <v>-14664</v>
      </c>
      <c r="C83">
        <v>4533</v>
      </c>
      <c r="D83">
        <v>-632</v>
      </c>
      <c r="E83">
        <v>-331</v>
      </c>
      <c r="F83">
        <v>-7373</v>
      </c>
      <c r="G83">
        <v>-6485</v>
      </c>
      <c r="H83">
        <v>-1071</v>
      </c>
      <c r="I83">
        <v>-5093</v>
      </c>
      <c r="J83">
        <v>-1864</v>
      </c>
      <c r="K83">
        <v>3546</v>
      </c>
    </row>
    <row r="84" spans="1:11" s="9" customFormat="1" x14ac:dyDescent="0.25">
      <c r="A84" s="9" t="s">
        <v>34</v>
      </c>
      <c r="B84">
        <v>-6939</v>
      </c>
      <c r="C84">
        <v>-20505</v>
      </c>
      <c r="D84">
        <v>-14512</v>
      </c>
      <c r="E84">
        <v>-17591</v>
      </c>
      <c r="F84">
        <v>-9786</v>
      </c>
      <c r="G84">
        <v>-24642</v>
      </c>
      <c r="H84">
        <v>-26695</v>
      </c>
      <c r="I84">
        <v>-17504</v>
      </c>
      <c r="J84">
        <v>-24161</v>
      </c>
      <c r="K84">
        <v>-39786</v>
      </c>
    </row>
    <row r="85" spans="1:11" s="1" customFormat="1" x14ac:dyDescent="0.25">
      <c r="A85" s="9" t="s">
        <v>35</v>
      </c>
      <c r="B85">
        <v>-10072</v>
      </c>
      <c r="C85">
        <v>-2754</v>
      </c>
      <c r="D85">
        <v>-303</v>
      </c>
      <c r="E85">
        <v>-919</v>
      </c>
      <c r="F85">
        <v>6065</v>
      </c>
      <c r="G85">
        <v>-7242</v>
      </c>
      <c r="H85">
        <v>-5299</v>
      </c>
      <c r="I85">
        <v>2613</v>
      </c>
      <c r="J85">
        <v>9669</v>
      </c>
      <c r="K85">
        <v>-2254</v>
      </c>
    </row>
    <row r="86" spans="1:11" x14ac:dyDescent="0.25">
      <c r="A86" s="9"/>
    </row>
    <row r="87" spans="1:11" x14ac:dyDescent="0.25">
      <c r="A87" s="9"/>
    </row>
    <row r="88" spans="1:11" x14ac:dyDescent="0.25">
      <c r="A88" s="9"/>
    </row>
    <row r="89" spans="1:11" x14ac:dyDescent="0.25">
      <c r="A89" s="9"/>
    </row>
    <row r="90" spans="1:11" s="1" customFormat="1" x14ac:dyDescent="0.25">
      <c r="A90" s="1" t="s">
        <v>77</v>
      </c>
      <c r="B90">
        <v>511.13</v>
      </c>
      <c r="C90">
        <v>565.9</v>
      </c>
      <c r="D90">
        <v>743.85</v>
      </c>
      <c r="E90">
        <v>641.5</v>
      </c>
      <c r="F90">
        <v>1368.05</v>
      </c>
      <c r="G90">
        <v>1906.85</v>
      </c>
      <c r="H90">
        <v>1427.95</v>
      </c>
      <c r="I90">
        <v>1498.05</v>
      </c>
      <c r="J90">
        <v>1570.65</v>
      </c>
      <c r="K90">
        <v>1250.5999999999999</v>
      </c>
    </row>
    <row r="92" spans="1:11" s="1" customFormat="1" x14ac:dyDescent="0.25">
      <c r="A92" s="1" t="s">
        <v>76</v>
      </c>
    </row>
    <row r="93" spans="1:11" x14ac:dyDescent="0.25">
      <c r="A93" s="5" t="s">
        <v>89</v>
      </c>
      <c r="B93" s="31">
        <v>459.39</v>
      </c>
      <c r="C93" s="31">
        <v>436.82</v>
      </c>
      <c r="D93" s="31">
        <v>436.89</v>
      </c>
      <c r="E93" s="31">
        <v>425.9</v>
      </c>
      <c r="F93" s="31">
        <v>426.07</v>
      </c>
      <c r="G93" s="31">
        <v>420.67</v>
      </c>
      <c r="H93" s="31">
        <v>414.86</v>
      </c>
      <c r="I93" s="31">
        <v>415.09</v>
      </c>
      <c r="J93" s="31">
        <v>415.33</v>
      </c>
      <c r="K93" s="31">
        <v>405.56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Input Sheet</vt:lpstr>
      <vt:lpstr>Teaser</vt:lpstr>
      <vt:lpstr>Share Price</vt:lpstr>
      <vt:lpstr>Profit &amp; Loss</vt:lpstr>
      <vt:lpstr>Quarters</vt:lpstr>
      <vt:lpstr>Balance Sheet</vt:lpstr>
      <vt:lpstr>Cash Flow</vt:lpstr>
      <vt:lpstr>Customization</vt:lpstr>
      <vt:lpstr>Data Sheet</vt:lpstr>
      <vt:lpstr>Teaser!Print_Area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Siddharth</cp:lastModifiedBy>
  <cp:lastPrinted>2026-06-23T12:54:52Z</cp:lastPrinted>
  <dcterms:created xsi:type="dcterms:W3CDTF">2012-08-17T09:55:37Z</dcterms:created>
  <dcterms:modified xsi:type="dcterms:W3CDTF">2026-06-28T16:24:02Z</dcterms:modified>
</cp:coreProperties>
</file>