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1" i="1" l="1"/>
  <c r="H112" i="1" s="1"/>
  <c r="H113" i="1" s="1"/>
  <c r="H114" i="1" s="1"/>
  <c r="H115" i="1" s="1"/>
  <c r="H116" i="1" s="1"/>
  <c r="H117" i="1" s="1"/>
  <c r="H110" i="1"/>
  <c r="C110" i="1"/>
  <c r="C111" i="1" s="1"/>
  <c r="C112" i="1" s="1"/>
  <c r="C113" i="1" s="1"/>
  <c r="C114" i="1" s="1"/>
  <c r="C115" i="1" s="1"/>
  <c r="C116" i="1" s="1"/>
  <c r="C117" i="1" s="1"/>
  <c r="C101" i="1"/>
  <c r="H97" i="1"/>
  <c r="G97" i="1"/>
  <c r="F97" i="1"/>
  <c r="E97" i="1"/>
  <c r="H96" i="1"/>
  <c r="G96" i="1"/>
  <c r="F96" i="1"/>
  <c r="E96" i="1"/>
  <c r="D97" i="1"/>
  <c r="D96" i="1"/>
  <c r="E95" i="1"/>
  <c r="F95" i="1"/>
  <c r="G95" i="1"/>
  <c r="H95" i="1"/>
  <c r="D95" i="1"/>
  <c r="E78" i="1"/>
  <c r="D78" i="1"/>
  <c r="E66" i="1"/>
  <c r="F66" i="1"/>
  <c r="G66" i="1"/>
  <c r="H66" i="1"/>
  <c r="D66" i="1"/>
  <c r="D58" i="1"/>
  <c r="D60" i="1" s="1"/>
  <c r="D61" i="1" s="1"/>
  <c r="D62" i="1" s="1"/>
  <c r="D64" i="1" s="1"/>
  <c r="E93" i="1"/>
  <c r="D93" i="1"/>
  <c r="D83" i="1" s="1"/>
  <c r="E83" i="1" s="1"/>
  <c r="F93" i="1" s="1"/>
  <c r="E92" i="1"/>
  <c r="D92" i="1"/>
  <c r="E82" i="1"/>
  <c r="F91" i="1" s="1"/>
  <c r="E91" i="1"/>
  <c r="D82" i="1"/>
  <c r="D91" i="1"/>
  <c r="D90" i="1"/>
  <c r="D71" i="1"/>
  <c r="E73" i="1"/>
  <c r="F73" i="1"/>
  <c r="G73" i="1"/>
  <c r="H73" i="1"/>
  <c r="D73" i="1"/>
  <c r="D72" i="1"/>
  <c r="C83" i="1"/>
  <c r="C82" i="1"/>
  <c r="C81" i="1"/>
  <c r="E65" i="1"/>
  <c r="F65" i="1"/>
  <c r="G65" i="1"/>
  <c r="H65" i="1"/>
  <c r="E68" i="1"/>
  <c r="F68" i="1"/>
  <c r="G68" i="1"/>
  <c r="H68" i="1"/>
  <c r="D68" i="1"/>
  <c r="H67" i="1"/>
  <c r="E67" i="1"/>
  <c r="F67" i="1"/>
  <c r="G67" i="1"/>
  <c r="D67" i="1"/>
  <c r="D65" i="1"/>
  <c r="D57" i="1"/>
  <c r="E57" i="1"/>
  <c r="F57" i="1"/>
  <c r="G57" i="1"/>
  <c r="H57" i="1"/>
  <c r="C57" i="1"/>
  <c r="F55" i="1"/>
  <c r="D55" i="1"/>
  <c r="E55" i="1"/>
  <c r="G55" i="1"/>
  <c r="H55" i="1"/>
  <c r="C55" i="1"/>
  <c r="E54" i="1"/>
  <c r="F54" i="1"/>
  <c r="G54" i="1"/>
  <c r="H54" i="1"/>
  <c r="D54" i="1"/>
  <c r="D43" i="1"/>
  <c r="E43" i="1"/>
  <c r="F43" i="1"/>
  <c r="G43" i="1"/>
  <c r="H43" i="1"/>
  <c r="C43" i="1"/>
  <c r="D44" i="1"/>
  <c r="E44" i="1" s="1"/>
  <c r="F44" i="1" s="1"/>
  <c r="G44" i="1" s="1"/>
  <c r="H44" i="1" s="1"/>
  <c r="C44" i="1"/>
  <c r="E42" i="1"/>
  <c r="F42" i="1"/>
  <c r="G42" i="1" s="1"/>
  <c r="H42" i="1" s="1"/>
  <c r="D42" i="1"/>
  <c r="E46" i="1"/>
  <c r="F46" i="1"/>
  <c r="G46" i="1"/>
  <c r="H46" i="1"/>
  <c r="D46" i="1"/>
  <c r="G28" i="1"/>
  <c r="C47" i="1"/>
  <c r="E34" i="1"/>
  <c r="F34" i="1"/>
  <c r="G34" i="1" s="1"/>
  <c r="H34" i="1" s="1"/>
  <c r="D34" i="1"/>
  <c r="C34" i="1"/>
  <c r="E30" i="1"/>
  <c r="F30" i="1"/>
  <c r="G30" i="1" s="1"/>
  <c r="H30" i="1" s="1"/>
  <c r="D30" i="1"/>
  <c r="C30" i="1"/>
  <c r="C54" i="1"/>
  <c r="C51" i="1"/>
  <c r="F31" i="1"/>
  <c r="G31" i="1"/>
  <c r="H31" i="1"/>
  <c r="E31" i="1"/>
  <c r="D26" i="1"/>
  <c r="E26" i="1"/>
  <c r="F26" i="1"/>
  <c r="G26" i="1"/>
  <c r="H26" i="1"/>
  <c r="C26" i="1"/>
  <c r="H98" i="1" l="1"/>
  <c r="D98" i="1"/>
  <c r="D99" i="1" s="1"/>
  <c r="D100" i="1" s="1"/>
  <c r="E98" i="1"/>
  <c r="E99" i="1" s="1"/>
  <c r="E100" i="1"/>
  <c r="E101" i="1" s="1"/>
  <c r="F98" i="1"/>
  <c r="F99" i="1" s="1"/>
  <c r="F100" i="1" s="1"/>
  <c r="H99" i="1"/>
  <c r="H100" i="1" s="1"/>
  <c r="G98" i="1"/>
  <c r="D101" i="1"/>
  <c r="D69" i="1"/>
  <c r="D74" i="1" s="1"/>
  <c r="D75" i="1"/>
  <c r="D77" i="1" s="1"/>
  <c r="D81" i="1" s="1"/>
  <c r="E90" i="1" s="1"/>
  <c r="E58" i="1" s="1"/>
  <c r="E60" i="1" s="1"/>
  <c r="F83" i="1"/>
  <c r="F92" i="1"/>
  <c r="E72" i="1"/>
  <c r="E61" i="1"/>
  <c r="E62" i="1" s="1"/>
  <c r="E64" i="1" s="1"/>
  <c r="E69" i="1" s="1"/>
  <c r="E74" i="1" s="1"/>
  <c r="G21" i="1"/>
  <c r="F101" i="1" l="1"/>
  <c r="G99" i="1"/>
  <c r="G100" i="1" s="1"/>
  <c r="H101" i="1"/>
  <c r="G93" i="1"/>
  <c r="G83" i="1" s="1"/>
  <c r="F82" i="1"/>
  <c r="E71" i="1"/>
  <c r="C6" i="1"/>
  <c r="G101" i="1" l="1"/>
  <c r="C104" i="1" s="1"/>
  <c r="H108" i="1" s="1"/>
  <c r="H83" i="1"/>
  <c r="H93" i="1"/>
  <c r="G92" i="1"/>
  <c r="G82" i="1" s="1"/>
  <c r="H92" i="1" s="1"/>
  <c r="G91" i="1"/>
  <c r="E75" i="1"/>
  <c r="E77" i="1" s="1"/>
  <c r="E81" i="1" s="1"/>
  <c r="F90" i="1" s="1"/>
  <c r="F58" i="1" s="1"/>
  <c r="F60" i="1" s="1"/>
  <c r="F72" i="1"/>
  <c r="C10" i="1"/>
  <c r="C20" i="1"/>
  <c r="C21" i="1"/>
  <c r="C19" i="1"/>
  <c r="C103" i="1" l="1"/>
  <c r="C108" i="1" s="1"/>
  <c r="F61" i="1"/>
  <c r="F62" i="1" s="1"/>
  <c r="F64" i="1" s="1"/>
  <c r="F69" i="1" s="1"/>
  <c r="F74" i="1" s="1"/>
  <c r="H91" i="1"/>
  <c r="H82" i="1"/>
  <c r="F71" i="1"/>
  <c r="G19" i="1"/>
  <c r="C11" i="1"/>
  <c r="G20" i="1" s="1"/>
  <c r="F75" i="1" l="1"/>
  <c r="F77" i="1" s="1"/>
  <c r="G22" i="1"/>
  <c r="C22" i="1" s="1"/>
  <c r="C23" i="1" s="1"/>
  <c r="E28" i="1"/>
  <c r="F28" i="1"/>
  <c r="H28" i="1" s="1"/>
  <c r="D33" i="1"/>
  <c r="D39" i="1" s="1"/>
  <c r="D40" i="1" s="1"/>
  <c r="D27" i="1"/>
  <c r="D51" i="1" s="1"/>
  <c r="D52" i="1" s="1"/>
  <c r="E27" i="1"/>
  <c r="E51" i="1" s="1"/>
  <c r="E52" i="1" s="1"/>
  <c r="F27" i="1"/>
  <c r="G27" i="1" s="1"/>
  <c r="F81" i="1" l="1"/>
  <c r="G90" i="1" s="1"/>
  <c r="G58" i="1" s="1"/>
  <c r="G60" i="1" s="1"/>
  <c r="F78" i="1"/>
  <c r="G72" i="1" s="1"/>
  <c r="G61" i="1"/>
  <c r="G62" i="1" s="1"/>
  <c r="G64" i="1" s="1"/>
  <c r="G69" i="1" s="1"/>
  <c r="G74" i="1" s="1"/>
  <c r="G71" i="1"/>
  <c r="H27" i="1"/>
  <c r="G33" i="1"/>
  <c r="G51" i="1"/>
  <c r="F51" i="1"/>
  <c r="F52" i="1" s="1"/>
  <c r="E33" i="1"/>
  <c r="F33" i="1"/>
  <c r="G39" i="1" s="1"/>
  <c r="G40" i="1" s="1"/>
  <c r="G75" i="1" l="1"/>
  <c r="G77" i="1" s="1"/>
  <c r="G81" i="1" s="1"/>
  <c r="H90" i="1" s="1"/>
  <c r="H58" i="1" s="1"/>
  <c r="H60" i="1" s="1"/>
  <c r="H39" i="1"/>
  <c r="F39" i="1"/>
  <c r="F40" i="1" s="1"/>
  <c r="E39" i="1"/>
  <c r="E40" i="1" s="1"/>
  <c r="H33" i="1"/>
  <c r="H51" i="1"/>
  <c r="H52" i="1" s="1"/>
  <c r="G52" i="1"/>
  <c r="G78" i="1" l="1"/>
  <c r="H72" i="1" s="1"/>
  <c r="H61" i="1"/>
  <c r="H62" i="1" s="1"/>
  <c r="H64" i="1" s="1"/>
  <c r="H69" i="1" s="1"/>
  <c r="H74" i="1" s="1"/>
  <c r="H71" i="1"/>
  <c r="H40" i="1"/>
  <c r="H75" i="1" l="1"/>
  <c r="H77" i="1" s="1"/>
  <c r="H81" i="1" s="1"/>
  <c r="H78" i="1" l="1"/>
</calcChain>
</file>

<file path=xl/sharedStrings.xml><?xml version="1.0" encoding="utf-8"?>
<sst xmlns="http://schemas.openxmlformats.org/spreadsheetml/2006/main" count="111" uniqueCount="96">
  <si>
    <t>LTM Revenue</t>
  </si>
  <si>
    <t>EBITDA Margin</t>
  </si>
  <si>
    <t>LTM EBITDA</t>
  </si>
  <si>
    <t>Purchase Multiple</t>
  </si>
  <si>
    <t>Purchase TEV</t>
  </si>
  <si>
    <t>Fees</t>
  </si>
  <si>
    <t>Management Option Pool</t>
  </si>
  <si>
    <t>EBITDA Exit Multiple:</t>
  </si>
  <si>
    <t xml:space="preserve">Exit Year </t>
  </si>
  <si>
    <t>Interest</t>
  </si>
  <si>
    <t>x EBITDA</t>
  </si>
  <si>
    <t xml:space="preserve">Cash Fixed </t>
  </si>
  <si>
    <t xml:space="preserve">PIK Fixed </t>
  </si>
  <si>
    <t xml:space="preserve">Spread </t>
  </si>
  <si>
    <t xml:space="preserve">Sweep </t>
  </si>
  <si>
    <t xml:space="preserve">Term Load </t>
  </si>
  <si>
    <t xml:space="preserve">Senior Note </t>
  </si>
  <si>
    <t>Subordinated Notes</t>
  </si>
  <si>
    <t>Min Cash  % Sales</t>
  </si>
  <si>
    <t>Inventory %  Sales</t>
  </si>
  <si>
    <t>Receivables % Sales</t>
  </si>
  <si>
    <t>Payables % Sales</t>
  </si>
  <si>
    <t>Tax Rate</t>
  </si>
  <si>
    <t>Sources</t>
  </si>
  <si>
    <t>Uses</t>
  </si>
  <si>
    <t>Initial Cash Injection</t>
  </si>
  <si>
    <t>Total Uses</t>
  </si>
  <si>
    <t>Total Sources</t>
  </si>
  <si>
    <t>Equity</t>
  </si>
  <si>
    <t>Cash Flow Projections</t>
  </si>
  <si>
    <t>Year 0</t>
  </si>
  <si>
    <t>Year 1</t>
  </si>
  <si>
    <t>Year 2</t>
  </si>
  <si>
    <t>Year 3</t>
  </si>
  <si>
    <t>Year 4</t>
  </si>
  <si>
    <t>Year 5</t>
  </si>
  <si>
    <t>Sales</t>
  </si>
  <si>
    <t>Growth</t>
  </si>
  <si>
    <t>EBITDA</t>
  </si>
  <si>
    <t>Margin</t>
  </si>
  <si>
    <t>(-) Depreciation</t>
  </si>
  <si>
    <t>(-) Interest</t>
  </si>
  <si>
    <t>Pre -Tax Income</t>
  </si>
  <si>
    <t>(-) Taxes</t>
  </si>
  <si>
    <t>Net Profit</t>
  </si>
  <si>
    <t>Net Income</t>
  </si>
  <si>
    <t>(+) Depreciation</t>
  </si>
  <si>
    <t>(+) Non- Cash Interest</t>
  </si>
  <si>
    <t>(+/-) Change in WC</t>
  </si>
  <si>
    <t>(-) CapEx</t>
  </si>
  <si>
    <t>Free Cash Flow</t>
  </si>
  <si>
    <t>Drivers</t>
  </si>
  <si>
    <t>Widget Unit Sales (M)</t>
  </si>
  <si>
    <t>Growth Rate</t>
  </si>
  <si>
    <t>Aveage Price per Widget</t>
  </si>
  <si>
    <t xml:space="preserve">Growth Rate </t>
  </si>
  <si>
    <t># Factories</t>
  </si>
  <si>
    <t>Widgets per Factory (M)</t>
  </si>
  <si>
    <t>Growth CapEx per Factory</t>
  </si>
  <si>
    <t>Maint.CapEx per Factory</t>
  </si>
  <si>
    <t xml:space="preserve">Total CapEx </t>
  </si>
  <si>
    <t>% Sales</t>
  </si>
  <si>
    <t>Gross Margin %</t>
  </si>
  <si>
    <t>COGS</t>
  </si>
  <si>
    <t>Fixed Expenses</t>
  </si>
  <si>
    <t>Depreciation</t>
  </si>
  <si>
    <t xml:space="preserve">Note </t>
  </si>
  <si>
    <t>APW= Tsales/WUS</t>
  </si>
  <si>
    <t>(-) Manadatory Repayments</t>
  </si>
  <si>
    <t xml:space="preserve">(+) Beginning Cash Balance </t>
  </si>
  <si>
    <t xml:space="preserve">(-) Min Cash </t>
  </si>
  <si>
    <t>(+) Free Cash Flow</t>
  </si>
  <si>
    <t>CF. Avail. For Debt Repayment</t>
  </si>
  <si>
    <t xml:space="preserve">CF Used for Debt Repayment </t>
  </si>
  <si>
    <t xml:space="preserve">Ending Cash </t>
  </si>
  <si>
    <t>Debt Balance</t>
  </si>
  <si>
    <t>Term Loan Repayment %'s</t>
  </si>
  <si>
    <t xml:space="preserve">Interest </t>
  </si>
  <si>
    <t>Benchmark Rate</t>
  </si>
  <si>
    <t>Term Load - Cash</t>
  </si>
  <si>
    <t>Senior Note - Cash</t>
  </si>
  <si>
    <t>Senior Note - PIK</t>
  </si>
  <si>
    <t>Subordinated Notes - PIK</t>
  </si>
  <si>
    <t>Exit Enterprise Value</t>
  </si>
  <si>
    <t>(-) Debt</t>
  </si>
  <si>
    <t>(+) Cash</t>
  </si>
  <si>
    <t>Exit Equity Value</t>
  </si>
  <si>
    <t>(+) Cash from Mgmt Options</t>
  </si>
  <si>
    <t>(-) Equity to Mgmt Optionholders</t>
  </si>
  <si>
    <t>Net Equity to Sponsor</t>
  </si>
  <si>
    <t>Sponsor Multiple</t>
  </si>
  <si>
    <t>Sponsor IRR</t>
  </si>
  <si>
    <t xml:space="preserve"> </t>
  </si>
  <si>
    <t>Sensitivity - Sponsor Multiple vs Exit Year and Exit Multiple</t>
  </si>
  <si>
    <t>Exit Multiple</t>
  </si>
  <si>
    <t>Sensitivity - Sponsor IRR vs Exit Year and Exit Multiple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</si>
</sst>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&quot;x&quot;"/>
    <numFmt numFmtId="174" formatCode="#,##0.00;\(#,##0.00\);\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9" fontId="0" fillId="0" borderId="0" xfId="0" applyNumberFormat="1"/>
    <xf numFmtId="164" fontId="0" fillId="0" borderId="0" xfId="0" applyNumberFormat="1"/>
    <xf numFmtId="10" fontId="2" fillId="0" borderId="0" xfId="1" applyNumberFormat="1" applyFont="1"/>
    <xf numFmtId="4" fontId="0" fillId="0" borderId="0" xfId="0" applyNumberFormat="1"/>
    <xf numFmtId="0" fontId="0" fillId="2" borderId="0" xfId="0" applyFill="1"/>
    <xf numFmtId="0" fontId="0" fillId="3" borderId="0" xfId="0" applyFill="1"/>
    <xf numFmtId="0" fontId="3" fillId="0" borderId="0" xfId="0" applyFont="1"/>
    <xf numFmtId="0" fontId="3" fillId="0" borderId="0" xfId="0" applyFont="1" applyAlignment="1"/>
    <xf numFmtId="0" fontId="3" fillId="0" borderId="1" xfId="0" applyFont="1" applyBorder="1" applyAlignment="1">
      <alignment horizontal="center"/>
    </xf>
    <xf numFmtId="10" fontId="4" fillId="0" borderId="0" xfId="1" applyNumberFormat="1" applyFont="1"/>
    <xf numFmtId="0" fontId="3" fillId="0" borderId="2" xfId="0" applyFont="1" applyBorder="1"/>
    <xf numFmtId="0" fontId="0" fillId="0" borderId="0" xfId="0" applyAlignment="1">
      <alignment horizontal="left" indent="3"/>
    </xf>
    <xf numFmtId="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164" fontId="0" fillId="0" borderId="0" xfId="0" applyNumberFormat="1" applyAlignment="1">
      <alignment horizontal="left" indent="1"/>
    </xf>
    <xf numFmtId="0" fontId="0" fillId="0" borderId="0" xfId="0" applyBorder="1"/>
    <xf numFmtId="0" fontId="0" fillId="0" borderId="1" xfId="0" applyBorder="1"/>
    <xf numFmtId="4" fontId="0" fillId="0" borderId="2" xfId="0" applyNumberFormat="1" applyBorder="1"/>
    <xf numFmtId="4" fontId="3" fillId="0" borderId="0" xfId="0" applyNumberFormat="1" applyFont="1"/>
    <xf numFmtId="4" fontId="0" fillId="0" borderId="0" xfId="0" applyNumberForma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2" fontId="0" fillId="0" borderId="0" xfId="0" applyNumberFormat="1"/>
    <xf numFmtId="10" fontId="0" fillId="0" borderId="0" xfId="0" applyNumberFormat="1"/>
    <xf numFmtId="10" fontId="0" fillId="0" borderId="0" xfId="1" applyNumberFormat="1" applyFont="1"/>
    <xf numFmtId="164" fontId="4" fillId="0" borderId="0" xfId="0" applyNumberFormat="1" applyFont="1"/>
    <xf numFmtId="164" fontId="2" fillId="0" borderId="0" xfId="0" applyNumberFormat="1" applyFont="1"/>
    <xf numFmtId="2" fontId="2" fillId="0" borderId="0" xfId="0" applyNumberFormat="1" applyFont="1"/>
    <xf numFmtId="4" fontId="2" fillId="0" borderId="0" xfId="0" applyNumberFormat="1" applyFont="1" applyBorder="1"/>
    <xf numFmtId="174" fontId="0" fillId="0" borderId="0" xfId="0" applyNumberFormat="1"/>
    <xf numFmtId="2" fontId="3" fillId="0" borderId="2" xfId="0" applyNumberFormat="1" applyFont="1" applyBorder="1"/>
    <xf numFmtId="174" fontId="3" fillId="0" borderId="2" xfId="0" applyNumberFormat="1" applyFont="1" applyBorder="1"/>
    <xf numFmtId="164" fontId="6" fillId="0" borderId="0" xfId="0" applyNumberFormat="1" applyFont="1"/>
    <xf numFmtId="10" fontId="3" fillId="0" borderId="0" xfId="0" applyNumberFormat="1" applyFont="1"/>
    <xf numFmtId="164" fontId="5" fillId="0" borderId="0" xfId="0" applyNumberFormat="1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4" fontId="6" fillId="0" borderId="0" xfId="0" applyNumberFormat="1" applyFont="1" applyAlignment="1">
      <alignment horizontal="right"/>
    </xf>
    <xf numFmtId="10" fontId="0" fillId="0" borderId="0" xfId="0" applyNumberFormat="1" applyFont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17"/>
  <sheetViews>
    <sheetView showGridLines="0" tabSelected="1" zoomScale="90" zoomScaleNormal="90" workbookViewId="0">
      <selection activeCell="J15" sqref="J15"/>
    </sheetView>
  </sheetViews>
  <sheetFormatPr defaultRowHeight="15" x14ac:dyDescent="0.25"/>
  <cols>
    <col min="1" max="1" width="1.85546875" customWidth="1"/>
    <col min="2" max="2" width="31.5703125" customWidth="1"/>
    <col min="4" max="4" width="10.42578125" bestFit="1" customWidth="1"/>
    <col min="5" max="5" width="11.140625" customWidth="1"/>
    <col min="6" max="7" width="10.42578125" bestFit="1" customWidth="1"/>
    <col min="8" max="8" width="11" bestFit="1" customWidth="1"/>
  </cols>
  <sheetData>
    <row r="2" spans="2:12" x14ac:dyDescent="0.25">
      <c r="B2" s="5"/>
      <c r="C2" s="5"/>
      <c r="D2" s="5"/>
      <c r="E2" s="5"/>
      <c r="F2" s="5"/>
      <c r="G2" s="5"/>
      <c r="H2" s="5"/>
      <c r="I2" s="5"/>
      <c r="J2" s="5"/>
      <c r="K2" s="5"/>
    </row>
    <row r="3" spans="2:12" s="6" customFormat="1" ht="6" customHeight="1" x14ac:dyDescent="0.25"/>
    <row r="4" spans="2:12" x14ac:dyDescent="0.25">
      <c r="B4" t="s">
        <v>0</v>
      </c>
      <c r="C4" s="4">
        <v>500</v>
      </c>
      <c r="D4" s="4"/>
      <c r="E4" s="4"/>
      <c r="G4" s="7"/>
      <c r="H4" s="21" t="s">
        <v>9</v>
      </c>
      <c r="I4" s="21"/>
      <c r="J4" s="21"/>
      <c r="K4" s="8"/>
    </row>
    <row r="5" spans="2:12" x14ac:dyDescent="0.25">
      <c r="B5" t="s">
        <v>1</v>
      </c>
      <c r="C5" s="3">
        <v>0.2</v>
      </c>
      <c r="D5" s="3"/>
      <c r="E5" s="3"/>
      <c r="G5" s="7" t="s">
        <v>10</v>
      </c>
      <c r="H5" s="7" t="s">
        <v>11</v>
      </c>
      <c r="I5" s="7" t="s">
        <v>12</v>
      </c>
      <c r="J5" s="7" t="s">
        <v>13</v>
      </c>
      <c r="K5" s="7" t="s">
        <v>14</v>
      </c>
    </row>
    <row r="6" spans="2:12" x14ac:dyDescent="0.25">
      <c r="B6" t="s">
        <v>2</v>
      </c>
      <c r="C6" s="4">
        <f>C4*C5</f>
        <v>100</v>
      </c>
      <c r="D6" s="4"/>
      <c r="E6" s="4" t="s">
        <v>15</v>
      </c>
      <c r="G6" s="28">
        <v>3</v>
      </c>
      <c r="J6" s="3">
        <v>0.03</v>
      </c>
      <c r="K6" s="3">
        <v>0.5</v>
      </c>
    </row>
    <row r="7" spans="2:12" x14ac:dyDescent="0.25">
      <c r="E7" t="s">
        <v>16</v>
      </c>
      <c r="G7" s="28">
        <v>1</v>
      </c>
      <c r="H7" s="3">
        <v>0.03</v>
      </c>
      <c r="I7" s="3">
        <v>0.05</v>
      </c>
    </row>
    <row r="8" spans="2:12" x14ac:dyDescent="0.25">
      <c r="B8" t="s">
        <v>3</v>
      </c>
      <c r="C8" s="28">
        <v>12</v>
      </c>
      <c r="D8" s="2"/>
      <c r="E8" s="2" t="s">
        <v>17</v>
      </c>
      <c r="G8" s="28">
        <v>1</v>
      </c>
      <c r="H8" s="10"/>
      <c r="I8" s="3">
        <v>0.1</v>
      </c>
    </row>
    <row r="10" spans="2:12" x14ac:dyDescent="0.25">
      <c r="B10" t="s">
        <v>4</v>
      </c>
      <c r="C10" s="4">
        <f>C8*C6</f>
        <v>1200</v>
      </c>
      <c r="D10" s="4"/>
      <c r="E10" s="4" t="s">
        <v>18</v>
      </c>
      <c r="G10" s="3">
        <v>0.05</v>
      </c>
    </row>
    <row r="11" spans="2:12" x14ac:dyDescent="0.25">
      <c r="B11" t="s">
        <v>5</v>
      </c>
      <c r="C11">
        <f>C10*2%</f>
        <v>24</v>
      </c>
    </row>
    <row r="12" spans="2:12" x14ac:dyDescent="0.25">
      <c r="E12" t="s">
        <v>19</v>
      </c>
      <c r="G12" s="3">
        <v>0.2</v>
      </c>
    </row>
    <row r="13" spans="2:12" x14ac:dyDescent="0.25">
      <c r="B13" t="s">
        <v>6</v>
      </c>
      <c r="C13" s="3">
        <v>0.05</v>
      </c>
      <c r="D13" s="1"/>
      <c r="E13" s="1" t="s">
        <v>20</v>
      </c>
      <c r="G13" s="3">
        <v>0.1</v>
      </c>
    </row>
    <row r="14" spans="2:12" x14ac:dyDescent="0.25">
      <c r="E14" t="s">
        <v>21</v>
      </c>
      <c r="G14" s="3">
        <v>0.15</v>
      </c>
      <c r="L14" s="12"/>
    </row>
    <row r="15" spans="2:12" x14ac:dyDescent="0.25">
      <c r="B15" t="s">
        <v>7</v>
      </c>
      <c r="C15" s="28">
        <v>10</v>
      </c>
      <c r="D15" s="2"/>
      <c r="E15" s="2"/>
    </row>
    <row r="16" spans="2:12" x14ac:dyDescent="0.25">
      <c r="B16" t="s">
        <v>8</v>
      </c>
      <c r="C16" t="s">
        <v>35</v>
      </c>
      <c r="E16" t="s">
        <v>22</v>
      </c>
      <c r="G16" s="3">
        <v>0.25</v>
      </c>
    </row>
    <row r="18" spans="2:12" x14ac:dyDescent="0.25">
      <c r="B18" s="21" t="s">
        <v>23</v>
      </c>
      <c r="C18" s="21"/>
      <c r="E18" s="21" t="s">
        <v>24</v>
      </c>
      <c r="F18" s="21"/>
    </row>
    <row r="19" spans="2:12" x14ac:dyDescent="0.25">
      <c r="B19" s="13" t="s">
        <v>15</v>
      </c>
      <c r="C19" s="18">
        <f>G6*$C$6</f>
        <v>300</v>
      </c>
      <c r="E19" s="14" t="s">
        <v>4</v>
      </c>
      <c r="G19" s="18">
        <f>C10</f>
        <v>1200</v>
      </c>
    </row>
    <row r="20" spans="2:12" x14ac:dyDescent="0.25">
      <c r="B20" s="14" t="s">
        <v>16</v>
      </c>
      <c r="C20" s="20">
        <f t="shared" ref="C20:C21" si="0">G7*$C$6</f>
        <v>100</v>
      </c>
      <c r="E20" s="14" t="s">
        <v>5</v>
      </c>
      <c r="G20" s="16">
        <f>C11</f>
        <v>24</v>
      </c>
    </row>
    <row r="21" spans="2:12" x14ac:dyDescent="0.25">
      <c r="B21" s="15" t="s">
        <v>17</v>
      </c>
      <c r="C21" s="20">
        <f t="shared" si="0"/>
        <v>100</v>
      </c>
      <c r="E21" s="14" t="s">
        <v>25</v>
      </c>
      <c r="G21" s="17">
        <f>G10*C4</f>
        <v>25</v>
      </c>
    </row>
    <row r="22" spans="2:12" x14ac:dyDescent="0.25">
      <c r="B22" s="14" t="s">
        <v>28</v>
      </c>
      <c r="C22" s="20">
        <f>G22-SUM(C19:C21)</f>
        <v>749</v>
      </c>
      <c r="E22" s="11" t="s">
        <v>26</v>
      </c>
      <c r="F22" s="11"/>
      <c r="G22" s="19">
        <f>SUM(G19:G21)</f>
        <v>1249</v>
      </c>
    </row>
    <row r="23" spans="2:12" x14ac:dyDescent="0.25">
      <c r="B23" s="11" t="s">
        <v>27</v>
      </c>
      <c r="C23" s="18">
        <f>SUM(C19:C22)</f>
        <v>1249</v>
      </c>
    </row>
    <row r="26" spans="2:12" x14ac:dyDescent="0.25">
      <c r="B26" s="22" t="s">
        <v>51</v>
      </c>
      <c r="C26" s="9" t="str">
        <f>C50</f>
        <v>Year 0</v>
      </c>
      <c r="D26" s="9" t="str">
        <f t="shared" ref="D26:H26" si="1">D50</f>
        <v>Year 1</v>
      </c>
      <c r="E26" s="9" t="str">
        <f t="shared" si="1"/>
        <v>Year 2</v>
      </c>
      <c r="F26" s="9" t="str">
        <f t="shared" si="1"/>
        <v>Year 3</v>
      </c>
      <c r="G26" s="9" t="str">
        <f t="shared" si="1"/>
        <v>Year 4</v>
      </c>
      <c r="H26" s="9" t="str">
        <f t="shared" si="1"/>
        <v>Year 5</v>
      </c>
    </row>
    <row r="27" spans="2:12" x14ac:dyDescent="0.25">
      <c r="B27" t="s">
        <v>52</v>
      </c>
      <c r="C27" s="29">
        <v>4</v>
      </c>
      <c r="D27" s="24">
        <f>C27*(1+D28)</f>
        <v>4.4000000000000004</v>
      </c>
      <c r="E27" s="24">
        <f t="shared" ref="E27:H27" si="2">D27*(1+E28)</f>
        <v>4.7960000000000012</v>
      </c>
      <c r="F27" s="24">
        <f t="shared" si="2"/>
        <v>5.1796800000000012</v>
      </c>
      <c r="G27" s="24">
        <f t="shared" si="2"/>
        <v>5.5422576000000019</v>
      </c>
      <c r="H27" s="24">
        <f t="shared" si="2"/>
        <v>5.8747930560000023</v>
      </c>
    </row>
    <row r="28" spans="2:12" x14ac:dyDescent="0.25">
      <c r="B28" s="14" t="s">
        <v>53</v>
      </c>
      <c r="D28" s="25">
        <v>0.1</v>
      </c>
      <c r="E28" s="25">
        <f>D28-1%</f>
        <v>9.0000000000000011E-2</v>
      </c>
      <c r="F28" s="25">
        <f t="shared" ref="F28:H28" si="3">E28-1%</f>
        <v>8.0000000000000016E-2</v>
      </c>
      <c r="G28" s="25">
        <f>F28-1%</f>
        <v>7.0000000000000021E-2</v>
      </c>
      <c r="H28" s="25">
        <f t="shared" si="3"/>
        <v>6.0000000000000019E-2</v>
      </c>
      <c r="K28" t="s">
        <v>66</v>
      </c>
      <c r="L28" t="s">
        <v>67</v>
      </c>
    </row>
    <row r="30" spans="2:12" x14ac:dyDescent="0.25">
      <c r="B30" t="s">
        <v>54</v>
      </c>
      <c r="C30" s="24">
        <f>C51/C27</f>
        <v>125</v>
      </c>
      <c r="D30" s="24">
        <f>C30*(1+D31)</f>
        <v>131.25</v>
      </c>
      <c r="E30" s="24">
        <f t="shared" ref="E30:H30" si="4">D30*(1+E31)</f>
        <v>137.15625</v>
      </c>
      <c r="F30" s="24">
        <f t="shared" si="4"/>
        <v>142.64250000000001</v>
      </c>
      <c r="G30" s="24">
        <f t="shared" si="4"/>
        <v>147.63498749999999</v>
      </c>
      <c r="H30" s="24">
        <f t="shared" si="4"/>
        <v>152.064037125</v>
      </c>
    </row>
    <row r="31" spans="2:12" x14ac:dyDescent="0.25">
      <c r="B31" s="14" t="s">
        <v>55</v>
      </c>
      <c r="D31" s="25">
        <v>0.05</v>
      </c>
      <c r="E31" s="25">
        <f>D31-0.5%</f>
        <v>4.5000000000000005E-2</v>
      </c>
      <c r="F31" s="25">
        <f t="shared" ref="F31:H31" si="5">E31-0.5%</f>
        <v>4.0000000000000008E-2</v>
      </c>
      <c r="G31" s="25">
        <f t="shared" si="5"/>
        <v>3.500000000000001E-2</v>
      </c>
      <c r="H31" s="25">
        <f t="shared" si="5"/>
        <v>3.0000000000000009E-2</v>
      </c>
    </row>
    <row r="33" spans="2:8" x14ac:dyDescent="0.25">
      <c r="B33" t="s">
        <v>56</v>
      </c>
      <c r="C33" s="29">
        <v>8</v>
      </c>
      <c r="D33" s="24">
        <f>D27/D34</f>
        <v>8.8000000000000007</v>
      </c>
      <c r="E33" s="24">
        <f t="shared" ref="E33:H33" si="6">E27/E34</f>
        <v>9.5920000000000023</v>
      </c>
      <c r="F33" s="24">
        <f t="shared" si="6"/>
        <v>10.359360000000002</v>
      </c>
      <c r="G33" s="24">
        <f t="shared" si="6"/>
        <v>11.084515200000004</v>
      </c>
      <c r="H33" s="24">
        <f t="shared" si="6"/>
        <v>11.749586112000005</v>
      </c>
    </row>
    <row r="34" spans="2:8" x14ac:dyDescent="0.25">
      <c r="B34" t="s">
        <v>57</v>
      </c>
      <c r="C34">
        <f>C27/C33</f>
        <v>0.5</v>
      </c>
      <c r="D34">
        <f>C34</f>
        <v>0.5</v>
      </c>
      <c r="E34">
        <f t="shared" ref="E34:H34" si="7">D34</f>
        <v>0.5</v>
      </c>
      <c r="F34">
        <f t="shared" si="7"/>
        <v>0.5</v>
      </c>
      <c r="G34">
        <f t="shared" si="7"/>
        <v>0.5</v>
      </c>
      <c r="H34">
        <f t="shared" si="7"/>
        <v>0.5</v>
      </c>
    </row>
    <row r="36" spans="2:8" x14ac:dyDescent="0.25">
      <c r="B36" t="s">
        <v>59</v>
      </c>
      <c r="C36" s="30">
        <v>2</v>
      </c>
    </row>
    <row r="37" spans="2:8" x14ac:dyDescent="0.25">
      <c r="B37" t="s">
        <v>58</v>
      </c>
      <c r="C37" s="30">
        <v>25</v>
      </c>
    </row>
    <row r="39" spans="2:8" x14ac:dyDescent="0.25">
      <c r="B39" t="s">
        <v>60</v>
      </c>
      <c r="D39" s="24">
        <f>C33*$C$36+(D33-C33)*$C$37</f>
        <v>36.000000000000014</v>
      </c>
      <c r="E39" s="24">
        <f t="shared" ref="E39:H39" si="8">D33*$C$36+(E33-D33)*$C$37</f>
        <v>37.400000000000041</v>
      </c>
      <c r="F39" s="24">
        <f t="shared" si="8"/>
        <v>38.368000000000009</v>
      </c>
      <c r="G39" s="24">
        <f t="shared" si="8"/>
        <v>38.847600000000043</v>
      </c>
      <c r="H39" s="24">
        <f t="shared" si="8"/>
        <v>38.79580320000003</v>
      </c>
    </row>
    <row r="40" spans="2:8" x14ac:dyDescent="0.25">
      <c r="B40" s="14" t="s">
        <v>61</v>
      </c>
      <c r="D40" s="26">
        <f>D39/D51</f>
        <v>6.2337662337662365E-2</v>
      </c>
      <c r="E40" s="26">
        <f t="shared" ref="E40:H40" si="9">E39/E51</f>
        <v>5.6856068444673037E-2</v>
      </c>
      <c r="F40" s="26">
        <f t="shared" si="9"/>
        <v>5.1929876491279996E-2</v>
      </c>
      <c r="G40" s="26">
        <f t="shared" si="9"/>
        <v>4.7477538441844817E-2</v>
      </c>
      <c r="H40" s="26">
        <f t="shared" si="9"/>
        <v>4.3427582943080849E-2</v>
      </c>
    </row>
    <row r="42" spans="2:8" x14ac:dyDescent="0.25">
      <c r="B42" t="s">
        <v>62</v>
      </c>
      <c r="C42" s="26">
        <v>0.5</v>
      </c>
      <c r="D42" s="26">
        <f>C42-1%</f>
        <v>0.49</v>
      </c>
      <c r="E42" s="26">
        <f t="shared" ref="E42:H42" si="10">D42-1%</f>
        <v>0.48</v>
      </c>
      <c r="F42" s="26">
        <f t="shared" si="10"/>
        <v>0.47</v>
      </c>
      <c r="G42" s="26">
        <f t="shared" si="10"/>
        <v>0.45999999999999996</v>
      </c>
      <c r="H42" s="26">
        <f t="shared" si="10"/>
        <v>0.44999999999999996</v>
      </c>
    </row>
    <row r="43" spans="2:8" x14ac:dyDescent="0.25">
      <c r="B43" t="s">
        <v>63</v>
      </c>
      <c r="C43" s="24">
        <f>C51*(1-C42)</f>
        <v>250</v>
      </c>
      <c r="D43" s="24">
        <f t="shared" ref="D43:H43" si="11">D51*(1-D42)</f>
        <v>294.52499999999998</v>
      </c>
      <c r="E43" s="24">
        <f t="shared" si="11"/>
        <v>342.05671500000005</v>
      </c>
      <c r="F43" s="24">
        <f t="shared" si="11"/>
        <v>391.58652733200017</v>
      </c>
      <c r="G43" s="24">
        <f t="shared" si="11"/>
        <v>441.84481100880134</v>
      </c>
      <c r="H43" s="24">
        <f t="shared" si="11"/>
        <v>491.33961215310211</v>
      </c>
    </row>
    <row r="44" spans="2:8" x14ac:dyDescent="0.25">
      <c r="B44" t="s">
        <v>64</v>
      </c>
      <c r="C44" s="24">
        <f>(C51-C54)-C43</f>
        <v>150</v>
      </c>
      <c r="D44" s="24">
        <f>C44*(1+D31)</f>
        <v>157.5</v>
      </c>
      <c r="E44" s="24">
        <f t="shared" ref="E44:H44" si="12">D44*(1+E31)</f>
        <v>164.58749999999998</v>
      </c>
      <c r="F44" s="24">
        <f t="shared" si="12"/>
        <v>171.17099999999999</v>
      </c>
      <c r="G44" s="24">
        <f t="shared" si="12"/>
        <v>177.16198499999999</v>
      </c>
      <c r="H44" s="24">
        <f t="shared" si="12"/>
        <v>182.47684454999998</v>
      </c>
    </row>
    <row r="46" spans="2:8" x14ac:dyDescent="0.25">
      <c r="B46" t="s">
        <v>65</v>
      </c>
      <c r="C46" s="29">
        <v>20</v>
      </c>
      <c r="D46" s="24">
        <f>D47*D51</f>
        <v>23.1</v>
      </c>
      <c r="E46" s="24">
        <f t="shared" ref="E46:H46" si="13">E47*E51</f>
        <v>24.338650875000003</v>
      </c>
      <c r="F46" s="24">
        <f t="shared" si="13"/>
        <v>25.120645149600012</v>
      </c>
      <c r="G46" s="24">
        <f t="shared" si="13"/>
        <v>25.365165076431186</v>
      </c>
      <c r="H46" s="24">
        <f t="shared" si="13"/>
        <v>25.013652982339742</v>
      </c>
    </row>
    <row r="47" spans="2:8" x14ac:dyDescent="0.25">
      <c r="B47" s="14" t="s">
        <v>61</v>
      </c>
      <c r="C47" s="26">
        <f>C46/C51</f>
        <v>0.04</v>
      </c>
      <c r="D47" s="26">
        <v>0.04</v>
      </c>
      <c r="E47" s="26">
        <v>3.6999999999999998E-2</v>
      </c>
      <c r="F47" s="26">
        <v>3.4000000000000002E-2</v>
      </c>
      <c r="G47" s="26">
        <v>3.1E-2</v>
      </c>
      <c r="H47" s="26">
        <v>2.8000000000000001E-2</v>
      </c>
    </row>
    <row r="50" spans="2:8" x14ac:dyDescent="0.25">
      <c r="B50" s="22" t="s">
        <v>29</v>
      </c>
      <c r="C50" s="9" t="s">
        <v>30</v>
      </c>
      <c r="D50" s="9" t="s">
        <v>31</v>
      </c>
      <c r="E50" s="9" t="s">
        <v>32</v>
      </c>
      <c r="F50" s="9" t="s">
        <v>33</v>
      </c>
      <c r="G50" s="9" t="s">
        <v>34</v>
      </c>
      <c r="H50" s="9" t="s">
        <v>35</v>
      </c>
    </row>
    <row r="51" spans="2:8" x14ac:dyDescent="0.25">
      <c r="B51" t="s">
        <v>36</v>
      </c>
      <c r="C51" s="4">
        <f>C4</f>
        <v>500</v>
      </c>
      <c r="D51" s="24">
        <f>D27*D30</f>
        <v>577.5</v>
      </c>
      <c r="E51" s="24">
        <f t="shared" ref="E51:H51" si="14">E27*E30</f>
        <v>657.80137500000012</v>
      </c>
      <c r="F51" s="24">
        <f t="shared" si="14"/>
        <v>738.84250440000028</v>
      </c>
      <c r="G51" s="24">
        <f t="shared" si="14"/>
        <v>818.23113149778021</v>
      </c>
      <c r="H51" s="24">
        <f t="shared" si="14"/>
        <v>893.34474936927654</v>
      </c>
    </row>
    <row r="52" spans="2:8" x14ac:dyDescent="0.25">
      <c r="B52" s="14" t="s">
        <v>37</v>
      </c>
      <c r="D52" s="26">
        <f>D51/C51-1</f>
        <v>0.15500000000000003</v>
      </c>
      <c r="E52" s="26">
        <f t="shared" ref="E52:H52" si="15">E51/D51-1</f>
        <v>0.13905000000000012</v>
      </c>
      <c r="F52" s="26">
        <f t="shared" si="15"/>
        <v>0.1232000000000002</v>
      </c>
      <c r="G52" s="26">
        <f t="shared" si="15"/>
        <v>0.10744999999999982</v>
      </c>
      <c r="H52" s="26">
        <f t="shared" si="15"/>
        <v>9.1800000000000104E-2</v>
      </c>
    </row>
    <row r="54" spans="2:8" x14ac:dyDescent="0.25">
      <c r="B54" t="s">
        <v>38</v>
      </c>
      <c r="C54" s="4">
        <f>C6</f>
        <v>100</v>
      </c>
      <c r="D54" s="24">
        <f>D51-D44-D43</f>
        <v>125.47500000000002</v>
      </c>
      <c r="E54" s="24">
        <f t="shared" ref="E54:H54" si="16">E51-E44-E43</f>
        <v>151.15716000000009</v>
      </c>
      <c r="F54" s="24">
        <f t="shared" si="16"/>
        <v>176.08497706800006</v>
      </c>
      <c r="G54" s="24">
        <f t="shared" si="16"/>
        <v>199.22433548897891</v>
      </c>
      <c r="H54" s="24">
        <f t="shared" si="16"/>
        <v>219.52829266617442</v>
      </c>
    </row>
    <row r="55" spans="2:8" x14ac:dyDescent="0.25">
      <c r="B55" s="14" t="s">
        <v>39</v>
      </c>
      <c r="C55" s="26">
        <f>C54/C51</f>
        <v>0.2</v>
      </c>
      <c r="D55" s="26">
        <f t="shared" ref="D55:H55" si="17">D54/D51</f>
        <v>0.21727272727272731</v>
      </c>
      <c r="E55" s="26">
        <f t="shared" si="17"/>
        <v>0.22979149291075907</v>
      </c>
      <c r="F55" s="26">
        <f>F54/F51</f>
        <v>0.23832545639885089</v>
      </c>
      <c r="G55" s="26">
        <f t="shared" si="17"/>
        <v>0.24348173495219716</v>
      </c>
      <c r="H55" s="26">
        <f t="shared" si="17"/>
        <v>0.24573748580395957</v>
      </c>
    </row>
    <row r="57" spans="2:8" x14ac:dyDescent="0.25">
      <c r="B57" t="s">
        <v>40</v>
      </c>
      <c r="C57" s="31">
        <f>-C46</f>
        <v>-20</v>
      </c>
      <c r="D57" s="31">
        <f t="shared" ref="D57:H57" si="18">-D46</f>
        <v>-23.1</v>
      </c>
      <c r="E57" s="31">
        <f t="shared" si="18"/>
        <v>-24.338650875000003</v>
      </c>
      <c r="F57" s="31">
        <f t="shared" si="18"/>
        <v>-25.120645149600012</v>
      </c>
      <c r="G57" s="31">
        <f t="shared" si="18"/>
        <v>-25.365165076431186</v>
      </c>
      <c r="H57" s="31">
        <f t="shared" si="18"/>
        <v>-25.013652982339742</v>
      </c>
    </row>
    <row r="58" spans="2:8" x14ac:dyDescent="0.25">
      <c r="B58" t="s">
        <v>41</v>
      </c>
      <c r="D58" s="31">
        <f>-SUM(D90:D93)</f>
        <v>-31.5</v>
      </c>
      <c r="E58" s="31">
        <f t="shared" ref="E58:H58" si="19">-SUM(E90:E93)</f>
        <v>-32.663534374999998</v>
      </c>
      <c r="F58" s="31">
        <f t="shared" si="19"/>
        <v>-32.557963906781254</v>
      </c>
      <c r="G58" s="31">
        <f t="shared" si="19"/>
        <v>-31.436484055157422</v>
      </c>
      <c r="H58" s="31">
        <f t="shared" si="19"/>
        <v>-28.431485349687907</v>
      </c>
    </row>
    <row r="60" spans="2:8" x14ac:dyDescent="0.25">
      <c r="B60" t="s">
        <v>42</v>
      </c>
      <c r="D60" s="24">
        <f>D54+SUM(D57:D58)</f>
        <v>70.875000000000028</v>
      </c>
      <c r="E60" s="24">
        <f>E54+SUM(E57:E58)</f>
        <v>94.154974750000093</v>
      </c>
      <c r="F60" s="24">
        <f t="shared" ref="F60:H60" si="20">F54+SUM(F57:F58)</f>
        <v>118.4063680116188</v>
      </c>
      <c r="G60" s="24">
        <f t="shared" si="20"/>
        <v>142.42268635739032</v>
      </c>
      <c r="H60" s="24">
        <f t="shared" si="20"/>
        <v>166.08315433414677</v>
      </c>
    </row>
    <row r="61" spans="2:8" x14ac:dyDescent="0.25">
      <c r="B61" s="14" t="s">
        <v>43</v>
      </c>
      <c r="D61" s="31">
        <f>-D60*$G$16</f>
        <v>-17.718750000000007</v>
      </c>
      <c r="E61" s="31">
        <f t="shared" ref="E61:G61" si="21">-E60*$G$16</f>
        <v>-23.538743687500023</v>
      </c>
      <c r="F61" s="31">
        <f t="shared" si="21"/>
        <v>-29.601592002904699</v>
      </c>
      <c r="G61" s="31">
        <f t="shared" si="21"/>
        <v>-35.60567158934758</v>
      </c>
      <c r="H61" s="31">
        <f>-H60*$G$16</f>
        <v>-41.520788583536692</v>
      </c>
    </row>
    <row r="62" spans="2:8" x14ac:dyDescent="0.25">
      <c r="B62" s="11" t="s">
        <v>44</v>
      </c>
      <c r="C62" s="11"/>
      <c r="D62" s="32">
        <f>SUM(D60:D61)</f>
        <v>53.156250000000021</v>
      </c>
      <c r="E62" s="32">
        <f t="shared" ref="E62:H62" si="22">SUM(E60:E61)</f>
        <v>70.616231062500077</v>
      </c>
      <c r="F62" s="32">
        <f t="shared" si="22"/>
        <v>88.8047760087141</v>
      </c>
      <c r="G62" s="32">
        <f t="shared" si="22"/>
        <v>106.81701476804274</v>
      </c>
      <c r="H62" s="32">
        <f t="shared" si="22"/>
        <v>124.56236575061007</v>
      </c>
    </row>
    <row r="64" spans="2:8" x14ac:dyDescent="0.25">
      <c r="B64" t="s">
        <v>45</v>
      </c>
      <c r="D64" s="24">
        <f>D62</f>
        <v>53.156250000000021</v>
      </c>
      <c r="E64" s="24">
        <f t="shared" ref="E64:H64" si="23">E62</f>
        <v>70.616231062500077</v>
      </c>
      <c r="F64" s="24">
        <f t="shared" si="23"/>
        <v>88.8047760087141</v>
      </c>
      <c r="G64" s="24">
        <f t="shared" si="23"/>
        <v>106.81701476804274</v>
      </c>
      <c r="H64" s="24">
        <f t="shared" si="23"/>
        <v>124.56236575061007</v>
      </c>
    </row>
    <row r="65" spans="2:8" x14ac:dyDescent="0.25">
      <c r="B65" s="14" t="s">
        <v>46</v>
      </c>
      <c r="D65" s="31">
        <f>-D57</f>
        <v>23.1</v>
      </c>
      <c r="E65" s="31">
        <f t="shared" ref="E65:H65" si="24">-E57</f>
        <v>24.338650875000003</v>
      </c>
      <c r="F65" s="31">
        <f t="shared" si="24"/>
        <v>25.120645149600012</v>
      </c>
      <c r="G65" s="31">
        <f t="shared" si="24"/>
        <v>25.365165076431186</v>
      </c>
      <c r="H65" s="31">
        <f t="shared" si="24"/>
        <v>25.013652982339742</v>
      </c>
    </row>
    <row r="66" spans="2:8" x14ac:dyDescent="0.25">
      <c r="B66" s="14" t="s">
        <v>47</v>
      </c>
      <c r="D66" s="24">
        <f>SUM(D92:D93)</f>
        <v>15</v>
      </c>
      <c r="E66" s="24">
        <f t="shared" ref="E66:H66" si="25">SUM(E92:E93)</f>
        <v>16.25</v>
      </c>
      <c r="F66" s="24">
        <f t="shared" si="25"/>
        <v>17.612500000000001</v>
      </c>
      <c r="G66" s="24">
        <f t="shared" si="25"/>
        <v>19.098125000000003</v>
      </c>
      <c r="H66" s="24">
        <f t="shared" si="25"/>
        <v>20.718531249999998</v>
      </c>
    </row>
    <row r="67" spans="2:8" x14ac:dyDescent="0.25">
      <c r="B67" s="14" t="s">
        <v>48</v>
      </c>
      <c r="D67" s="31">
        <f>(C51-D51)*$G$12+(C51-D51)*$G$13+(D51-C51)*$G$14</f>
        <v>-11.625</v>
      </c>
      <c r="E67" s="31">
        <f t="shared" ref="E67:G67" si="26">(D51-E51)*$G$12+(D51-E51)*$G$13+(E51-D51)*$G$14</f>
        <v>-12.045206250000021</v>
      </c>
      <c r="F67" s="31">
        <f t="shared" si="26"/>
        <v>-12.156169410000027</v>
      </c>
      <c r="G67" s="31">
        <f t="shared" si="26"/>
        <v>-11.90829406466699</v>
      </c>
      <c r="H67" s="31">
        <f>(G51-H51)*$G$12+(G51-H51)*$G$13+(H51-G51)*$G$14</f>
        <v>-11.267042680724453</v>
      </c>
    </row>
    <row r="68" spans="2:8" x14ac:dyDescent="0.25">
      <c r="B68" s="14" t="s">
        <v>49</v>
      </c>
      <c r="D68" s="31">
        <f>-D39</f>
        <v>-36.000000000000014</v>
      </c>
      <c r="E68" s="31">
        <f t="shared" ref="E68:H68" si="27">-E39</f>
        <v>-37.400000000000041</v>
      </c>
      <c r="F68" s="31">
        <f t="shared" si="27"/>
        <v>-38.368000000000009</v>
      </c>
      <c r="G68" s="31">
        <f t="shared" si="27"/>
        <v>-38.847600000000043</v>
      </c>
      <c r="H68" s="31">
        <f t="shared" si="27"/>
        <v>-38.79580320000003</v>
      </c>
    </row>
    <row r="69" spans="2:8" x14ac:dyDescent="0.25">
      <c r="B69" s="23" t="s">
        <v>50</v>
      </c>
      <c r="C69" s="11"/>
      <c r="D69" s="32">
        <f>SUM(D64:D68)</f>
        <v>43.631250000000009</v>
      </c>
      <c r="E69" s="32">
        <f t="shared" ref="E69:H69" si="28">SUM(E64:E68)</f>
        <v>61.759675687500014</v>
      </c>
      <c r="F69" s="32">
        <f t="shared" si="28"/>
        <v>81.013751748314064</v>
      </c>
      <c r="G69" s="32">
        <f t="shared" si="28"/>
        <v>100.5244107798069</v>
      </c>
      <c r="H69" s="32">
        <f t="shared" si="28"/>
        <v>120.23170410222536</v>
      </c>
    </row>
    <row r="71" spans="2:8" x14ac:dyDescent="0.25">
      <c r="B71" s="14" t="s">
        <v>68</v>
      </c>
      <c r="D71" s="31">
        <f>-MIN(D85*$C$81,C81)</f>
        <v>-15</v>
      </c>
      <c r="E71" s="31">
        <f t="shared" ref="E71:H71" si="29">-MIN(E85*$C$81,D81)</f>
        <v>-30</v>
      </c>
      <c r="F71" s="31">
        <f t="shared" si="29"/>
        <v>-30</v>
      </c>
      <c r="G71" s="31">
        <f t="shared" si="29"/>
        <v>-45</v>
      </c>
      <c r="H71" s="31">
        <f>-MIN(H85*$C$81,G81)</f>
        <v>-60</v>
      </c>
    </row>
    <row r="72" spans="2:8" x14ac:dyDescent="0.25">
      <c r="B72" s="14" t="s">
        <v>69</v>
      </c>
      <c r="D72">
        <f>G21</f>
        <v>25</v>
      </c>
      <c r="E72" s="31">
        <f>D78</f>
        <v>39.315625000000004</v>
      </c>
      <c r="F72" s="31">
        <f t="shared" ref="F72:H72" si="30">E78</f>
        <v>49.975150343750009</v>
      </c>
      <c r="G72" s="31">
        <f t="shared" si="30"/>
        <v>66.939485421032046</v>
      </c>
      <c r="H72" s="31">
        <f t="shared" si="30"/>
        <v>79.703010710419477</v>
      </c>
    </row>
    <row r="73" spans="2:8" x14ac:dyDescent="0.25">
      <c r="B73" s="14" t="s">
        <v>70</v>
      </c>
      <c r="D73" s="31">
        <f>-C51*$G$10</f>
        <v>-25</v>
      </c>
      <c r="E73" s="31">
        <f t="shared" ref="E73:H73" si="31">-D51*$G$10</f>
        <v>-28.875</v>
      </c>
      <c r="F73" s="31">
        <f t="shared" si="31"/>
        <v>-32.890068750000005</v>
      </c>
      <c r="G73" s="31">
        <f t="shared" si="31"/>
        <v>-36.942125220000015</v>
      </c>
      <c r="H73" s="31">
        <f t="shared" si="31"/>
        <v>-40.911556574889012</v>
      </c>
    </row>
    <row r="74" spans="2:8" x14ac:dyDescent="0.25">
      <c r="B74" s="14" t="s">
        <v>71</v>
      </c>
      <c r="D74" s="31">
        <f>D69</f>
        <v>43.631250000000009</v>
      </c>
      <c r="E74" s="31">
        <f t="shared" ref="E74:H74" si="32">E69</f>
        <v>61.759675687500014</v>
      </c>
      <c r="F74" s="31">
        <f t="shared" si="32"/>
        <v>81.013751748314064</v>
      </c>
      <c r="G74" s="31">
        <f t="shared" si="32"/>
        <v>100.5244107798069</v>
      </c>
      <c r="H74" s="31">
        <f t="shared" si="32"/>
        <v>120.23170410222536</v>
      </c>
    </row>
    <row r="75" spans="2:8" x14ac:dyDescent="0.25">
      <c r="B75" s="23" t="s">
        <v>72</v>
      </c>
      <c r="C75" s="11"/>
      <c r="D75" s="32">
        <f>SUM(D71:D74)</f>
        <v>28.631250000000009</v>
      </c>
      <c r="E75" s="32">
        <f t="shared" ref="E75:H75" si="33">SUM(E71:E74)</f>
        <v>42.200300687500018</v>
      </c>
      <c r="F75" s="32">
        <f t="shared" si="33"/>
        <v>68.098833342064069</v>
      </c>
      <c r="G75" s="32">
        <f t="shared" si="33"/>
        <v>85.521770980838937</v>
      </c>
      <c r="H75" s="32">
        <f t="shared" si="33"/>
        <v>99.023158237755837</v>
      </c>
    </row>
    <row r="77" spans="2:8" x14ac:dyDescent="0.25">
      <c r="B77" s="14" t="s">
        <v>73</v>
      </c>
      <c r="D77" s="31">
        <f>-MIN(D75*$K$6,C81+D71)</f>
        <v>-14.315625000000004</v>
      </c>
      <c r="E77" s="31">
        <f t="shared" ref="E77:H77" si="34">-MIN(E75*$K$6,D81+E71)</f>
        <v>-21.100150343750009</v>
      </c>
      <c r="F77" s="31">
        <f t="shared" si="34"/>
        <v>-34.049416671032034</v>
      </c>
      <c r="G77" s="31">
        <f t="shared" si="34"/>
        <v>-42.760885490419469</v>
      </c>
      <c r="H77" s="31">
        <f t="shared" si="34"/>
        <v>-7.7739224947984553</v>
      </c>
    </row>
    <row r="78" spans="2:8" x14ac:dyDescent="0.25">
      <c r="B78" s="14" t="s">
        <v>74</v>
      </c>
      <c r="D78" s="31">
        <f>D71+D72+D74+D77</f>
        <v>39.315625000000004</v>
      </c>
      <c r="E78" s="31">
        <f t="shared" ref="E78:H78" si="35">E71+E72+E74+E77</f>
        <v>49.975150343750009</v>
      </c>
      <c r="F78" s="31">
        <f t="shared" si="35"/>
        <v>66.939485421032046</v>
      </c>
      <c r="G78" s="31">
        <f t="shared" si="35"/>
        <v>79.703010710419477</v>
      </c>
      <c r="H78" s="31">
        <f t="shared" si="35"/>
        <v>132.16079231784639</v>
      </c>
    </row>
    <row r="80" spans="2:8" x14ac:dyDescent="0.25">
      <c r="B80" s="7" t="s">
        <v>75</v>
      </c>
    </row>
    <row r="81" spans="2:8" x14ac:dyDescent="0.25">
      <c r="B81" s="13" t="s">
        <v>15</v>
      </c>
      <c r="C81" s="31">
        <f>C19</f>
        <v>300</v>
      </c>
      <c r="D81" s="31">
        <f>C81+D71+D77</f>
        <v>270.68437499999999</v>
      </c>
      <c r="E81" s="31">
        <f t="shared" ref="E81:H81" si="36">D81+E71+E77</f>
        <v>219.58422465624997</v>
      </c>
      <c r="F81" s="31">
        <f t="shared" si="36"/>
        <v>155.53480798521792</v>
      </c>
      <c r="G81" s="31">
        <f t="shared" si="36"/>
        <v>67.773922494798455</v>
      </c>
      <c r="H81" s="31">
        <f t="shared" si="36"/>
        <v>0</v>
      </c>
    </row>
    <row r="82" spans="2:8" x14ac:dyDescent="0.25">
      <c r="B82" s="14" t="s">
        <v>16</v>
      </c>
      <c r="C82" s="31">
        <f>C20</f>
        <v>100</v>
      </c>
      <c r="D82" s="31">
        <f>C82+D92</f>
        <v>105</v>
      </c>
      <c r="E82" s="31">
        <f>D82+E92</f>
        <v>110.25</v>
      </c>
      <c r="F82" s="31">
        <f t="shared" ref="E82:H82" si="37">E82+F92</f>
        <v>115.7625</v>
      </c>
      <c r="G82" s="31">
        <f t="shared" si="37"/>
        <v>121.550625</v>
      </c>
      <c r="H82" s="31">
        <f t="shared" si="37"/>
        <v>127.62815624999999</v>
      </c>
    </row>
    <row r="83" spans="2:8" x14ac:dyDescent="0.25">
      <c r="B83" s="15" t="s">
        <v>17</v>
      </c>
      <c r="C83" s="31">
        <f>C21</f>
        <v>100</v>
      </c>
      <c r="D83" s="31">
        <f>C83+D93</f>
        <v>110</v>
      </c>
      <c r="E83" s="31">
        <f t="shared" ref="E83:H83" si="38">D83+E93</f>
        <v>121</v>
      </c>
      <c r="F83" s="31">
        <f t="shared" si="38"/>
        <v>133.1</v>
      </c>
      <c r="G83" s="31">
        <f t="shared" si="38"/>
        <v>146.41</v>
      </c>
      <c r="H83" s="31">
        <f t="shared" si="38"/>
        <v>161.05099999999999</v>
      </c>
    </row>
    <row r="85" spans="2:8" x14ac:dyDescent="0.25">
      <c r="B85" s="14" t="s">
        <v>76</v>
      </c>
      <c r="D85" s="26">
        <v>0.05</v>
      </c>
      <c r="E85" s="26">
        <v>0.1</v>
      </c>
      <c r="F85" s="26">
        <v>0.1</v>
      </c>
      <c r="G85" s="26">
        <v>0.15</v>
      </c>
      <c r="H85" s="26">
        <v>0.2</v>
      </c>
    </row>
    <row r="87" spans="2:8" x14ac:dyDescent="0.25">
      <c r="B87" s="7" t="s">
        <v>77</v>
      </c>
    </row>
    <row r="88" spans="2:8" x14ac:dyDescent="0.25">
      <c r="B88" s="14" t="s">
        <v>78</v>
      </c>
      <c r="D88" s="26">
        <v>1.4999999999999999E-2</v>
      </c>
      <c r="E88" s="26">
        <v>1.9E-2</v>
      </c>
      <c r="F88" s="26">
        <v>2.3E-2</v>
      </c>
      <c r="G88" s="26">
        <v>2.7E-2</v>
      </c>
      <c r="H88" s="26">
        <v>0.03</v>
      </c>
    </row>
    <row r="90" spans="2:8" x14ac:dyDescent="0.25">
      <c r="B90" s="13" t="s">
        <v>79</v>
      </c>
      <c r="D90" s="31">
        <f>C81*(D88+$J$6)</f>
        <v>13.5</v>
      </c>
      <c r="E90" s="31">
        <f>D81*(E88+$J$6)</f>
        <v>13.263534375000001</v>
      </c>
      <c r="F90" s="31">
        <f t="shared" ref="E90:H90" si="39">E81*(F88+$J$6)</f>
        <v>11.637963906781248</v>
      </c>
      <c r="G90" s="31">
        <f t="shared" si="39"/>
        <v>8.8654840551574203</v>
      </c>
      <c r="H90" s="31">
        <f t="shared" si="39"/>
        <v>4.0664353496879073</v>
      </c>
    </row>
    <row r="91" spans="2:8" x14ac:dyDescent="0.25">
      <c r="B91" s="14" t="s">
        <v>80</v>
      </c>
      <c r="D91" s="24">
        <f>C82*$H$7</f>
        <v>3</v>
      </c>
      <c r="E91" s="24">
        <f>D82*$H$7</f>
        <v>3.15</v>
      </c>
      <c r="F91" s="24">
        <f>E82*$H$7</f>
        <v>3.3074999999999997</v>
      </c>
      <c r="G91" s="24">
        <f>F82*$H$7</f>
        <v>3.4728750000000002</v>
      </c>
      <c r="H91" s="24">
        <f t="shared" ref="E91:H91" si="40">G82*$H$7</f>
        <v>3.6465187499999998</v>
      </c>
    </row>
    <row r="92" spans="2:8" x14ac:dyDescent="0.25">
      <c r="B92" s="14" t="s">
        <v>81</v>
      </c>
      <c r="D92" s="24">
        <f>C82*$I$7</f>
        <v>5</v>
      </c>
      <c r="E92" s="24">
        <f t="shared" ref="E92:H92" si="41">D82*$I$7</f>
        <v>5.25</v>
      </c>
      <c r="F92" s="24">
        <f t="shared" si="41"/>
        <v>5.5125000000000002</v>
      </c>
      <c r="G92" s="24">
        <f t="shared" si="41"/>
        <v>5.7881250000000009</v>
      </c>
      <c r="H92" s="24">
        <f t="shared" si="41"/>
        <v>6.0775312499999998</v>
      </c>
    </row>
    <row r="93" spans="2:8" x14ac:dyDescent="0.25">
      <c r="B93" s="15" t="s">
        <v>82</v>
      </c>
      <c r="D93" s="24">
        <f>C83*$I$8</f>
        <v>10</v>
      </c>
      <c r="E93" s="24">
        <f t="shared" ref="E93:H93" si="42">D83*$I$8</f>
        <v>11</v>
      </c>
      <c r="F93" s="24">
        <f t="shared" si="42"/>
        <v>12.100000000000001</v>
      </c>
      <c r="G93" s="24">
        <f t="shared" si="42"/>
        <v>13.31</v>
      </c>
      <c r="H93" s="24">
        <f t="shared" si="42"/>
        <v>14.641</v>
      </c>
    </row>
    <row r="95" spans="2:8" x14ac:dyDescent="0.25">
      <c r="B95" s="7" t="s">
        <v>83</v>
      </c>
      <c r="D95" s="31">
        <f>IF(D$50=$C$16,D54*$C$15,0)</f>
        <v>0</v>
      </c>
      <c r="E95" s="31">
        <f t="shared" ref="E95:H95" si="43">IF(E$50=$C$16,E54*$C$15,0)</f>
        <v>0</v>
      </c>
      <c r="F95" s="31">
        <f t="shared" si="43"/>
        <v>0</v>
      </c>
      <c r="G95" s="31">
        <f t="shared" si="43"/>
        <v>0</v>
      </c>
      <c r="H95" s="31">
        <f t="shared" si="43"/>
        <v>2195.2829266617441</v>
      </c>
    </row>
    <row r="96" spans="2:8" x14ac:dyDescent="0.25">
      <c r="B96" s="14" t="s">
        <v>84</v>
      </c>
      <c r="D96" s="31">
        <f>IF(D$50=$C$16,-SUM(D81:D83),0)</f>
        <v>0</v>
      </c>
      <c r="E96" s="31">
        <f t="shared" ref="E96:H96" si="44">IF(E$50=$C$16,-SUM(E81:E83),0)</f>
        <v>0</v>
      </c>
      <c r="F96" s="31">
        <f t="shared" si="44"/>
        <v>0</v>
      </c>
      <c r="G96" s="31">
        <f t="shared" si="44"/>
        <v>0</v>
      </c>
      <c r="H96" s="31">
        <f t="shared" si="44"/>
        <v>-288.67915625000001</v>
      </c>
    </row>
    <row r="97" spans="2:14" x14ac:dyDescent="0.25">
      <c r="B97" s="14" t="s">
        <v>85</v>
      </c>
      <c r="D97" s="31">
        <f>IF(D$50=$C$16,D78,0)</f>
        <v>0</v>
      </c>
      <c r="E97" s="31">
        <f t="shared" ref="E97:H97" si="45">IF(E$50=$C$16,E78,0)</f>
        <v>0</v>
      </c>
      <c r="F97" s="31">
        <f t="shared" si="45"/>
        <v>0</v>
      </c>
      <c r="G97" s="31">
        <f t="shared" si="45"/>
        <v>0</v>
      </c>
      <c r="H97" s="31">
        <f t="shared" si="45"/>
        <v>132.16079231784639</v>
      </c>
    </row>
    <row r="98" spans="2:14" x14ac:dyDescent="0.25">
      <c r="B98" s="23" t="s">
        <v>86</v>
      </c>
      <c r="C98" s="11"/>
      <c r="D98" s="33">
        <f>SUM(D95:D97)</f>
        <v>0</v>
      </c>
      <c r="E98" s="33">
        <f t="shared" ref="E98:H98" si="46">SUM(E95:E97)</f>
        <v>0</v>
      </c>
      <c r="F98" s="33">
        <f t="shared" si="46"/>
        <v>0</v>
      </c>
      <c r="G98" s="33">
        <f t="shared" si="46"/>
        <v>0</v>
      </c>
      <c r="H98" s="33">
        <f t="shared" si="46"/>
        <v>2038.7645627295906</v>
      </c>
      <c r="N98" t="s">
        <v>92</v>
      </c>
    </row>
    <row r="99" spans="2:14" x14ac:dyDescent="0.25">
      <c r="B99" s="14" t="s">
        <v>87</v>
      </c>
      <c r="D99" s="31">
        <f>IF(D98&gt;$C$22,$C$22*$C$13,0)</f>
        <v>0</v>
      </c>
      <c r="E99" s="31">
        <f t="shared" ref="E99:H99" si="47">IF(E98&gt;$C$22,$C$22*$C$13,0)</f>
        <v>0</v>
      </c>
      <c r="F99" s="31">
        <f t="shared" si="47"/>
        <v>0</v>
      </c>
      <c r="G99" s="31">
        <f t="shared" si="47"/>
        <v>0</v>
      </c>
      <c r="H99" s="31">
        <f t="shared" si="47"/>
        <v>37.450000000000003</v>
      </c>
    </row>
    <row r="100" spans="2:14" x14ac:dyDescent="0.25">
      <c r="B100" s="14" t="s">
        <v>88</v>
      </c>
      <c r="D100" s="31">
        <f>-IF(D99&gt;0,$C$13/(1+$C$13)*SUM(D98:D99),0)</f>
        <v>0</v>
      </c>
      <c r="E100" s="31">
        <f t="shared" ref="E100:H100" si="48">-IF(E99&gt;0,$C$13/(1+$C$13)*SUM(E98:E99),0)</f>
        <v>0</v>
      </c>
      <c r="F100" s="31">
        <f t="shared" si="48"/>
        <v>0</v>
      </c>
      <c r="G100" s="31">
        <f t="shared" si="48"/>
        <v>0</v>
      </c>
      <c r="H100" s="31">
        <f t="shared" si="48"/>
        <v>-98.867360129980483</v>
      </c>
    </row>
    <row r="101" spans="2:14" x14ac:dyDescent="0.25">
      <c r="B101" s="23" t="s">
        <v>89</v>
      </c>
      <c r="C101" s="33">
        <f>-C22</f>
        <v>-749</v>
      </c>
      <c r="D101" s="33">
        <f>SUM(D98:D100)</f>
        <v>0</v>
      </c>
      <c r="E101" s="33">
        <f t="shared" ref="E101:H101" si="49">SUM(E98:E100)</f>
        <v>0</v>
      </c>
      <c r="F101" s="33">
        <f t="shared" si="49"/>
        <v>0</v>
      </c>
      <c r="G101" s="33">
        <f t="shared" si="49"/>
        <v>0</v>
      </c>
      <c r="H101" s="33">
        <f t="shared" si="49"/>
        <v>1977.34720259961</v>
      </c>
    </row>
    <row r="103" spans="2:14" x14ac:dyDescent="0.25">
      <c r="B103" s="7" t="s">
        <v>90</v>
      </c>
      <c r="C103" s="34">
        <f>-SUM(D101:H101)/C101</f>
        <v>2.6399829140181708</v>
      </c>
    </row>
    <row r="104" spans="2:14" x14ac:dyDescent="0.25">
      <c r="B104" s="7" t="s">
        <v>91</v>
      </c>
      <c r="C104" s="35">
        <f>IRR(C101:H101)</f>
        <v>0.21428386200833494</v>
      </c>
    </row>
    <row r="106" spans="2:14" x14ac:dyDescent="0.25">
      <c r="B106" s="7" t="s">
        <v>93</v>
      </c>
      <c r="G106" s="7" t="s">
        <v>95</v>
      </c>
    </row>
    <row r="107" spans="2:14" x14ac:dyDescent="0.25">
      <c r="B107" s="7"/>
      <c r="G107" s="7"/>
    </row>
    <row r="108" spans="2:14" x14ac:dyDescent="0.25">
      <c r="C108" s="36">
        <f>$C$103</f>
        <v>2.6399829140181708</v>
      </c>
      <c r="D108" s="7" t="s">
        <v>34</v>
      </c>
      <c r="E108" s="7" t="s">
        <v>35</v>
      </c>
      <c r="H108" s="36">
        <f>$C$104</f>
        <v>0.21428386200833494</v>
      </c>
      <c r="I108" s="7" t="s">
        <v>34</v>
      </c>
      <c r="J108" s="7" t="s">
        <v>35</v>
      </c>
    </row>
    <row r="109" spans="2:14" x14ac:dyDescent="0.25">
      <c r="B109" s="37" t="s">
        <v>94</v>
      </c>
      <c r="C109" s="34">
        <v>13</v>
      </c>
      <c r="D109" s="27">
        <f t="dataTable" ref="D109:E117" dt2D="1" dtr="1" r1="C16" r2="C15"/>
        <v>3.0152391437120567</v>
      </c>
      <c r="E109" s="27">
        <v>3.4773977248752161</v>
      </c>
      <c r="G109" s="38" t="s">
        <v>94</v>
      </c>
      <c r="H109" s="39">
        <v>13</v>
      </c>
      <c r="I109" s="40">
        <f t="dataTable" ref="I109:J117" dt2D="1" dtr="1" r1="B16" r2="C15" ca="1"/>
        <v>0.28307154353117303</v>
      </c>
      <c r="J109" s="40">
        <v>0.28307154353117303</v>
      </c>
    </row>
    <row r="110" spans="2:14" x14ac:dyDescent="0.25">
      <c r="B110" s="37"/>
      <c r="C110" s="34">
        <f>C109-0.5</f>
        <v>12.5</v>
      </c>
      <c r="D110" s="27">
        <v>2.8885786214353835</v>
      </c>
      <c r="E110" s="27">
        <v>3.3378285897323754</v>
      </c>
      <c r="G110" s="38"/>
      <c r="H110" s="39">
        <f>H109-0.5</f>
        <v>12.5</v>
      </c>
      <c r="I110" s="40">
        <v>0.27260259958011845</v>
      </c>
      <c r="J110" s="40">
        <v>0.27260259958011845</v>
      </c>
    </row>
    <row r="111" spans="2:14" x14ac:dyDescent="0.25">
      <c r="B111" s="37"/>
      <c r="C111" s="34">
        <f t="shared" ref="C111:C117" si="50">C110-0.5</f>
        <v>12</v>
      </c>
      <c r="D111" s="27">
        <v>2.7619180991587107</v>
      </c>
      <c r="E111" s="27">
        <v>3.1982594545895346</v>
      </c>
      <c r="G111" s="38"/>
      <c r="H111" s="39">
        <f t="shared" ref="H111:H117" si="51">H110-0.5</f>
        <v>12</v>
      </c>
      <c r="I111" s="40">
        <v>0.26177738284471808</v>
      </c>
      <c r="J111" s="40">
        <v>0.26177738284471808</v>
      </c>
    </row>
    <row r="112" spans="2:14" x14ac:dyDescent="0.25">
      <c r="B112" s="37"/>
      <c r="C112" s="34">
        <f t="shared" si="50"/>
        <v>11.5</v>
      </c>
      <c r="D112" s="27">
        <v>2.6352575768820379</v>
      </c>
      <c r="E112" s="27">
        <v>3.058690319446693</v>
      </c>
      <c r="G112" s="38"/>
      <c r="H112" s="39">
        <f t="shared" si="51"/>
        <v>11.5</v>
      </c>
      <c r="I112" s="40">
        <v>0.25056739563465946</v>
      </c>
      <c r="J112" s="40">
        <v>0.25056739563465946</v>
      </c>
    </row>
    <row r="113" spans="2:10" x14ac:dyDescent="0.25">
      <c r="B113" s="37"/>
      <c r="C113" s="34">
        <f t="shared" si="50"/>
        <v>11</v>
      </c>
      <c r="D113" s="27">
        <v>2.5085970546053651</v>
      </c>
      <c r="E113" s="27">
        <v>2.9191211843038518</v>
      </c>
      <c r="G113" s="38"/>
      <c r="H113" s="39">
        <f t="shared" si="51"/>
        <v>11</v>
      </c>
      <c r="I113" s="40">
        <v>0.23894042869321019</v>
      </c>
      <c r="J113" s="40">
        <v>0.23894042869321019</v>
      </c>
    </row>
    <row r="114" spans="2:10" x14ac:dyDescent="0.25">
      <c r="B114" s="37"/>
      <c r="C114" s="34">
        <f t="shared" si="50"/>
        <v>10.5</v>
      </c>
      <c r="D114" s="27">
        <v>2.3819365323286923</v>
      </c>
      <c r="E114" s="27">
        <v>2.779552049161012</v>
      </c>
      <c r="G114" s="38"/>
      <c r="H114" s="39">
        <f t="shared" si="51"/>
        <v>10.5</v>
      </c>
      <c r="I114" s="40">
        <v>0.22685987298973087</v>
      </c>
      <c r="J114" s="40">
        <v>0.22685987298973087</v>
      </c>
    </row>
    <row r="115" spans="2:10" x14ac:dyDescent="0.25">
      <c r="B115" s="37"/>
      <c r="C115" s="34">
        <f t="shared" si="50"/>
        <v>10</v>
      </c>
      <c r="D115" s="27">
        <v>2.2552760100520186</v>
      </c>
      <c r="E115" s="27">
        <v>2.6399829140181708</v>
      </c>
      <c r="G115" s="38"/>
      <c r="H115" s="39">
        <f t="shared" si="51"/>
        <v>10</v>
      </c>
      <c r="I115" s="40">
        <v>0.21428386200833494</v>
      </c>
      <c r="J115" s="40">
        <v>0.21428386200833494</v>
      </c>
    </row>
    <row r="116" spans="2:10" x14ac:dyDescent="0.25">
      <c r="B116" s="37"/>
      <c r="C116" s="34">
        <f t="shared" si="50"/>
        <v>9.5</v>
      </c>
      <c r="D116" s="27">
        <v>2.1286154877753454</v>
      </c>
      <c r="E116" s="27">
        <v>2.5004137788753305</v>
      </c>
      <c r="G116" s="38"/>
      <c r="H116" s="39">
        <f t="shared" si="51"/>
        <v>9.5</v>
      </c>
      <c r="I116" s="40">
        <v>0.20116419134279129</v>
      </c>
      <c r="J116" s="40">
        <v>0.20116419134279129</v>
      </c>
    </row>
    <row r="117" spans="2:10" x14ac:dyDescent="0.25">
      <c r="B117" s="37"/>
      <c r="C117" s="34">
        <f t="shared" si="50"/>
        <v>9</v>
      </c>
      <c r="D117" s="27">
        <v>2.0019549654986726</v>
      </c>
      <c r="E117" s="27">
        <v>2.3608446437324893</v>
      </c>
      <c r="G117" s="38"/>
      <c r="H117" s="39">
        <f t="shared" si="51"/>
        <v>9</v>
      </c>
      <c r="I117" s="40">
        <v>0.18744494170350356</v>
      </c>
      <c r="J117" s="40">
        <v>0.18744494170350356</v>
      </c>
    </row>
  </sheetData>
  <mergeCells count="5">
    <mergeCell ref="H4:J4"/>
    <mergeCell ref="E18:F18"/>
    <mergeCell ref="B18:C18"/>
    <mergeCell ref="B109:B117"/>
    <mergeCell ref="G109:G117"/>
  </mergeCells>
  <dataValidations disablePrompts="1" count="1">
    <dataValidation type="list" allowBlank="1" showInputMessage="1" showErrorMessage="1" sqref="C16">
      <formula1>$G$26:$H$26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2026-06-30T11:52:20Z</dcterms:modified>
</cp:coreProperties>
</file>