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2"/>
  </bookViews>
  <sheets>
    <sheet name="DCF&gt;" sheetId="2" r:id="rId1"/>
    <sheet name="WACC" sheetId="1" r:id="rId2"/>
    <sheet name="WACC (2)" sheetId="5" r:id="rId3"/>
    <sheet name="Beta Comps" sheetId="17" r:id="rId4"/>
    <sheet name="Data&gt;" sheetId="3" r:id="rId5"/>
    <sheet name="Beta" sheetId="6" r:id="rId6"/>
    <sheet name="Beta 2" sheetId="7" r:id="rId7"/>
    <sheet name="Beta 3" sheetId="15" r:id="rId8"/>
    <sheet name="Beta 4" sheetId="16" r:id="rId9"/>
    <sheet name="Beta 5" sheetId="14" r:id="rId10"/>
    <sheet name="RM" sheetId="18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3" i="5" l="1"/>
  <c r="K40" i="5"/>
  <c r="K38" i="5"/>
  <c r="K37" i="5"/>
  <c r="K24" i="5"/>
  <c r="K32" i="5"/>
  <c r="K23" i="5"/>
  <c r="E22" i="5"/>
  <c r="E21" i="5"/>
  <c r="K31" i="5"/>
  <c r="K30" i="5"/>
  <c r="D34" i="5"/>
  <c r="E34" i="5"/>
  <c r="E31" i="5"/>
  <c r="E30" i="5"/>
  <c r="K29" i="5"/>
  <c r="E32" i="5"/>
  <c r="D32" i="5"/>
  <c r="D31" i="5"/>
  <c r="D30" i="5"/>
  <c r="C31" i="5"/>
  <c r="F6" i="18"/>
  <c r="P6" i="6"/>
  <c r="I8" i="6" l="1"/>
  <c r="J38" i="1" l="1"/>
  <c r="G16" i="1"/>
  <c r="H10" i="1"/>
  <c r="K10" i="1" s="1"/>
  <c r="K41" i="5" l="1"/>
  <c r="F8" i="18"/>
  <c r="K22" i="5" s="1"/>
  <c r="J17" i="5"/>
  <c r="J16" i="5"/>
  <c r="K11" i="5"/>
  <c r="J14" i="5"/>
  <c r="J13" i="5"/>
  <c r="J12" i="5"/>
  <c r="J11" i="5"/>
  <c r="J10" i="5"/>
  <c r="H11" i="5"/>
  <c r="H10" i="5"/>
  <c r="K10" i="5" s="1"/>
  <c r="F11" i="5"/>
  <c r="F12" i="5"/>
  <c r="F13" i="5"/>
  <c r="F14" i="5"/>
  <c r="I14" i="5" s="1"/>
  <c r="F10" i="5"/>
  <c r="E11" i="5"/>
  <c r="I11" i="5" s="1"/>
  <c r="E12" i="5"/>
  <c r="I12" i="5" s="1"/>
  <c r="E13" i="5"/>
  <c r="H13" i="5" s="1"/>
  <c r="K13" i="5" s="1"/>
  <c r="E14" i="5"/>
  <c r="E10" i="5"/>
  <c r="C30" i="5" s="1"/>
  <c r="M12" i="16"/>
  <c r="P6" i="16"/>
  <c r="I10" i="5" l="1"/>
  <c r="C32" i="5"/>
  <c r="K17" i="5"/>
  <c r="H14" i="5"/>
  <c r="K14" i="5" s="1"/>
  <c r="I13" i="5"/>
  <c r="I16" i="5" s="1"/>
  <c r="H12" i="5"/>
  <c r="K12" i="5" s="1"/>
  <c r="K16" i="5" s="1"/>
  <c r="I17" i="5" l="1"/>
  <c r="D253" i="16" l="1"/>
  <c r="D252" i="16"/>
  <c r="D8" i="16"/>
  <c r="I253" i="16" l="1"/>
  <c r="I252" i="16"/>
  <c r="I251" i="16"/>
  <c r="D251" i="16"/>
  <c r="I250" i="16"/>
  <c r="D250" i="16"/>
  <c r="I249" i="16"/>
  <c r="D249" i="16"/>
  <c r="I248" i="16"/>
  <c r="D248" i="16"/>
  <c r="I247" i="16"/>
  <c r="D247" i="16"/>
  <c r="I246" i="16"/>
  <c r="D246" i="16"/>
  <c r="I245" i="16"/>
  <c r="D245" i="16"/>
  <c r="I244" i="16"/>
  <c r="D244" i="16"/>
  <c r="I243" i="16"/>
  <c r="D243" i="16"/>
  <c r="I242" i="16"/>
  <c r="D242" i="16"/>
  <c r="I241" i="16"/>
  <c r="D241" i="16"/>
  <c r="I240" i="16"/>
  <c r="D240" i="16"/>
  <c r="I239" i="16"/>
  <c r="D239" i="16"/>
  <c r="I238" i="16"/>
  <c r="D238" i="16"/>
  <c r="I237" i="16"/>
  <c r="D237" i="16"/>
  <c r="I236" i="16"/>
  <c r="D236" i="16"/>
  <c r="I235" i="16"/>
  <c r="D235" i="16"/>
  <c r="I234" i="16"/>
  <c r="D234" i="16"/>
  <c r="I233" i="16"/>
  <c r="D233" i="16"/>
  <c r="I232" i="16"/>
  <c r="D232" i="16"/>
  <c r="I231" i="16"/>
  <c r="D231" i="16"/>
  <c r="I230" i="16"/>
  <c r="D230" i="16"/>
  <c r="I229" i="16"/>
  <c r="D229" i="16"/>
  <c r="I228" i="16"/>
  <c r="D228" i="16"/>
  <c r="I227" i="16"/>
  <c r="D227" i="16"/>
  <c r="I226" i="16"/>
  <c r="D226" i="16"/>
  <c r="I225" i="16"/>
  <c r="D225" i="16"/>
  <c r="I224" i="16"/>
  <c r="D224" i="16"/>
  <c r="I223" i="16"/>
  <c r="D223" i="16"/>
  <c r="I222" i="16"/>
  <c r="D222" i="16"/>
  <c r="I221" i="16"/>
  <c r="D221" i="16"/>
  <c r="I220" i="16"/>
  <c r="D220" i="16"/>
  <c r="I219" i="16"/>
  <c r="D219" i="16"/>
  <c r="I218" i="16"/>
  <c r="D218" i="16"/>
  <c r="I217" i="16"/>
  <c r="D217" i="16"/>
  <c r="I216" i="16"/>
  <c r="D216" i="16"/>
  <c r="I215" i="16"/>
  <c r="D215" i="16"/>
  <c r="I214" i="16"/>
  <c r="D214" i="16"/>
  <c r="I213" i="16"/>
  <c r="D213" i="16"/>
  <c r="I212" i="16"/>
  <c r="D212" i="16"/>
  <c r="I211" i="16"/>
  <c r="D211" i="16"/>
  <c r="I210" i="16"/>
  <c r="D210" i="16"/>
  <c r="I209" i="16"/>
  <c r="D209" i="16"/>
  <c r="I208" i="16"/>
  <c r="D208" i="16"/>
  <c r="I207" i="16"/>
  <c r="D207" i="16"/>
  <c r="I206" i="16"/>
  <c r="D206" i="16"/>
  <c r="I205" i="16"/>
  <c r="D205" i="16"/>
  <c r="I204" i="16"/>
  <c r="D204" i="16"/>
  <c r="I203" i="16"/>
  <c r="D203" i="16"/>
  <c r="I202" i="16"/>
  <c r="D202" i="16"/>
  <c r="I201" i="16"/>
  <c r="D201" i="16"/>
  <c r="I200" i="16"/>
  <c r="D200" i="16"/>
  <c r="I199" i="16"/>
  <c r="D199" i="16"/>
  <c r="I198" i="16"/>
  <c r="D198" i="16"/>
  <c r="I197" i="16"/>
  <c r="D197" i="16"/>
  <c r="I196" i="16"/>
  <c r="D196" i="16"/>
  <c r="I195" i="16"/>
  <c r="D195" i="16"/>
  <c r="I194" i="16"/>
  <c r="D194" i="16"/>
  <c r="I193" i="16"/>
  <c r="D193" i="16"/>
  <c r="I192" i="16"/>
  <c r="D192" i="16"/>
  <c r="I191" i="16"/>
  <c r="D191" i="16"/>
  <c r="I190" i="16"/>
  <c r="D190" i="16"/>
  <c r="I189" i="16"/>
  <c r="D189" i="16"/>
  <c r="I188" i="16"/>
  <c r="D188" i="16"/>
  <c r="I187" i="16"/>
  <c r="D187" i="16"/>
  <c r="I186" i="16"/>
  <c r="D186" i="16"/>
  <c r="I185" i="16"/>
  <c r="D185" i="16"/>
  <c r="I184" i="16"/>
  <c r="D184" i="16"/>
  <c r="I183" i="16"/>
  <c r="D183" i="16"/>
  <c r="I182" i="16"/>
  <c r="D182" i="16"/>
  <c r="I181" i="16"/>
  <c r="D181" i="16"/>
  <c r="I180" i="16"/>
  <c r="D180" i="16"/>
  <c r="I179" i="16"/>
  <c r="D179" i="16"/>
  <c r="I178" i="16"/>
  <c r="D178" i="16"/>
  <c r="I177" i="16"/>
  <c r="D177" i="16"/>
  <c r="I176" i="16"/>
  <c r="D176" i="16"/>
  <c r="I175" i="16"/>
  <c r="D175" i="16"/>
  <c r="I174" i="16"/>
  <c r="D174" i="16"/>
  <c r="I173" i="16"/>
  <c r="D173" i="16"/>
  <c r="I172" i="16"/>
  <c r="D172" i="16"/>
  <c r="I171" i="16"/>
  <c r="D171" i="16"/>
  <c r="I170" i="16"/>
  <c r="D170" i="16"/>
  <c r="I169" i="16"/>
  <c r="D169" i="16"/>
  <c r="I168" i="16"/>
  <c r="D168" i="16"/>
  <c r="I167" i="16"/>
  <c r="D167" i="16"/>
  <c r="I166" i="16"/>
  <c r="D166" i="16"/>
  <c r="I165" i="16"/>
  <c r="D165" i="16"/>
  <c r="I164" i="16"/>
  <c r="D164" i="16"/>
  <c r="I163" i="16"/>
  <c r="D163" i="16"/>
  <c r="I162" i="16"/>
  <c r="D162" i="16"/>
  <c r="I161" i="16"/>
  <c r="D161" i="16"/>
  <c r="I160" i="16"/>
  <c r="D160" i="16"/>
  <c r="I159" i="16"/>
  <c r="D159" i="16"/>
  <c r="I158" i="16"/>
  <c r="D158" i="16"/>
  <c r="I157" i="16"/>
  <c r="D157" i="16"/>
  <c r="I156" i="16"/>
  <c r="D156" i="16"/>
  <c r="I155" i="16"/>
  <c r="D155" i="16"/>
  <c r="I154" i="16"/>
  <c r="D154" i="16"/>
  <c r="I153" i="16"/>
  <c r="D153" i="16"/>
  <c r="I152" i="16"/>
  <c r="D152" i="16"/>
  <c r="I151" i="16"/>
  <c r="D151" i="16"/>
  <c r="I150" i="16"/>
  <c r="D150" i="16"/>
  <c r="I149" i="16"/>
  <c r="D149" i="16"/>
  <c r="I148" i="16"/>
  <c r="D148" i="16"/>
  <c r="I147" i="16"/>
  <c r="D147" i="16"/>
  <c r="I146" i="16"/>
  <c r="D146" i="16"/>
  <c r="I145" i="16"/>
  <c r="D145" i="16"/>
  <c r="I144" i="16"/>
  <c r="D144" i="16"/>
  <c r="I143" i="16"/>
  <c r="D143" i="16"/>
  <c r="I142" i="16"/>
  <c r="D142" i="16"/>
  <c r="I141" i="16"/>
  <c r="D141" i="16"/>
  <c r="I140" i="16"/>
  <c r="D140" i="16"/>
  <c r="I139" i="16"/>
  <c r="D139" i="16"/>
  <c r="I138" i="16"/>
  <c r="D138" i="16"/>
  <c r="I137" i="16"/>
  <c r="D137" i="16"/>
  <c r="I136" i="16"/>
  <c r="D136" i="16"/>
  <c r="I135" i="16"/>
  <c r="D135" i="16"/>
  <c r="I134" i="16"/>
  <c r="D134" i="16"/>
  <c r="I133" i="16"/>
  <c r="D133" i="16"/>
  <c r="I132" i="16"/>
  <c r="D132" i="16"/>
  <c r="I131" i="16"/>
  <c r="D131" i="16"/>
  <c r="I130" i="16"/>
  <c r="D130" i="16"/>
  <c r="I129" i="16"/>
  <c r="D129" i="16"/>
  <c r="I128" i="16"/>
  <c r="D128" i="16"/>
  <c r="I127" i="16"/>
  <c r="D127" i="16"/>
  <c r="I126" i="16"/>
  <c r="D126" i="16"/>
  <c r="I125" i="16"/>
  <c r="D125" i="16"/>
  <c r="I124" i="16"/>
  <c r="D124" i="16"/>
  <c r="I123" i="16"/>
  <c r="D123" i="16"/>
  <c r="I122" i="16"/>
  <c r="D122" i="16"/>
  <c r="I121" i="16"/>
  <c r="D121" i="16"/>
  <c r="I120" i="16"/>
  <c r="D120" i="16"/>
  <c r="I119" i="16"/>
  <c r="D119" i="16"/>
  <c r="I118" i="16"/>
  <c r="D118" i="16"/>
  <c r="I117" i="16"/>
  <c r="D117" i="16"/>
  <c r="I116" i="16"/>
  <c r="D116" i="16"/>
  <c r="I115" i="16"/>
  <c r="D115" i="16"/>
  <c r="I114" i="16"/>
  <c r="D114" i="16"/>
  <c r="I113" i="16"/>
  <c r="D113" i="16"/>
  <c r="I112" i="16"/>
  <c r="D112" i="16"/>
  <c r="I111" i="16"/>
  <c r="D111" i="16"/>
  <c r="I110" i="16"/>
  <c r="D110" i="16"/>
  <c r="I109" i="16"/>
  <c r="D109" i="16"/>
  <c r="I108" i="16"/>
  <c r="D108" i="16"/>
  <c r="I107" i="16"/>
  <c r="D107" i="16"/>
  <c r="I106" i="16"/>
  <c r="D106" i="16"/>
  <c r="I105" i="16"/>
  <c r="D105" i="16"/>
  <c r="I104" i="16"/>
  <c r="D104" i="16"/>
  <c r="I103" i="16"/>
  <c r="D103" i="16"/>
  <c r="I102" i="16"/>
  <c r="D102" i="16"/>
  <c r="I101" i="16"/>
  <c r="D101" i="16"/>
  <c r="I100" i="16"/>
  <c r="D100" i="16"/>
  <c r="I99" i="16"/>
  <c r="D99" i="16"/>
  <c r="I98" i="16"/>
  <c r="D98" i="16"/>
  <c r="I97" i="16"/>
  <c r="D97" i="16"/>
  <c r="I96" i="16"/>
  <c r="D96" i="16"/>
  <c r="I95" i="16"/>
  <c r="D95" i="16"/>
  <c r="I94" i="16"/>
  <c r="D94" i="16"/>
  <c r="I93" i="16"/>
  <c r="D93" i="16"/>
  <c r="I92" i="16"/>
  <c r="D92" i="16"/>
  <c r="I91" i="16"/>
  <c r="D91" i="16"/>
  <c r="I90" i="16"/>
  <c r="D90" i="16"/>
  <c r="I89" i="16"/>
  <c r="D89" i="16"/>
  <c r="I88" i="16"/>
  <c r="D88" i="16"/>
  <c r="I87" i="16"/>
  <c r="D87" i="16"/>
  <c r="I86" i="16"/>
  <c r="D86" i="16"/>
  <c r="I85" i="16"/>
  <c r="D85" i="16"/>
  <c r="I84" i="16"/>
  <c r="D84" i="16"/>
  <c r="I83" i="16"/>
  <c r="D83" i="16"/>
  <c r="I82" i="16"/>
  <c r="D82" i="16"/>
  <c r="I81" i="16"/>
  <c r="D81" i="16"/>
  <c r="I80" i="16"/>
  <c r="D80" i="16"/>
  <c r="I79" i="16"/>
  <c r="D79" i="16"/>
  <c r="I78" i="16"/>
  <c r="D78" i="16"/>
  <c r="I77" i="16"/>
  <c r="D77" i="16"/>
  <c r="I76" i="16"/>
  <c r="D76" i="16"/>
  <c r="I75" i="16"/>
  <c r="D75" i="16"/>
  <c r="I74" i="16"/>
  <c r="D74" i="16"/>
  <c r="I73" i="16"/>
  <c r="D73" i="16"/>
  <c r="I72" i="16"/>
  <c r="D72" i="16"/>
  <c r="I71" i="16"/>
  <c r="D71" i="16"/>
  <c r="I70" i="16"/>
  <c r="D70" i="16"/>
  <c r="I69" i="16"/>
  <c r="D69" i="16"/>
  <c r="I68" i="16"/>
  <c r="D68" i="16"/>
  <c r="I67" i="16"/>
  <c r="D67" i="16"/>
  <c r="I66" i="16"/>
  <c r="D66" i="16"/>
  <c r="I65" i="16"/>
  <c r="D65" i="16"/>
  <c r="I64" i="16"/>
  <c r="D64" i="16"/>
  <c r="I63" i="16"/>
  <c r="D63" i="16"/>
  <c r="I62" i="16"/>
  <c r="D62" i="16"/>
  <c r="I61" i="16"/>
  <c r="D61" i="16"/>
  <c r="I60" i="16"/>
  <c r="D60" i="16"/>
  <c r="I59" i="16"/>
  <c r="D59" i="16"/>
  <c r="I58" i="16"/>
  <c r="D58" i="16"/>
  <c r="I57" i="16"/>
  <c r="D57" i="16"/>
  <c r="I56" i="16"/>
  <c r="D56" i="16"/>
  <c r="I55" i="16"/>
  <c r="D55" i="16"/>
  <c r="I54" i="16"/>
  <c r="D54" i="16"/>
  <c r="I53" i="16"/>
  <c r="D53" i="16"/>
  <c r="I52" i="16"/>
  <c r="D52" i="16"/>
  <c r="I51" i="16"/>
  <c r="D51" i="16"/>
  <c r="I50" i="16"/>
  <c r="D50" i="16"/>
  <c r="I49" i="16"/>
  <c r="D49" i="16"/>
  <c r="I48" i="16"/>
  <c r="D48" i="16"/>
  <c r="I47" i="16"/>
  <c r="D47" i="16"/>
  <c r="I46" i="16"/>
  <c r="D46" i="16"/>
  <c r="I45" i="16"/>
  <c r="D45" i="16"/>
  <c r="I44" i="16"/>
  <c r="D44" i="16"/>
  <c r="I43" i="16"/>
  <c r="D43" i="16"/>
  <c r="I42" i="16"/>
  <c r="D42" i="16"/>
  <c r="I41" i="16"/>
  <c r="D41" i="16"/>
  <c r="I40" i="16"/>
  <c r="D40" i="16"/>
  <c r="I39" i="16"/>
  <c r="D39" i="16"/>
  <c r="I38" i="16"/>
  <c r="D38" i="16"/>
  <c r="I37" i="16"/>
  <c r="D37" i="16"/>
  <c r="I36" i="16"/>
  <c r="D36" i="16"/>
  <c r="I35" i="16"/>
  <c r="D35" i="16"/>
  <c r="I34" i="16"/>
  <c r="D34" i="16"/>
  <c r="I33" i="16"/>
  <c r="D33" i="16"/>
  <c r="I32" i="16"/>
  <c r="D32" i="16"/>
  <c r="I31" i="16"/>
  <c r="D31" i="16"/>
  <c r="I30" i="16"/>
  <c r="D30" i="16"/>
  <c r="I29" i="16"/>
  <c r="D29" i="16"/>
  <c r="I28" i="16"/>
  <c r="D28" i="16"/>
  <c r="I27" i="16"/>
  <c r="D27" i="16"/>
  <c r="I26" i="16"/>
  <c r="D26" i="16"/>
  <c r="I25" i="16"/>
  <c r="D25" i="16"/>
  <c r="I24" i="16"/>
  <c r="D24" i="16"/>
  <c r="I23" i="16"/>
  <c r="D23" i="16"/>
  <c r="I22" i="16"/>
  <c r="D22" i="16"/>
  <c r="I21" i="16"/>
  <c r="D21" i="16"/>
  <c r="I20" i="16"/>
  <c r="D20" i="16"/>
  <c r="I19" i="16"/>
  <c r="D19" i="16"/>
  <c r="I18" i="16"/>
  <c r="D18" i="16"/>
  <c r="I17" i="16"/>
  <c r="D17" i="16"/>
  <c r="I16" i="16"/>
  <c r="D16" i="16"/>
  <c r="I15" i="16"/>
  <c r="D15" i="16"/>
  <c r="I14" i="16"/>
  <c r="D14" i="16"/>
  <c r="I13" i="16"/>
  <c r="D13" i="16"/>
  <c r="I12" i="16"/>
  <c r="D12" i="16"/>
  <c r="I11" i="16"/>
  <c r="D11" i="16"/>
  <c r="I10" i="16"/>
  <c r="D10" i="16"/>
  <c r="I9" i="16"/>
  <c r="D9" i="16"/>
  <c r="I8" i="16"/>
  <c r="M6" i="16"/>
  <c r="P6" i="15"/>
  <c r="D8" i="15"/>
  <c r="I253" i="15"/>
  <c r="I252" i="15"/>
  <c r="D252" i="15"/>
  <c r="I251" i="15"/>
  <c r="D251" i="15"/>
  <c r="I250" i="15"/>
  <c r="D250" i="15"/>
  <c r="I249" i="15"/>
  <c r="D249" i="15"/>
  <c r="I248" i="15"/>
  <c r="D248" i="15"/>
  <c r="I247" i="15"/>
  <c r="D247" i="15"/>
  <c r="I246" i="15"/>
  <c r="D246" i="15"/>
  <c r="I245" i="15"/>
  <c r="D245" i="15"/>
  <c r="I244" i="15"/>
  <c r="D244" i="15"/>
  <c r="I243" i="15"/>
  <c r="D243" i="15"/>
  <c r="I242" i="15"/>
  <c r="D242" i="15"/>
  <c r="I241" i="15"/>
  <c r="D241" i="15"/>
  <c r="I240" i="15"/>
  <c r="D240" i="15"/>
  <c r="I239" i="15"/>
  <c r="D239" i="15"/>
  <c r="I238" i="15"/>
  <c r="D238" i="15"/>
  <c r="I237" i="15"/>
  <c r="D237" i="15"/>
  <c r="I236" i="15"/>
  <c r="D236" i="15"/>
  <c r="I235" i="15"/>
  <c r="D235" i="15"/>
  <c r="I234" i="15"/>
  <c r="D234" i="15"/>
  <c r="I233" i="15"/>
  <c r="D233" i="15"/>
  <c r="I232" i="15"/>
  <c r="D232" i="15"/>
  <c r="I231" i="15"/>
  <c r="D231" i="15"/>
  <c r="I230" i="15"/>
  <c r="D230" i="15"/>
  <c r="I229" i="15"/>
  <c r="D229" i="15"/>
  <c r="I228" i="15"/>
  <c r="D228" i="15"/>
  <c r="I227" i="15"/>
  <c r="D227" i="15"/>
  <c r="I226" i="15"/>
  <c r="D226" i="15"/>
  <c r="I225" i="15"/>
  <c r="D225" i="15"/>
  <c r="I224" i="15"/>
  <c r="D224" i="15"/>
  <c r="I223" i="15"/>
  <c r="D223" i="15"/>
  <c r="I222" i="15"/>
  <c r="D222" i="15"/>
  <c r="I221" i="15"/>
  <c r="D221" i="15"/>
  <c r="I220" i="15"/>
  <c r="D220" i="15"/>
  <c r="I219" i="15"/>
  <c r="D219" i="15"/>
  <c r="I218" i="15"/>
  <c r="D218" i="15"/>
  <c r="I217" i="15"/>
  <c r="D217" i="15"/>
  <c r="I216" i="15"/>
  <c r="D216" i="15"/>
  <c r="I215" i="15"/>
  <c r="D215" i="15"/>
  <c r="I214" i="15"/>
  <c r="D214" i="15"/>
  <c r="I213" i="15"/>
  <c r="D213" i="15"/>
  <c r="I212" i="15"/>
  <c r="D212" i="15"/>
  <c r="I211" i="15"/>
  <c r="D211" i="15"/>
  <c r="I210" i="15"/>
  <c r="D210" i="15"/>
  <c r="I209" i="15"/>
  <c r="D209" i="15"/>
  <c r="I208" i="15"/>
  <c r="D208" i="15"/>
  <c r="I207" i="15"/>
  <c r="D207" i="15"/>
  <c r="I206" i="15"/>
  <c r="D206" i="15"/>
  <c r="I205" i="15"/>
  <c r="D205" i="15"/>
  <c r="I204" i="15"/>
  <c r="D204" i="15"/>
  <c r="I203" i="15"/>
  <c r="D203" i="15"/>
  <c r="I202" i="15"/>
  <c r="D202" i="15"/>
  <c r="I201" i="15"/>
  <c r="D201" i="15"/>
  <c r="I200" i="15"/>
  <c r="D200" i="15"/>
  <c r="I199" i="15"/>
  <c r="D199" i="15"/>
  <c r="I198" i="15"/>
  <c r="D198" i="15"/>
  <c r="I197" i="15"/>
  <c r="D197" i="15"/>
  <c r="I196" i="15"/>
  <c r="D196" i="15"/>
  <c r="I195" i="15"/>
  <c r="D195" i="15"/>
  <c r="I194" i="15"/>
  <c r="D194" i="15"/>
  <c r="I193" i="15"/>
  <c r="D193" i="15"/>
  <c r="I192" i="15"/>
  <c r="D192" i="15"/>
  <c r="I191" i="15"/>
  <c r="D191" i="15"/>
  <c r="I190" i="15"/>
  <c r="D190" i="15"/>
  <c r="I189" i="15"/>
  <c r="D189" i="15"/>
  <c r="I188" i="15"/>
  <c r="D188" i="15"/>
  <c r="I187" i="15"/>
  <c r="D187" i="15"/>
  <c r="I186" i="15"/>
  <c r="D186" i="15"/>
  <c r="I185" i="15"/>
  <c r="D185" i="15"/>
  <c r="I184" i="15"/>
  <c r="D184" i="15"/>
  <c r="I183" i="15"/>
  <c r="D183" i="15"/>
  <c r="I182" i="15"/>
  <c r="D182" i="15"/>
  <c r="I181" i="15"/>
  <c r="D181" i="15"/>
  <c r="I180" i="15"/>
  <c r="D180" i="15"/>
  <c r="I179" i="15"/>
  <c r="D179" i="15"/>
  <c r="I178" i="15"/>
  <c r="D178" i="15"/>
  <c r="I177" i="15"/>
  <c r="D177" i="15"/>
  <c r="I176" i="15"/>
  <c r="D176" i="15"/>
  <c r="I175" i="15"/>
  <c r="D175" i="15"/>
  <c r="I174" i="15"/>
  <c r="D174" i="15"/>
  <c r="I173" i="15"/>
  <c r="D173" i="15"/>
  <c r="I172" i="15"/>
  <c r="D172" i="15"/>
  <c r="I171" i="15"/>
  <c r="D171" i="15"/>
  <c r="I170" i="15"/>
  <c r="D170" i="15"/>
  <c r="I169" i="15"/>
  <c r="D169" i="15"/>
  <c r="I168" i="15"/>
  <c r="D168" i="15"/>
  <c r="I167" i="15"/>
  <c r="D167" i="15"/>
  <c r="I166" i="15"/>
  <c r="D166" i="15"/>
  <c r="I165" i="15"/>
  <c r="D165" i="15"/>
  <c r="I164" i="15"/>
  <c r="D164" i="15"/>
  <c r="I163" i="15"/>
  <c r="D163" i="15"/>
  <c r="I162" i="15"/>
  <c r="D162" i="15"/>
  <c r="I161" i="15"/>
  <c r="D161" i="15"/>
  <c r="I160" i="15"/>
  <c r="D160" i="15"/>
  <c r="I159" i="15"/>
  <c r="D159" i="15"/>
  <c r="I158" i="15"/>
  <c r="D158" i="15"/>
  <c r="I157" i="15"/>
  <c r="D157" i="15"/>
  <c r="I156" i="15"/>
  <c r="D156" i="15"/>
  <c r="I155" i="15"/>
  <c r="D155" i="15"/>
  <c r="I154" i="15"/>
  <c r="D154" i="15"/>
  <c r="I153" i="15"/>
  <c r="D153" i="15"/>
  <c r="I152" i="15"/>
  <c r="D152" i="15"/>
  <c r="I151" i="15"/>
  <c r="D151" i="15"/>
  <c r="I150" i="15"/>
  <c r="D150" i="15"/>
  <c r="I149" i="15"/>
  <c r="D149" i="15"/>
  <c r="I148" i="15"/>
  <c r="D148" i="15"/>
  <c r="I147" i="15"/>
  <c r="D147" i="15"/>
  <c r="I146" i="15"/>
  <c r="D146" i="15"/>
  <c r="I145" i="15"/>
  <c r="D145" i="15"/>
  <c r="I144" i="15"/>
  <c r="D144" i="15"/>
  <c r="I143" i="15"/>
  <c r="D143" i="15"/>
  <c r="I142" i="15"/>
  <c r="D142" i="15"/>
  <c r="I141" i="15"/>
  <c r="D141" i="15"/>
  <c r="I140" i="15"/>
  <c r="D140" i="15"/>
  <c r="I139" i="15"/>
  <c r="D139" i="15"/>
  <c r="I138" i="15"/>
  <c r="D138" i="15"/>
  <c r="I137" i="15"/>
  <c r="D137" i="15"/>
  <c r="I136" i="15"/>
  <c r="D136" i="15"/>
  <c r="I135" i="15"/>
  <c r="D135" i="15"/>
  <c r="I134" i="15"/>
  <c r="D134" i="15"/>
  <c r="I133" i="15"/>
  <c r="D133" i="15"/>
  <c r="I132" i="15"/>
  <c r="D132" i="15"/>
  <c r="I131" i="15"/>
  <c r="D131" i="15"/>
  <c r="I130" i="15"/>
  <c r="D130" i="15"/>
  <c r="I129" i="15"/>
  <c r="D129" i="15"/>
  <c r="I128" i="15"/>
  <c r="D128" i="15"/>
  <c r="I127" i="15"/>
  <c r="D127" i="15"/>
  <c r="I126" i="15"/>
  <c r="D126" i="15"/>
  <c r="I125" i="15"/>
  <c r="D125" i="15"/>
  <c r="I124" i="15"/>
  <c r="D124" i="15"/>
  <c r="I123" i="15"/>
  <c r="D123" i="15"/>
  <c r="I122" i="15"/>
  <c r="D122" i="15"/>
  <c r="I121" i="15"/>
  <c r="D121" i="15"/>
  <c r="I120" i="15"/>
  <c r="D120" i="15"/>
  <c r="I119" i="15"/>
  <c r="D119" i="15"/>
  <c r="I118" i="15"/>
  <c r="D118" i="15"/>
  <c r="I117" i="15"/>
  <c r="D117" i="15"/>
  <c r="I116" i="15"/>
  <c r="D116" i="15"/>
  <c r="I115" i="15"/>
  <c r="D115" i="15"/>
  <c r="I114" i="15"/>
  <c r="D114" i="15"/>
  <c r="I113" i="15"/>
  <c r="D113" i="15"/>
  <c r="I112" i="15"/>
  <c r="D112" i="15"/>
  <c r="I111" i="15"/>
  <c r="D111" i="15"/>
  <c r="I110" i="15"/>
  <c r="D110" i="15"/>
  <c r="I109" i="15"/>
  <c r="D109" i="15"/>
  <c r="I108" i="15"/>
  <c r="D108" i="15"/>
  <c r="I107" i="15"/>
  <c r="D107" i="15"/>
  <c r="I106" i="15"/>
  <c r="D106" i="15"/>
  <c r="I105" i="15"/>
  <c r="D105" i="15"/>
  <c r="I104" i="15"/>
  <c r="D104" i="15"/>
  <c r="I103" i="15"/>
  <c r="D103" i="15"/>
  <c r="I102" i="15"/>
  <c r="D102" i="15"/>
  <c r="I101" i="15"/>
  <c r="D101" i="15"/>
  <c r="I100" i="15"/>
  <c r="D100" i="15"/>
  <c r="I99" i="15"/>
  <c r="D99" i="15"/>
  <c r="I98" i="15"/>
  <c r="D98" i="15"/>
  <c r="I97" i="15"/>
  <c r="D97" i="15"/>
  <c r="I96" i="15"/>
  <c r="D96" i="15"/>
  <c r="I95" i="15"/>
  <c r="D95" i="15"/>
  <c r="I94" i="15"/>
  <c r="D94" i="15"/>
  <c r="I93" i="15"/>
  <c r="D93" i="15"/>
  <c r="I92" i="15"/>
  <c r="D92" i="15"/>
  <c r="I91" i="15"/>
  <c r="D91" i="15"/>
  <c r="I90" i="15"/>
  <c r="D90" i="15"/>
  <c r="I89" i="15"/>
  <c r="D89" i="15"/>
  <c r="I88" i="15"/>
  <c r="D88" i="15"/>
  <c r="I87" i="15"/>
  <c r="D87" i="15"/>
  <c r="I86" i="15"/>
  <c r="D86" i="15"/>
  <c r="I85" i="15"/>
  <c r="D85" i="15"/>
  <c r="I84" i="15"/>
  <c r="D84" i="15"/>
  <c r="I83" i="15"/>
  <c r="D83" i="15"/>
  <c r="I82" i="15"/>
  <c r="D82" i="15"/>
  <c r="I81" i="15"/>
  <c r="D81" i="15"/>
  <c r="I80" i="15"/>
  <c r="D80" i="15"/>
  <c r="I79" i="15"/>
  <c r="D79" i="15"/>
  <c r="I78" i="15"/>
  <c r="D78" i="15"/>
  <c r="I77" i="15"/>
  <c r="D77" i="15"/>
  <c r="I76" i="15"/>
  <c r="D76" i="15"/>
  <c r="I75" i="15"/>
  <c r="D75" i="15"/>
  <c r="I74" i="15"/>
  <c r="D74" i="15"/>
  <c r="I73" i="15"/>
  <c r="D73" i="15"/>
  <c r="I72" i="15"/>
  <c r="D72" i="15"/>
  <c r="I71" i="15"/>
  <c r="D71" i="15"/>
  <c r="I70" i="15"/>
  <c r="D70" i="15"/>
  <c r="I69" i="15"/>
  <c r="D69" i="15"/>
  <c r="I68" i="15"/>
  <c r="D68" i="15"/>
  <c r="I67" i="15"/>
  <c r="D67" i="15"/>
  <c r="I66" i="15"/>
  <c r="D66" i="15"/>
  <c r="I65" i="15"/>
  <c r="D65" i="15"/>
  <c r="I64" i="15"/>
  <c r="D64" i="15"/>
  <c r="I63" i="15"/>
  <c r="D63" i="15"/>
  <c r="I62" i="15"/>
  <c r="D62" i="15"/>
  <c r="I61" i="15"/>
  <c r="D61" i="15"/>
  <c r="I60" i="15"/>
  <c r="D60" i="15"/>
  <c r="I59" i="15"/>
  <c r="D59" i="15"/>
  <c r="I58" i="15"/>
  <c r="D58" i="15"/>
  <c r="I57" i="15"/>
  <c r="D57" i="15"/>
  <c r="I56" i="15"/>
  <c r="D56" i="15"/>
  <c r="I55" i="15"/>
  <c r="D55" i="15"/>
  <c r="I54" i="15"/>
  <c r="D54" i="15"/>
  <c r="I53" i="15"/>
  <c r="D53" i="15"/>
  <c r="I52" i="15"/>
  <c r="D52" i="15"/>
  <c r="I51" i="15"/>
  <c r="D51" i="15"/>
  <c r="I50" i="15"/>
  <c r="D50" i="15"/>
  <c r="I49" i="15"/>
  <c r="D49" i="15"/>
  <c r="I48" i="15"/>
  <c r="D48" i="15"/>
  <c r="I47" i="15"/>
  <c r="D47" i="15"/>
  <c r="I46" i="15"/>
  <c r="D46" i="15"/>
  <c r="I45" i="15"/>
  <c r="D45" i="15"/>
  <c r="I44" i="15"/>
  <c r="D44" i="15"/>
  <c r="I43" i="15"/>
  <c r="D43" i="15"/>
  <c r="I42" i="15"/>
  <c r="D42" i="15"/>
  <c r="I41" i="15"/>
  <c r="D41" i="15"/>
  <c r="I40" i="15"/>
  <c r="D40" i="15"/>
  <c r="I39" i="15"/>
  <c r="D39" i="15"/>
  <c r="I38" i="15"/>
  <c r="D38" i="15"/>
  <c r="I37" i="15"/>
  <c r="D37" i="15"/>
  <c r="I36" i="15"/>
  <c r="D36" i="15"/>
  <c r="I35" i="15"/>
  <c r="D35" i="15"/>
  <c r="I34" i="15"/>
  <c r="D34" i="15"/>
  <c r="I33" i="15"/>
  <c r="D33" i="15"/>
  <c r="I32" i="15"/>
  <c r="D32" i="15"/>
  <c r="I31" i="15"/>
  <c r="D31" i="15"/>
  <c r="I30" i="15"/>
  <c r="D30" i="15"/>
  <c r="I29" i="15"/>
  <c r="D29" i="15"/>
  <c r="I28" i="15"/>
  <c r="D28" i="15"/>
  <c r="I27" i="15"/>
  <c r="D27" i="15"/>
  <c r="I26" i="15"/>
  <c r="D26" i="15"/>
  <c r="I25" i="15"/>
  <c r="D25" i="15"/>
  <c r="I24" i="15"/>
  <c r="D24" i="15"/>
  <c r="I23" i="15"/>
  <c r="D23" i="15"/>
  <c r="I22" i="15"/>
  <c r="D22" i="15"/>
  <c r="I21" i="15"/>
  <c r="D21" i="15"/>
  <c r="I20" i="15"/>
  <c r="D20" i="15"/>
  <c r="I19" i="15"/>
  <c r="D19" i="15"/>
  <c r="I18" i="15"/>
  <c r="D18" i="15"/>
  <c r="I17" i="15"/>
  <c r="D17" i="15"/>
  <c r="I16" i="15"/>
  <c r="D16" i="15"/>
  <c r="I15" i="15"/>
  <c r="D15" i="15"/>
  <c r="I14" i="15"/>
  <c r="D14" i="15"/>
  <c r="I13" i="15"/>
  <c r="D13" i="15"/>
  <c r="I12" i="15"/>
  <c r="D12" i="15"/>
  <c r="I11" i="15"/>
  <c r="D11" i="15"/>
  <c r="I10" i="15"/>
  <c r="D10" i="15"/>
  <c r="I9" i="15"/>
  <c r="D9" i="15"/>
  <c r="I8" i="15"/>
  <c r="M6" i="15"/>
  <c r="M12" i="15" s="1"/>
  <c r="P6" i="14"/>
  <c r="I253" i="14"/>
  <c r="D253" i="14"/>
  <c r="I252" i="14"/>
  <c r="D252" i="14"/>
  <c r="I251" i="14"/>
  <c r="D251" i="14"/>
  <c r="I250" i="14"/>
  <c r="D250" i="14"/>
  <c r="I249" i="14"/>
  <c r="D249" i="14"/>
  <c r="I248" i="14"/>
  <c r="D248" i="14"/>
  <c r="I247" i="14"/>
  <c r="D247" i="14"/>
  <c r="I246" i="14"/>
  <c r="D246" i="14"/>
  <c r="I245" i="14"/>
  <c r="D245" i="14"/>
  <c r="I244" i="14"/>
  <c r="D244" i="14"/>
  <c r="I243" i="14"/>
  <c r="D243" i="14"/>
  <c r="I242" i="14"/>
  <c r="D242" i="14"/>
  <c r="I241" i="14"/>
  <c r="D241" i="14"/>
  <c r="I240" i="14"/>
  <c r="D240" i="14"/>
  <c r="I239" i="14"/>
  <c r="D239" i="14"/>
  <c r="I238" i="14"/>
  <c r="D238" i="14"/>
  <c r="I237" i="14"/>
  <c r="D237" i="14"/>
  <c r="I236" i="14"/>
  <c r="D236" i="14"/>
  <c r="I235" i="14"/>
  <c r="D235" i="14"/>
  <c r="I234" i="14"/>
  <c r="D234" i="14"/>
  <c r="I233" i="14"/>
  <c r="D233" i="14"/>
  <c r="I232" i="14"/>
  <c r="D232" i="14"/>
  <c r="I231" i="14"/>
  <c r="D231" i="14"/>
  <c r="I230" i="14"/>
  <c r="D230" i="14"/>
  <c r="I229" i="14"/>
  <c r="D229" i="14"/>
  <c r="I228" i="14"/>
  <c r="D228" i="14"/>
  <c r="I227" i="14"/>
  <c r="D227" i="14"/>
  <c r="I226" i="14"/>
  <c r="D226" i="14"/>
  <c r="I225" i="14"/>
  <c r="D225" i="14"/>
  <c r="I224" i="14"/>
  <c r="D224" i="14"/>
  <c r="I223" i="14"/>
  <c r="D223" i="14"/>
  <c r="I222" i="14"/>
  <c r="D222" i="14"/>
  <c r="I221" i="14"/>
  <c r="D221" i="14"/>
  <c r="I220" i="14"/>
  <c r="D220" i="14"/>
  <c r="I219" i="14"/>
  <c r="D219" i="14"/>
  <c r="I218" i="14"/>
  <c r="D218" i="14"/>
  <c r="I217" i="14"/>
  <c r="D217" i="14"/>
  <c r="I216" i="14"/>
  <c r="D216" i="14"/>
  <c r="I215" i="14"/>
  <c r="D215" i="14"/>
  <c r="I214" i="14"/>
  <c r="D214" i="14"/>
  <c r="I213" i="14"/>
  <c r="D213" i="14"/>
  <c r="I212" i="14"/>
  <c r="D212" i="14"/>
  <c r="I211" i="14"/>
  <c r="D211" i="14"/>
  <c r="I210" i="14"/>
  <c r="D210" i="14"/>
  <c r="I209" i="14"/>
  <c r="D209" i="14"/>
  <c r="I208" i="14"/>
  <c r="D208" i="14"/>
  <c r="I207" i="14"/>
  <c r="D207" i="14"/>
  <c r="I206" i="14"/>
  <c r="D206" i="14"/>
  <c r="I205" i="14"/>
  <c r="D205" i="14"/>
  <c r="I204" i="14"/>
  <c r="D204" i="14"/>
  <c r="I203" i="14"/>
  <c r="D203" i="14"/>
  <c r="I202" i="14"/>
  <c r="D202" i="14"/>
  <c r="I201" i="14"/>
  <c r="D201" i="14"/>
  <c r="I200" i="14"/>
  <c r="D200" i="14"/>
  <c r="I199" i="14"/>
  <c r="D199" i="14"/>
  <c r="I198" i="14"/>
  <c r="D198" i="14"/>
  <c r="I197" i="14"/>
  <c r="D197" i="14"/>
  <c r="I196" i="14"/>
  <c r="D196" i="14"/>
  <c r="I195" i="14"/>
  <c r="D195" i="14"/>
  <c r="I194" i="14"/>
  <c r="D194" i="14"/>
  <c r="I193" i="14"/>
  <c r="D193" i="14"/>
  <c r="I192" i="14"/>
  <c r="D192" i="14"/>
  <c r="I191" i="14"/>
  <c r="D191" i="14"/>
  <c r="I190" i="14"/>
  <c r="D190" i="14"/>
  <c r="I189" i="14"/>
  <c r="D189" i="14"/>
  <c r="I188" i="14"/>
  <c r="D188" i="14"/>
  <c r="I187" i="14"/>
  <c r="D187" i="14"/>
  <c r="I186" i="14"/>
  <c r="D186" i="14"/>
  <c r="I185" i="14"/>
  <c r="D185" i="14"/>
  <c r="I184" i="14"/>
  <c r="D184" i="14"/>
  <c r="I183" i="14"/>
  <c r="D183" i="14"/>
  <c r="I182" i="14"/>
  <c r="D182" i="14"/>
  <c r="I181" i="14"/>
  <c r="D181" i="14"/>
  <c r="I180" i="14"/>
  <c r="D180" i="14"/>
  <c r="I179" i="14"/>
  <c r="D179" i="14"/>
  <c r="I178" i="14"/>
  <c r="D178" i="14"/>
  <c r="I177" i="14"/>
  <c r="D177" i="14"/>
  <c r="I176" i="14"/>
  <c r="D176" i="14"/>
  <c r="I175" i="14"/>
  <c r="D175" i="14"/>
  <c r="I174" i="14"/>
  <c r="D174" i="14"/>
  <c r="I173" i="14"/>
  <c r="D173" i="14"/>
  <c r="I172" i="14"/>
  <c r="D172" i="14"/>
  <c r="I171" i="14"/>
  <c r="D171" i="14"/>
  <c r="I170" i="14"/>
  <c r="D170" i="14"/>
  <c r="I169" i="14"/>
  <c r="D169" i="14"/>
  <c r="I168" i="14"/>
  <c r="D168" i="14"/>
  <c r="I167" i="14"/>
  <c r="D167" i="14"/>
  <c r="I166" i="14"/>
  <c r="D166" i="14"/>
  <c r="I165" i="14"/>
  <c r="D165" i="14"/>
  <c r="I164" i="14"/>
  <c r="D164" i="14"/>
  <c r="I163" i="14"/>
  <c r="D163" i="14"/>
  <c r="I162" i="14"/>
  <c r="D162" i="14"/>
  <c r="I161" i="14"/>
  <c r="D161" i="14"/>
  <c r="I160" i="14"/>
  <c r="D160" i="14"/>
  <c r="I159" i="14"/>
  <c r="D159" i="14"/>
  <c r="I158" i="14"/>
  <c r="D158" i="14"/>
  <c r="I157" i="14"/>
  <c r="D157" i="14"/>
  <c r="I156" i="14"/>
  <c r="D156" i="14"/>
  <c r="I155" i="14"/>
  <c r="D155" i="14"/>
  <c r="I154" i="14"/>
  <c r="D154" i="14"/>
  <c r="I153" i="14"/>
  <c r="D153" i="14"/>
  <c r="I152" i="14"/>
  <c r="D152" i="14"/>
  <c r="I151" i="14"/>
  <c r="D151" i="14"/>
  <c r="I150" i="14"/>
  <c r="D150" i="14"/>
  <c r="I149" i="14"/>
  <c r="D149" i="14"/>
  <c r="I148" i="14"/>
  <c r="D148" i="14"/>
  <c r="I147" i="14"/>
  <c r="D147" i="14"/>
  <c r="I146" i="14"/>
  <c r="D146" i="14"/>
  <c r="I145" i="14"/>
  <c r="D145" i="14"/>
  <c r="I144" i="14"/>
  <c r="D144" i="14"/>
  <c r="I143" i="14"/>
  <c r="D143" i="14"/>
  <c r="I142" i="14"/>
  <c r="D142" i="14"/>
  <c r="I141" i="14"/>
  <c r="D141" i="14"/>
  <c r="I140" i="14"/>
  <c r="D140" i="14"/>
  <c r="I139" i="14"/>
  <c r="D139" i="14"/>
  <c r="I138" i="14"/>
  <c r="D138" i="14"/>
  <c r="I137" i="14"/>
  <c r="D137" i="14"/>
  <c r="I136" i="14"/>
  <c r="D136" i="14"/>
  <c r="I135" i="14"/>
  <c r="D135" i="14"/>
  <c r="I134" i="14"/>
  <c r="D134" i="14"/>
  <c r="I133" i="14"/>
  <c r="D133" i="14"/>
  <c r="I132" i="14"/>
  <c r="D132" i="14"/>
  <c r="I131" i="14"/>
  <c r="D131" i="14"/>
  <c r="I130" i="14"/>
  <c r="D130" i="14"/>
  <c r="I129" i="14"/>
  <c r="D129" i="14"/>
  <c r="I128" i="14"/>
  <c r="D128" i="14"/>
  <c r="I127" i="14"/>
  <c r="D127" i="14"/>
  <c r="I126" i="14"/>
  <c r="D126" i="14"/>
  <c r="I125" i="14"/>
  <c r="D125" i="14"/>
  <c r="I124" i="14"/>
  <c r="D124" i="14"/>
  <c r="I123" i="14"/>
  <c r="D123" i="14"/>
  <c r="I122" i="14"/>
  <c r="D122" i="14"/>
  <c r="I121" i="14"/>
  <c r="D121" i="14"/>
  <c r="I120" i="14"/>
  <c r="D120" i="14"/>
  <c r="I119" i="14"/>
  <c r="D119" i="14"/>
  <c r="I118" i="14"/>
  <c r="D118" i="14"/>
  <c r="I117" i="14"/>
  <c r="D117" i="14"/>
  <c r="I116" i="14"/>
  <c r="D116" i="14"/>
  <c r="I115" i="14"/>
  <c r="D115" i="14"/>
  <c r="I114" i="14"/>
  <c r="D114" i="14"/>
  <c r="I113" i="14"/>
  <c r="D113" i="14"/>
  <c r="I112" i="14"/>
  <c r="D112" i="14"/>
  <c r="I111" i="14"/>
  <c r="D111" i="14"/>
  <c r="I110" i="14"/>
  <c r="D110" i="14"/>
  <c r="I109" i="14"/>
  <c r="D109" i="14"/>
  <c r="I108" i="14"/>
  <c r="D108" i="14"/>
  <c r="I107" i="14"/>
  <c r="D107" i="14"/>
  <c r="I106" i="14"/>
  <c r="D106" i="14"/>
  <c r="I105" i="14"/>
  <c r="D105" i="14"/>
  <c r="I104" i="14"/>
  <c r="D104" i="14"/>
  <c r="I103" i="14"/>
  <c r="D103" i="14"/>
  <c r="I102" i="14"/>
  <c r="D102" i="14"/>
  <c r="I101" i="14"/>
  <c r="D101" i="14"/>
  <c r="I100" i="14"/>
  <c r="D100" i="14"/>
  <c r="I99" i="14"/>
  <c r="D99" i="14"/>
  <c r="I98" i="14"/>
  <c r="D98" i="14"/>
  <c r="I97" i="14"/>
  <c r="D97" i="14"/>
  <c r="I96" i="14"/>
  <c r="D96" i="14"/>
  <c r="I95" i="14"/>
  <c r="D95" i="14"/>
  <c r="I94" i="14"/>
  <c r="D94" i="14"/>
  <c r="I93" i="14"/>
  <c r="D93" i="14"/>
  <c r="I92" i="14"/>
  <c r="D92" i="14"/>
  <c r="I91" i="14"/>
  <c r="D91" i="14"/>
  <c r="I90" i="14"/>
  <c r="D90" i="14"/>
  <c r="I89" i="14"/>
  <c r="D89" i="14"/>
  <c r="I88" i="14"/>
  <c r="D88" i="14"/>
  <c r="I87" i="14"/>
  <c r="D87" i="14"/>
  <c r="I86" i="14"/>
  <c r="D86" i="14"/>
  <c r="I85" i="14"/>
  <c r="D85" i="14"/>
  <c r="I84" i="14"/>
  <c r="D84" i="14"/>
  <c r="I83" i="14"/>
  <c r="D83" i="14"/>
  <c r="I82" i="14"/>
  <c r="D82" i="14"/>
  <c r="I81" i="14"/>
  <c r="D81" i="14"/>
  <c r="I80" i="14"/>
  <c r="D80" i="14"/>
  <c r="I79" i="14"/>
  <c r="D79" i="14"/>
  <c r="I78" i="14"/>
  <c r="D78" i="14"/>
  <c r="I77" i="14"/>
  <c r="D77" i="14"/>
  <c r="I76" i="14"/>
  <c r="D76" i="14"/>
  <c r="I75" i="14"/>
  <c r="D75" i="14"/>
  <c r="I74" i="14"/>
  <c r="D74" i="14"/>
  <c r="I73" i="14"/>
  <c r="D73" i="14"/>
  <c r="I72" i="14"/>
  <c r="D72" i="14"/>
  <c r="I71" i="14"/>
  <c r="D71" i="14"/>
  <c r="I70" i="14"/>
  <c r="D70" i="14"/>
  <c r="I69" i="14"/>
  <c r="D69" i="14"/>
  <c r="I68" i="14"/>
  <c r="D68" i="14"/>
  <c r="I67" i="14"/>
  <c r="D67" i="14"/>
  <c r="I66" i="14"/>
  <c r="D66" i="14"/>
  <c r="I65" i="14"/>
  <c r="D65" i="14"/>
  <c r="I64" i="14"/>
  <c r="D64" i="14"/>
  <c r="I63" i="14"/>
  <c r="D63" i="14"/>
  <c r="I62" i="14"/>
  <c r="D62" i="14"/>
  <c r="I61" i="14"/>
  <c r="D61" i="14"/>
  <c r="I60" i="14"/>
  <c r="D60" i="14"/>
  <c r="I59" i="14"/>
  <c r="D59" i="14"/>
  <c r="I58" i="14"/>
  <c r="D58" i="14"/>
  <c r="I57" i="14"/>
  <c r="D57" i="14"/>
  <c r="I56" i="14"/>
  <c r="D56" i="14"/>
  <c r="I55" i="14"/>
  <c r="D55" i="14"/>
  <c r="I54" i="14"/>
  <c r="D54" i="14"/>
  <c r="I53" i="14"/>
  <c r="D53" i="14"/>
  <c r="I52" i="14"/>
  <c r="D52" i="14"/>
  <c r="I51" i="14"/>
  <c r="D51" i="14"/>
  <c r="I50" i="14"/>
  <c r="D50" i="14"/>
  <c r="I49" i="14"/>
  <c r="D49" i="14"/>
  <c r="I48" i="14"/>
  <c r="D48" i="14"/>
  <c r="I47" i="14"/>
  <c r="D47" i="14"/>
  <c r="I46" i="14"/>
  <c r="D46" i="14"/>
  <c r="I45" i="14"/>
  <c r="D45" i="14"/>
  <c r="I44" i="14"/>
  <c r="D44" i="14"/>
  <c r="I43" i="14"/>
  <c r="D43" i="14"/>
  <c r="I42" i="14"/>
  <c r="D42" i="14"/>
  <c r="I41" i="14"/>
  <c r="D41" i="14"/>
  <c r="I40" i="14"/>
  <c r="D40" i="14"/>
  <c r="I39" i="14"/>
  <c r="D39" i="14"/>
  <c r="I38" i="14"/>
  <c r="D38" i="14"/>
  <c r="I37" i="14"/>
  <c r="D37" i="14"/>
  <c r="I36" i="14"/>
  <c r="D36" i="14"/>
  <c r="I35" i="14"/>
  <c r="D35" i="14"/>
  <c r="I34" i="14"/>
  <c r="D34" i="14"/>
  <c r="I33" i="14"/>
  <c r="D33" i="14"/>
  <c r="I32" i="14"/>
  <c r="D32" i="14"/>
  <c r="I31" i="14"/>
  <c r="D31" i="14"/>
  <c r="I30" i="14"/>
  <c r="D30" i="14"/>
  <c r="I29" i="14"/>
  <c r="D29" i="14"/>
  <c r="I28" i="14"/>
  <c r="D28" i="14"/>
  <c r="I27" i="14"/>
  <c r="D27" i="14"/>
  <c r="I26" i="14"/>
  <c r="D26" i="14"/>
  <c r="I25" i="14"/>
  <c r="D25" i="14"/>
  <c r="I24" i="14"/>
  <c r="D24" i="14"/>
  <c r="I23" i="14"/>
  <c r="D23" i="14"/>
  <c r="I22" i="14"/>
  <c r="D22" i="14"/>
  <c r="I21" i="14"/>
  <c r="D21" i="14"/>
  <c r="I20" i="14"/>
  <c r="D20" i="14"/>
  <c r="I19" i="14"/>
  <c r="D19" i="14"/>
  <c r="I18" i="14"/>
  <c r="D18" i="14"/>
  <c r="I17" i="14"/>
  <c r="D17" i="14"/>
  <c r="I16" i="14"/>
  <c r="D16" i="14"/>
  <c r="I15" i="14"/>
  <c r="D15" i="14"/>
  <c r="I14" i="14"/>
  <c r="D14" i="14"/>
  <c r="I13" i="14"/>
  <c r="D13" i="14"/>
  <c r="I12" i="14"/>
  <c r="D12" i="14"/>
  <c r="I11" i="14"/>
  <c r="D11" i="14"/>
  <c r="I10" i="14"/>
  <c r="D10" i="14"/>
  <c r="I9" i="14"/>
  <c r="D9" i="14"/>
  <c r="I8" i="14"/>
  <c r="D8" i="14"/>
  <c r="M6" i="14"/>
  <c r="M12" i="14" s="1"/>
  <c r="M12" i="6"/>
  <c r="M12" i="7"/>
  <c r="P6" i="7"/>
  <c r="M6" i="7" l="1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I253" i="7"/>
  <c r="I252" i="7"/>
  <c r="I251" i="7"/>
  <c r="I250" i="7"/>
  <c r="I249" i="7"/>
  <c r="I248" i="7"/>
  <c r="I247" i="7"/>
  <c r="I246" i="7"/>
  <c r="I245" i="7"/>
  <c r="I244" i="7"/>
  <c r="I243" i="7"/>
  <c r="I242" i="7"/>
  <c r="I241" i="7"/>
  <c r="I240" i="7"/>
  <c r="I239" i="7"/>
  <c r="I238" i="7"/>
  <c r="I237" i="7"/>
  <c r="I236" i="7"/>
  <c r="I235" i="7"/>
  <c r="I234" i="7"/>
  <c r="I233" i="7"/>
  <c r="I232" i="7"/>
  <c r="I231" i="7"/>
  <c r="I230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M6" i="6"/>
  <c r="D253" i="6" l="1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I9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G16" i="5" l="1"/>
  <c r="E23" i="5"/>
  <c r="G17" i="5"/>
  <c r="H16" i="5" l="1"/>
  <c r="H17" i="5"/>
  <c r="I38" i="1"/>
  <c r="K31" i="1"/>
  <c r="C32" i="1"/>
  <c r="D30" i="1" s="1"/>
  <c r="E23" i="1"/>
  <c r="J17" i="1"/>
  <c r="J16" i="1"/>
  <c r="G17" i="1"/>
  <c r="I14" i="1"/>
  <c r="I13" i="1"/>
  <c r="I12" i="1"/>
  <c r="I11" i="1"/>
  <c r="I10" i="1"/>
  <c r="H14" i="1"/>
  <c r="K14" i="1" s="1"/>
  <c r="H13" i="1"/>
  <c r="K13" i="1" s="1"/>
  <c r="H12" i="1"/>
  <c r="K12" i="1" s="1"/>
  <c r="H11" i="1"/>
  <c r="H17" i="1" l="1"/>
  <c r="K11" i="1"/>
  <c r="K16" i="1" s="1"/>
  <c r="H16" i="1"/>
  <c r="D31" i="1"/>
  <c r="D34" i="1" s="1"/>
  <c r="I16" i="1"/>
  <c r="D32" i="1"/>
  <c r="E32" i="1" s="1"/>
  <c r="E31" i="1" s="1"/>
  <c r="K17" i="1"/>
  <c r="K29" i="1" s="1"/>
  <c r="I17" i="1"/>
  <c r="E34" i="1" l="1"/>
  <c r="K30" i="1" s="1"/>
  <c r="K32" i="1" s="1"/>
  <c r="K23" i="1" s="1"/>
  <c r="K24" i="1" s="1"/>
  <c r="I39" i="1" s="1"/>
  <c r="J39" i="1"/>
  <c r="J40" i="1" l="1"/>
</calcChain>
</file>

<file path=xl/sharedStrings.xml><?xml version="1.0" encoding="utf-8"?>
<sst xmlns="http://schemas.openxmlformats.org/spreadsheetml/2006/main" count="356" uniqueCount="117">
  <si>
    <t>Weighted Average Cost of Capital</t>
  </si>
  <si>
    <t>All figure are in INR unless stated otherwise</t>
  </si>
  <si>
    <t>Peer Comps</t>
  </si>
  <si>
    <t>Name of the Comp</t>
  </si>
  <si>
    <t xml:space="preserve">Country </t>
  </si>
  <si>
    <t>Total Debt</t>
  </si>
  <si>
    <t>Total Equity</t>
  </si>
  <si>
    <t>Tax Rate</t>
  </si>
  <si>
    <r>
      <t xml:space="preserve">Tax Rate </t>
    </r>
    <r>
      <rPr>
        <vertAlign val="superscript"/>
        <sz val="11"/>
        <color theme="1"/>
        <rFont val="Calibri"/>
        <family val="2"/>
        <scheme val="minor"/>
      </rPr>
      <t>1</t>
    </r>
  </si>
  <si>
    <t>Debt/</t>
  </si>
  <si>
    <t>Equity</t>
  </si>
  <si>
    <t>Capital</t>
  </si>
  <si>
    <t>Levered</t>
  </si>
  <si>
    <t xml:space="preserve">Unlevered 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</si>
  <si>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2</t>
    </r>
  </si>
  <si>
    <r>
      <t>Beta</t>
    </r>
    <r>
      <rPr>
        <vertAlign val="superscript"/>
        <sz val="11"/>
        <color theme="1"/>
        <rFont val="Calibri"/>
        <family val="2"/>
        <scheme val="minor"/>
      </rPr>
      <t xml:space="preserve"> 3</t>
    </r>
  </si>
  <si>
    <t>Hind Unilever</t>
  </si>
  <si>
    <t>Nestle India</t>
  </si>
  <si>
    <t>Britannia Inds</t>
  </si>
  <si>
    <t>Godrej Consumer</t>
  </si>
  <si>
    <t>Dabur India</t>
  </si>
  <si>
    <t>India</t>
  </si>
  <si>
    <t>Average</t>
  </si>
  <si>
    <t>Median</t>
  </si>
  <si>
    <t>Cost of Debt</t>
  </si>
  <si>
    <t>Pre -Tax Cost of Debt</t>
  </si>
  <si>
    <t>Post Tax Cost of Debt</t>
  </si>
  <si>
    <t>Cost of Equity</t>
  </si>
  <si>
    <t>Risk Free Rate</t>
  </si>
  <si>
    <t>Equity Risk Premium</t>
  </si>
  <si>
    <r>
      <t>Levered Beta</t>
    </r>
    <r>
      <rPr>
        <vertAlign val="superscript"/>
        <sz val="11"/>
        <color theme="1"/>
        <rFont val="Calibri"/>
        <family val="2"/>
        <scheme val="minor"/>
      </rPr>
      <t xml:space="preserve"> 4</t>
    </r>
  </si>
  <si>
    <t>Capital Structure</t>
  </si>
  <si>
    <t>Current</t>
  </si>
  <si>
    <t>Target</t>
  </si>
  <si>
    <t>Total Capital</t>
  </si>
  <si>
    <t>Levered Beta</t>
  </si>
  <si>
    <t>Comps Median Unlevered Beta</t>
  </si>
  <si>
    <t>Target Debt/Equity</t>
  </si>
  <si>
    <t>Debt/Equity</t>
  </si>
  <si>
    <t>Debt</t>
  </si>
  <si>
    <t xml:space="preserve"> </t>
  </si>
  <si>
    <t>Total Cost</t>
  </si>
  <si>
    <t>Total Weight</t>
  </si>
  <si>
    <t>Market Capitalization (Total Equity)</t>
  </si>
  <si>
    <t>Note</t>
  </si>
  <si>
    <t>1. Tax Rate considered as marginal Tax Rate for the country</t>
  </si>
  <si>
    <t>2. Levered beta is based on 5 year monthly data</t>
  </si>
  <si>
    <t>3. Unlevered Beta = Levered beta/(1+(1- Tax Rate)*Debt/Equity</t>
  </si>
  <si>
    <t>3. Levered Beta = Unlevered beta*(1+(1- Tax Rate)*Debt/Equity</t>
  </si>
  <si>
    <t>Trent</t>
  </si>
  <si>
    <t>Avenue Supermart Weekly Returns</t>
  </si>
  <si>
    <t>Date</t>
  </si>
  <si>
    <t>Closing Price</t>
  </si>
  <si>
    <t>Return</t>
  </si>
  <si>
    <t xml:space="preserve">Regression Beta -1 Years </t>
  </si>
  <si>
    <t>Nifty Returns</t>
  </si>
  <si>
    <t>Beta Drifting</t>
  </si>
  <si>
    <t>Levered Raw Beta</t>
  </si>
  <si>
    <t>Raw Beta Weight</t>
  </si>
  <si>
    <t>Market Beta</t>
  </si>
  <si>
    <t>Market Beta Weight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</si>
  <si>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</si>
  <si>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</si>
  <si>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</si>
  <si>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</si>
  <si>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</si>
  <si>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</si>
  <si>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</si>
  <si>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</si>
  <si>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</si>
  <si>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</si>
  <si>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</si>
  <si>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</si>
  <si>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</si>
  <si>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</si>
  <si>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</si>
  <si>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</si>
  <si>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</si>
  <si>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</si>
  <si>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</si>
  <si>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</si>
  <si>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</si>
  <si>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</si>
  <si>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</si>
  <si>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</si>
  <si>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</si>
  <si>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 xml:space="preserve">Beta </t>
  </si>
  <si>
    <t>Adjusted Beta</t>
  </si>
  <si>
    <t>Trent Limited Returns</t>
  </si>
  <si>
    <t>Avenue Super.</t>
  </si>
  <si>
    <t>Info Edg.(India)</t>
  </si>
  <si>
    <t>FSN E-Commerce</t>
  </si>
  <si>
    <t>FSN E-Commerce Ventures Limited  Returns</t>
  </si>
  <si>
    <t>Info Edg.</t>
  </si>
  <si>
    <t>Info Edg. Returns</t>
  </si>
  <si>
    <t>Swiggy Ltd</t>
  </si>
  <si>
    <t>Swiggy Ltd  Returns</t>
  </si>
  <si>
    <t>Name</t>
  </si>
  <si>
    <t>Debt / Eq</t>
  </si>
  <si>
    <t>CMP Rs.</t>
  </si>
  <si>
    <t xml:space="preserve">Mar Cap Rs.Cr. </t>
  </si>
  <si>
    <t>Debt Rs.Cr.</t>
  </si>
  <si>
    <t>Avenue Supermart</t>
  </si>
  <si>
    <t>SL.No</t>
  </si>
  <si>
    <t>Comparable Beta</t>
  </si>
  <si>
    <t>Year</t>
  </si>
  <si>
    <t>Annual</t>
  </si>
  <si>
    <t>Returns on Markets</t>
  </si>
  <si>
    <t>Average Return</t>
  </si>
  <si>
    <t>Dividend Yield</t>
  </si>
  <si>
    <r>
      <t xml:space="preserve">1.35% </t>
    </r>
    <r>
      <rPr>
        <vertAlign val="superscript"/>
        <sz val="11"/>
        <rFont val="Calibri"/>
        <family val="2"/>
        <scheme val="minor"/>
      </rPr>
      <t>1</t>
    </r>
  </si>
  <si>
    <t>Total Market Return</t>
  </si>
  <si>
    <t>Equity Weight</t>
  </si>
  <si>
    <r>
      <t>C</t>
    </r>
    <r>
      <rPr>
        <sz val="11"/>
        <color theme="1"/>
        <rFont val="Calibri"/>
        <family val="2"/>
        <scheme val="minor"/>
      </rPr>
      <t>ost of Debt</t>
    </r>
  </si>
  <si>
    <t>Debt Weight</t>
  </si>
  <si>
    <t>WACC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</si>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</sst>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3366FF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10" fontId="0" fillId="0" borderId="0" xfId="0" applyNumberFormat="1"/>
    <xf numFmtId="2" fontId="0" fillId="0" borderId="0" xfId="0" applyNumberFormat="1"/>
    <xf numFmtId="0" fontId="7" fillId="0" borderId="0" xfId="0" applyFont="1"/>
    <xf numFmtId="164" fontId="7" fillId="0" borderId="0" xfId="0" applyNumberFormat="1" applyFont="1"/>
    <xf numFmtId="10" fontId="7" fillId="0" borderId="0" xfId="0" applyNumberFormat="1" applyFont="1"/>
    <xf numFmtId="10" fontId="0" fillId="0" borderId="0" xfId="2" applyNumberFormat="1" applyFont="1"/>
    <xf numFmtId="10" fontId="0" fillId="3" borderId="0" xfId="2" applyNumberFormat="1" applyFont="1" applyFill="1"/>
    <xf numFmtId="2" fontId="7" fillId="0" borderId="0" xfId="0" applyNumberFormat="1" applyFont="1"/>
    <xf numFmtId="9" fontId="7" fillId="0" borderId="0" xfId="0" applyNumberFormat="1" applyFont="1"/>
    <xf numFmtId="2" fontId="0" fillId="3" borderId="0" xfId="2" applyNumberFormat="1" applyFont="1" applyFill="1"/>
    <xf numFmtId="43" fontId="7" fillId="0" borderId="0" xfId="0" applyNumberFormat="1" applyFont="1"/>
    <xf numFmtId="0" fontId="3" fillId="0" borderId="1" xfId="0" applyFont="1" applyBorder="1"/>
    <xf numFmtId="0" fontId="3" fillId="0" borderId="2" xfId="0" applyFont="1" applyBorder="1"/>
    <xf numFmtId="10" fontId="0" fillId="0" borderId="1" xfId="0" applyNumberFormat="1" applyBorder="1"/>
    <xf numFmtId="10" fontId="0" fillId="0" borderId="2" xfId="0" applyNumberFormat="1" applyBorder="1"/>
    <xf numFmtId="2" fontId="0" fillId="0" borderId="1" xfId="0" applyNumberFormat="1" applyBorder="1"/>
    <xf numFmtId="2" fontId="0" fillId="0" borderId="2" xfId="0" applyNumberFormat="1" applyBorder="1"/>
    <xf numFmtId="10" fontId="0" fillId="0" borderId="1" xfId="2" applyNumberFormat="1" applyFont="1" applyBorder="1"/>
    <xf numFmtId="10" fontId="0" fillId="0" borderId="2" xfId="2" applyNumberFormat="1" applyFont="1" applyBorder="1"/>
    <xf numFmtId="0" fontId="0" fillId="0" borderId="3" xfId="0" applyBorder="1"/>
    <xf numFmtId="0" fontId="3" fillId="0" borderId="4" xfId="0" applyFont="1" applyBorder="1" applyAlignment="1">
      <alignment horizontal="right"/>
    </xf>
    <xf numFmtId="0" fontId="0" fillId="0" borderId="5" xfId="0" applyBorder="1"/>
    <xf numFmtId="10" fontId="7" fillId="0" borderId="0" xfId="2" applyNumberFormat="1" applyFont="1"/>
    <xf numFmtId="43" fontId="0" fillId="0" borderId="0" xfId="2" applyNumberFormat="1" applyFont="1"/>
    <xf numFmtId="10" fontId="3" fillId="3" borderId="3" xfId="2" applyNumberFormat="1" applyFont="1" applyFill="1" applyBorder="1"/>
    <xf numFmtId="43" fontId="3" fillId="3" borderId="5" xfId="1" applyFont="1" applyFill="1" applyBorder="1"/>
    <xf numFmtId="10" fontId="3" fillId="3" borderId="0" xfId="0" applyNumberFormat="1" applyFont="1" applyFill="1"/>
    <xf numFmtId="4" fontId="7" fillId="0" borderId="0" xfId="0" applyNumberFormat="1" applyFont="1"/>
    <xf numFmtId="0" fontId="3" fillId="0" borderId="2" xfId="0" applyFont="1" applyBorder="1" applyAlignment="1">
      <alignment horizontal="right"/>
    </xf>
    <xf numFmtId="0" fontId="3" fillId="0" borderId="5" xfId="0" applyFont="1" applyBorder="1"/>
    <xf numFmtId="4" fontId="3" fillId="0" borderId="5" xfId="0" applyNumberFormat="1" applyFont="1" applyBorder="1"/>
    <xf numFmtId="10" fontId="3" fillId="0" borderId="5" xfId="2" applyNumberFormat="1" applyFont="1" applyBorder="1"/>
    <xf numFmtId="10" fontId="3" fillId="0" borderId="5" xfId="0" applyNumberFormat="1" applyFont="1" applyBorder="1"/>
    <xf numFmtId="0" fontId="3" fillId="0" borderId="3" xfId="0" applyFont="1" applyBorder="1"/>
    <xf numFmtId="0" fontId="8" fillId="0" borderId="0" xfId="0" applyFont="1"/>
    <xf numFmtId="0" fontId="8" fillId="0" borderId="0" xfId="0" applyFont="1" applyAlignment="1">
      <alignment vertical="top"/>
    </xf>
    <xf numFmtId="0" fontId="9" fillId="0" borderId="0" xfId="0" applyFont="1"/>
    <xf numFmtId="0" fontId="9" fillId="4" borderId="0" xfId="0" applyFont="1" applyFill="1" applyAlignment="1">
      <alignment horizontal="right" vertical="center" wrapText="1" indent="1"/>
    </xf>
    <xf numFmtId="0" fontId="2" fillId="5" borderId="0" xfId="0" applyFont="1" applyFill="1"/>
    <xf numFmtId="0" fontId="3" fillId="0" borderId="6" xfId="0" applyFont="1" applyBorder="1"/>
    <xf numFmtId="4" fontId="0" fillId="0" borderId="0" xfId="0" applyNumberFormat="1"/>
    <xf numFmtId="0" fontId="3" fillId="0" borderId="6" xfId="0" applyFont="1" applyBorder="1" applyAlignment="1">
      <alignment horizontal="left"/>
    </xf>
    <xf numFmtId="14" fontId="11" fillId="0" borderId="0" xfId="0" applyNumberFormat="1" applyFont="1" applyBorder="1" applyAlignment="1">
      <alignment horizontal="left" vertical="top"/>
    </xf>
    <xf numFmtId="0" fontId="3" fillId="0" borderId="6" xfId="0" applyFont="1" applyBorder="1" applyAlignment="1">
      <alignment horizontal="right"/>
    </xf>
    <xf numFmtId="0" fontId="0" fillId="0" borderId="0" xfId="0" applyAlignment="1">
      <alignment horizontal="right"/>
    </xf>
    <xf numFmtId="10" fontId="0" fillId="0" borderId="0" xfId="2" applyNumberFormat="1" applyFont="1" applyAlignment="1">
      <alignment horizontal="right"/>
    </xf>
    <xf numFmtId="0" fontId="0" fillId="0" borderId="0" xfId="0" applyFill="1" applyBorder="1" applyAlignment="1"/>
    <xf numFmtId="0" fontId="0" fillId="0" borderId="7" xfId="0" applyFill="1" applyBorder="1" applyAlignment="1"/>
    <xf numFmtId="0" fontId="12" fillId="0" borderId="8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Continuous"/>
    </xf>
    <xf numFmtId="43" fontId="0" fillId="0" borderId="0" xfId="1" applyFont="1"/>
    <xf numFmtId="43" fontId="0" fillId="0" borderId="0" xfId="0" applyNumberFormat="1"/>
    <xf numFmtId="9" fontId="0" fillId="0" borderId="0" xfId="0" applyNumberFormat="1"/>
    <xf numFmtId="0" fontId="3" fillId="6" borderId="0" xfId="0" applyFont="1" applyFill="1"/>
    <xf numFmtId="43" fontId="3" fillId="6" borderId="0" xfId="1" applyFont="1" applyFill="1"/>
    <xf numFmtId="0" fontId="3" fillId="0" borderId="0" xfId="0" applyFont="1" applyAlignment="1">
      <alignment horizontal="left"/>
    </xf>
    <xf numFmtId="0" fontId="2" fillId="4" borderId="0" xfId="0" applyFont="1" applyFill="1" applyAlignment="1"/>
    <xf numFmtId="0" fontId="0" fillId="0" borderId="0" xfId="0"/>
    <xf numFmtId="14" fontId="13" fillId="0" borderId="0" xfId="0" applyNumberFormat="1" applyFont="1" applyBorder="1" applyAlignment="1">
      <alignment horizontal="left" vertical="top"/>
    </xf>
    <xf numFmtId="14" fontId="13" fillId="4" borderId="0" xfId="0" applyNumberFormat="1" applyFont="1" applyFill="1" applyBorder="1" applyAlignment="1">
      <alignment horizontal="center" vertical="top"/>
    </xf>
    <xf numFmtId="0" fontId="10" fillId="4" borderId="0" xfId="0" applyFont="1" applyFill="1" applyBorder="1"/>
    <xf numFmtId="0" fontId="14" fillId="4" borderId="0" xfId="0" applyFont="1" applyFill="1" applyBorder="1" applyAlignment="1">
      <alignment horizontal="centerContinuous"/>
    </xf>
    <xf numFmtId="0" fontId="3" fillId="0" borderId="4" xfId="0" applyFont="1" applyBorder="1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4" borderId="0" xfId="0" applyFill="1"/>
    <xf numFmtId="0" fontId="0" fillId="0" borderId="0" xfId="0"/>
    <xf numFmtId="10" fontId="16" fillId="0" borderId="0" xfId="2" applyNumberFormat="1" applyFont="1"/>
    <xf numFmtId="0" fontId="0" fillId="0" borderId="0" xfId="0" applyAlignment="1">
      <alignment horizontal="left"/>
    </xf>
    <xf numFmtId="0" fontId="0" fillId="0" borderId="0" xfId="0" applyAlignment="1"/>
    <xf numFmtId="0" fontId="3" fillId="8" borderId="0" xfId="0" applyFont="1" applyFill="1"/>
    <xf numFmtId="10" fontId="15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3" fillId="6" borderId="0" xfId="0" applyNumberFormat="1" applyFont="1" applyFill="1"/>
    <xf numFmtId="10" fontId="0" fillId="0" borderId="0" xfId="0" applyNumberFormat="1" applyFont="1"/>
    <xf numFmtId="0" fontId="0" fillId="0" borderId="0" xfId="0" applyBorder="1"/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10" fontId="0" fillId="0" borderId="0" xfId="0" applyNumberFormat="1" applyBorder="1"/>
    <xf numFmtId="10" fontId="3" fillId="0" borderId="0" xfId="2" applyNumberFormat="1" applyFont="1" applyBorder="1"/>
    <xf numFmtId="0" fontId="0" fillId="0" borderId="0" xfId="0" applyFont="1" applyBorder="1"/>
    <xf numFmtId="0" fontId="0" fillId="0" borderId="0" xfId="0" applyFont="1" applyFill="1" applyBorder="1"/>
    <xf numFmtId="0" fontId="3" fillId="6" borderId="0" xfId="0" applyFont="1" applyFill="1" applyBorder="1"/>
    <xf numFmtId="10" fontId="3" fillId="6" borderId="0" xfId="2" applyNumberFormat="1" applyFont="1" applyFill="1"/>
    <xf numFmtId="0" fontId="2" fillId="2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1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3333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2060"/>
  </sheetPr>
  <dimension ref="B2:F6"/>
  <sheetViews>
    <sheetView showGridLines="0" workbookViewId="0">
      <selection activeCell="F17" sqref="F17"/>
    </sheetView>
  </sheetViews>
  <sheetFormatPr defaultRowHeight="15" x14ac:dyDescent="0.25"/>
  <cols>
    <col min="1" max="1" width="1.85546875" customWidth="1"/>
    <col min="2" max="2" width="16.5703125" bestFit="1" customWidth="1"/>
  </cols>
  <sheetData>
    <row r="2" spans="2:6" x14ac:dyDescent="0.25">
      <c r="B2" s="12"/>
      <c r="C2" s="12"/>
      <c r="D2" s="13"/>
      <c r="E2" s="12"/>
      <c r="F2" s="14"/>
    </row>
    <row r="3" spans="2:6" x14ac:dyDescent="0.25">
      <c r="B3" s="12"/>
      <c r="C3" s="12"/>
      <c r="D3" s="12"/>
      <c r="E3" s="13"/>
      <c r="F3" s="14"/>
    </row>
    <row r="4" spans="2:6" x14ac:dyDescent="0.25">
      <c r="B4" s="12"/>
      <c r="C4" s="12"/>
      <c r="D4" s="12"/>
      <c r="E4" s="13"/>
      <c r="F4" s="14"/>
    </row>
    <row r="5" spans="2:6" x14ac:dyDescent="0.25">
      <c r="B5" s="12"/>
      <c r="C5" s="12"/>
      <c r="D5" s="12"/>
      <c r="E5" s="12"/>
      <c r="F5" s="14"/>
    </row>
    <row r="6" spans="2:6" x14ac:dyDescent="0.25">
      <c r="B6" s="12"/>
      <c r="C6" s="12"/>
      <c r="D6" s="12"/>
      <c r="E6" s="12"/>
      <c r="F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N40"/>
  <sheetViews>
    <sheetView showGridLines="0" topLeftCell="A11" workbookViewId="0">
      <selection activeCell="M28" sqref="M28"/>
    </sheetView>
  </sheetViews>
  <sheetFormatPr defaultRowHeight="15" x14ac:dyDescent="0.25"/>
  <cols>
    <col min="1" max="1" width="1.85546875" customWidth="1"/>
    <col min="2" max="2" width="36.28515625" customWidth="1"/>
    <col min="4" max="4" width="12.5703125" customWidth="1"/>
    <col min="5" max="5" width="11.42578125" bestFit="1" customWidth="1"/>
    <col min="6" max="6" width="11.5703125" bestFit="1" customWidth="1"/>
    <col min="8" max="8" width="15.85546875" customWidth="1"/>
    <col min="9" max="9" width="12.85546875" customWidth="1"/>
    <col min="10" max="11" width="12.28515625" bestFit="1" customWidth="1"/>
  </cols>
  <sheetData>
    <row r="2" spans="2:11" x14ac:dyDescent="0.25">
      <c r="B2" s="2" t="s">
        <v>0</v>
      </c>
      <c r="C2" s="2"/>
      <c r="D2" s="2"/>
      <c r="E2" s="2"/>
      <c r="F2" s="1"/>
      <c r="G2" s="1"/>
      <c r="H2" s="1"/>
      <c r="I2" s="1"/>
      <c r="J2" s="1"/>
      <c r="K2" s="1"/>
    </row>
    <row r="4" spans="2:11" x14ac:dyDescent="0.25">
      <c r="B4" s="4" t="s">
        <v>1</v>
      </c>
      <c r="C4" s="5"/>
      <c r="D4" s="5"/>
      <c r="E4" s="5"/>
    </row>
    <row r="6" spans="2:11" x14ac:dyDescent="0.25">
      <c r="B6" s="3" t="s">
        <v>2</v>
      </c>
    </row>
    <row r="7" spans="2:11" x14ac:dyDescent="0.25">
      <c r="B7" s="6"/>
      <c r="C7" s="6"/>
      <c r="D7" s="6"/>
      <c r="E7" s="6"/>
      <c r="F7" s="6"/>
      <c r="G7" s="6"/>
      <c r="H7" s="7" t="s">
        <v>9</v>
      </c>
      <c r="I7" s="7" t="s">
        <v>9</v>
      </c>
      <c r="J7" s="7" t="s">
        <v>12</v>
      </c>
      <c r="K7" s="7" t="s">
        <v>13</v>
      </c>
    </row>
    <row r="8" spans="2:11" ht="17.25" x14ac:dyDescent="0.25">
      <c r="B8" s="8" t="s">
        <v>3</v>
      </c>
      <c r="C8" s="8"/>
      <c r="D8" s="8" t="s">
        <v>4</v>
      </c>
      <c r="E8" s="8" t="s">
        <v>5</v>
      </c>
      <c r="F8" s="8" t="s">
        <v>6</v>
      </c>
      <c r="G8" s="8" t="s">
        <v>8</v>
      </c>
      <c r="H8" s="9" t="s">
        <v>10</v>
      </c>
      <c r="I8" s="9" t="s">
        <v>11</v>
      </c>
      <c r="J8" s="9" t="s">
        <v>14</v>
      </c>
      <c r="K8" s="9" t="s">
        <v>15</v>
      </c>
    </row>
    <row r="10" spans="2:11" x14ac:dyDescent="0.25">
      <c r="B10" s="12" t="s">
        <v>16</v>
      </c>
      <c r="C10" s="12"/>
      <c r="D10" s="12" t="s">
        <v>21</v>
      </c>
      <c r="E10" s="20">
        <v>1139</v>
      </c>
      <c r="F10" s="20">
        <v>611503.89</v>
      </c>
      <c r="G10" s="14">
        <v>0.3</v>
      </c>
      <c r="H10" s="16">
        <f>E10/F10</f>
        <v>1.8626210211025803E-3</v>
      </c>
      <c r="I10" s="16">
        <f>E10/(E10+F10)</f>
        <v>1.8591581141176713E-3</v>
      </c>
      <c r="J10" s="17">
        <v>1</v>
      </c>
      <c r="K10" s="19">
        <f>J10/(1+(1-G10)*H10)</f>
        <v>0.99869786305657837</v>
      </c>
    </row>
    <row r="11" spans="2:11" x14ac:dyDescent="0.25">
      <c r="B11" s="12" t="s">
        <v>17</v>
      </c>
      <c r="C11" s="12"/>
      <c r="D11" s="12" t="s">
        <v>21</v>
      </c>
      <c r="E11" s="20">
        <v>279.89999999999998</v>
      </c>
      <c r="F11" s="20">
        <v>182975.03</v>
      </c>
      <c r="G11" s="14">
        <v>0.3</v>
      </c>
      <c r="H11" s="16">
        <f t="shared" ref="H11:H14" si="0">E11/F11</f>
        <v>1.529716923669858E-3</v>
      </c>
      <c r="I11" s="16">
        <f t="shared" ref="I11:I14" si="1">E11/(E11+F11)</f>
        <v>1.5273804639253088E-3</v>
      </c>
      <c r="J11" s="17">
        <v>1</v>
      </c>
      <c r="K11" s="19">
        <f t="shared" ref="K11:K14" si="2">J11/(1+(1-G11)*H11)</f>
        <v>0.99893034354353993</v>
      </c>
    </row>
    <row r="12" spans="2:11" x14ac:dyDescent="0.25">
      <c r="B12" s="12" t="s">
        <v>18</v>
      </c>
      <c r="C12" s="12"/>
      <c r="D12" s="12" t="s">
        <v>21</v>
      </c>
      <c r="E12" s="20">
        <v>3037.7</v>
      </c>
      <c r="F12" s="20">
        <v>110689.96</v>
      </c>
      <c r="G12" s="14">
        <v>0.3</v>
      </c>
      <c r="H12" s="16">
        <f t="shared" si="0"/>
        <v>2.7443320062632597E-2</v>
      </c>
      <c r="I12" s="16">
        <f t="shared" si="1"/>
        <v>2.671030073071054E-2</v>
      </c>
      <c r="J12" s="17">
        <v>1</v>
      </c>
      <c r="K12" s="19">
        <f t="shared" si="2"/>
        <v>0.98115175681539069</v>
      </c>
    </row>
    <row r="13" spans="2:11" x14ac:dyDescent="0.25">
      <c r="B13" s="12" t="s">
        <v>19</v>
      </c>
      <c r="C13" s="12"/>
      <c r="D13" s="12" t="s">
        <v>21</v>
      </c>
      <c r="E13" s="20">
        <v>1164.5</v>
      </c>
      <c r="F13" s="20">
        <v>96256.38</v>
      </c>
      <c r="G13" s="14">
        <v>0.3</v>
      </c>
      <c r="H13" s="16">
        <f t="shared" si="0"/>
        <v>1.2097899380799484E-2</v>
      </c>
      <c r="I13" s="16">
        <f t="shared" si="1"/>
        <v>1.1953289684921754E-2</v>
      </c>
      <c r="J13" s="17">
        <v>1</v>
      </c>
      <c r="K13" s="19">
        <f t="shared" si="2"/>
        <v>0.99160258419744696</v>
      </c>
    </row>
    <row r="14" spans="2:11" x14ac:dyDescent="0.25">
      <c r="B14" s="12" t="s">
        <v>20</v>
      </c>
      <c r="C14" s="12"/>
      <c r="D14" s="12" t="s">
        <v>21</v>
      </c>
      <c r="E14" s="20">
        <v>1068.0999999999999</v>
      </c>
      <c r="F14" s="20">
        <v>94940.38</v>
      </c>
      <c r="G14" s="14">
        <v>0.3</v>
      </c>
      <c r="H14" s="16">
        <f t="shared" si="0"/>
        <v>1.1250218294892015E-2</v>
      </c>
      <c r="I14" s="16">
        <f t="shared" si="1"/>
        <v>1.1125058953125806E-2</v>
      </c>
      <c r="J14" s="17">
        <v>1</v>
      </c>
      <c r="K14" s="19">
        <f t="shared" si="2"/>
        <v>0.99218638064000675</v>
      </c>
    </row>
    <row r="16" spans="2:11" x14ac:dyDescent="0.25">
      <c r="F16" s="21" t="s">
        <v>22</v>
      </c>
      <c r="G16" s="23">
        <f>AVERAGE(G10:G14)</f>
        <v>0.3</v>
      </c>
      <c r="H16" s="27">
        <f>AVERAGE(H10:H14)</f>
        <v>1.0836755136619306E-2</v>
      </c>
      <c r="I16" s="27">
        <f>AVERAGE(I10:I14)</f>
        <v>1.0635037589360217E-2</v>
      </c>
      <c r="J16" s="25">
        <f>AVERAGE(J10:J14)</f>
        <v>1</v>
      </c>
      <c r="K16" s="25">
        <f>AVERAGE(K10:K14)</f>
        <v>0.99251378565059256</v>
      </c>
    </row>
    <row r="17" spans="2:14" x14ac:dyDescent="0.25">
      <c r="F17" s="22" t="s">
        <v>23</v>
      </c>
      <c r="G17" s="24">
        <f>MEDIAN(G10:G14)</f>
        <v>0.3</v>
      </c>
      <c r="H17" s="28">
        <f>MEDIAN(H10:H14)</f>
        <v>1.1250218294892015E-2</v>
      </c>
      <c r="I17" s="28">
        <f>MEDIAN(I10:I14)</f>
        <v>1.1125058953125806E-2</v>
      </c>
      <c r="J17" s="26">
        <f>MEDIAN(J10:J14)</f>
        <v>1</v>
      </c>
      <c r="K17" s="26">
        <f>MEDIAN(K10:K14)</f>
        <v>0.99218638064000675</v>
      </c>
    </row>
    <row r="19" spans="2:14" x14ac:dyDescent="0.25">
      <c r="B19" s="22" t="s">
        <v>24</v>
      </c>
      <c r="C19" s="22"/>
      <c r="D19" s="22"/>
      <c r="E19" s="22"/>
      <c r="G19" s="22" t="s">
        <v>27</v>
      </c>
      <c r="H19" s="22"/>
      <c r="I19" s="22"/>
      <c r="J19" s="8"/>
      <c r="K19" s="8"/>
    </row>
    <row r="21" spans="2:14" x14ac:dyDescent="0.25">
      <c r="B21" t="s">
        <v>25</v>
      </c>
      <c r="E21" s="32">
        <v>8.4000000000000005E-2</v>
      </c>
      <c r="G21" t="s">
        <v>28</v>
      </c>
      <c r="K21" s="15">
        <v>6.5000000000000002E-2</v>
      </c>
    </row>
    <row r="22" spans="2:14" x14ac:dyDescent="0.25">
      <c r="B22" t="s">
        <v>7</v>
      </c>
      <c r="E22" s="18">
        <v>0.3</v>
      </c>
      <c r="G22" t="s">
        <v>29</v>
      </c>
      <c r="K22" s="15">
        <v>0.08</v>
      </c>
    </row>
    <row r="23" spans="2:14" ht="17.25" x14ac:dyDescent="0.25">
      <c r="B23" s="43" t="s">
        <v>26</v>
      </c>
      <c r="C23" s="29"/>
      <c r="D23" s="29"/>
      <c r="E23" s="34">
        <f>E21*(1-E22)</f>
        <v>5.8799999999999998E-2</v>
      </c>
      <c r="G23" t="s">
        <v>30</v>
      </c>
      <c r="K23" s="33">
        <f>K32</f>
        <v>1.5055349862754883</v>
      </c>
    </row>
    <row r="24" spans="2:14" x14ac:dyDescent="0.25">
      <c r="G24" s="43" t="s">
        <v>27</v>
      </c>
      <c r="H24" s="29"/>
      <c r="I24" s="29"/>
      <c r="J24" s="29"/>
      <c r="K24" s="34">
        <f>K21+K22*K23</f>
        <v>0.18544279890203907</v>
      </c>
    </row>
    <row r="26" spans="2:14" x14ac:dyDescent="0.25">
      <c r="N26" t="s">
        <v>40</v>
      </c>
    </row>
    <row r="27" spans="2:14" x14ac:dyDescent="0.25">
      <c r="B27" s="22" t="s">
        <v>31</v>
      </c>
      <c r="C27" s="22"/>
      <c r="D27" s="22"/>
      <c r="E27" s="22"/>
      <c r="G27" s="22" t="s">
        <v>35</v>
      </c>
      <c r="H27" s="22"/>
      <c r="I27" s="22"/>
      <c r="J27" s="22"/>
      <c r="K27" s="8"/>
    </row>
    <row r="29" spans="2:14" x14ac:dyDescent="0.25">
      <c r="D29" s="30" t="s">
        <v>32</v>
      </c>
      <c r="E29" s="30" t="s">
        <v>33</v>
      </c>
      <c r="G29" t="s">
        <v>36</v>
      </c>
      <c r="K29" s="11">
        <f>K17</f>
        <v>0.99218638064000675</v>
      </c>
    </row>
    <row r="30" spans="2:14" x14ac:dyDescent="0.25">
      <c r="B30" t="s">
        <v>5</v>
      </c>
      <c r="C30" s="37">
        <v>17440</v>
      </c>
      <c r="D30" s="15">
        <f>C30/$C$32</f>
        <v>0.35087013378935722</v>
      </c>
      <c r="E30" s="32">
        <v>0.42499999999999999</v>
      </c>
      <c r="G30" t="s">
        <v>37</v>
      </c>
      <c r="K30" s="10">
        <f>E34</f>
        <v>0.73913043478260876</v>
      </c>
      <c r="M30" t="s">
        <v>116</v>
      </c>
    </row>
    <row r="31" spans="2:14" x14ac:dyDescent="0.25">
      <c r="B31" t="s">
        <v>43</v>
      </c>
      <c r="C31" s="37">
        <v>32265</v>
      </c>
      <c r="D31" s="15">
        <f t="shared" ref="D31:D32" si="3">C31/$C$32</f>
        <v>0.64912986621064284</v>
      </c>
      <c r="E31" s="15">
        <f>E32-E30</f>
        <v>0.57499999999999996</v>
      </c>
      <c r="G31" t="s">
        <v>7</v>
      </c>
      <c r="K31" s="10">
        <f>E22</f>
        <v>0.3</v>
      </c>
    </row>
    <row r="32" spans="2:14" x14ac:dyDescent="0.25">
      <c r="B32" s="39" t="s">
        <v>34</v>
      </c>
      <c r="C32" s="40">
        <f>SUM(C30:C31)</f>
        <v>49705</v>
      </c>
      <c r="D32" s="41">
        <f t="shared" si="3"/>
        <v>1</v>
      </c>
      <c r="E32" s="42">
        <f>D32</f>
        <v>1</v>
      </c>
      <c r="G32" s="39" t="s">
        <v>35</v>
      </c>
      <c r="H32" s="31"/>
      <c r="I32" s="31"/>
      <c r="J32" s="31"/>
      <c r="K32" s="35">
        <f>K29*(1+(1-K31)*K30)</f>
        <v>1.5055349862754883</v>
      </c>
    </row>
    <row r="34" spans="2:11" x14ac:dyDescent="0.25">
      <c r="B34" s="3" t="s">
        <v>38</v>
      </c>
      <c r="D34" s="36">
        <f>D30/D31</f>
        <v>0.54052378738571205</v>
      </c>
      <c r="E34" s="36">
        <f>E30/E31</f>
        <v>0.73913043478260876</v>
      </c>
    </row>
    <row r="35" spans="2:11" x14ac:dyDescent="0.25">
      <c r="G35" s="22" t="s">
        <v>0</v>
      </c>
      <c r="H35" s="22"/>
      <c r="I35" s="22"/>
      <c r="J35" s="22"/>
      <c r="K35" s="8"/>
    </row>
    <row r="36" spans="2:11" x14ac:dyDescent="0.25">
      <c r="B36" s="44" t="s">
        <v>44</v>
      </c>
    </row>
    <row r="37" spans="2:11" x14ac:dyDescent="0.25">
      <c r="B37" s="45" t="s">
        <v>45</v>
      </c>
      <c r="I37" s="38" t="s">
        <v>41</v>
      </c>
      <c r="J37" s="22" t="s">
        <v>42</v>
      </c>
      <c r="K37" s="8"/>
    </row>
    <row r="38" spans="2:11" x14ac:dyDescent="0.25">
      <c r="B38" s="45" t="s">
        <v>46</v>
      </c>
      <c r="G38" t="s">
        <v>39</v>
      </c>
      <c r="I38" s="10">
        <f>E23</f>
        <v>5.8799999999999998E-2</v>
      </c>
      <c r="J38" s="10">
        <f>E30</f>
        <v>0.42499999999999999</v>
      </c>
    </row>
    <row r="39" spans="2:11" x14ac:dyDescent="0.25">
      <c r="B39" s="45" t="s">
        <v>47</v>
      </c>
      <c r="G39" t="s">
        <v>10</v>
      </c>
      <c r="I39" s="10">
        <f>K24</f>
        <v>0.18544279890203907</v>
      </c>
      <c r="J39" s="10">
        <f>E31</f>
        <v>0.57499999999999996</v>
      </c>
    </row>
    <row r="40" spans="2:11" x14ac:dyDescent="0.25">
      <c r="B40" s="45" t="s">
        <v>48</v>
      </c>
      <c r="G40" s="39" t="s">
        <v>0</v>
      </c>
      <c r="H40" s="39"/>
      <c r="I40" s="39"/>
      <c r="J40" s="41">
        <f>SUMPRODUCT(I38:I39,J38:J39)</f>
        <v>0.13161960936867245</v>
      </c>
      <c r="K40" s="3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2:O43"/>
  <sheetViews>
    <sheetView showGridLines="0" tabSelected="1" topLeftCell="A22" zoomScaleNormal="100" workbookViewId="0">
      <selection activeCell="O35" sqref="O35"/>
    </sheetView>
  </sheetViews>
  <sheetFormatPr defaultRowHeight="15" x14ac:dyDescent="0.25"/>
  <cols>
    <col min="1" max="1" width="1.85546875" customWidth="1"/>
    <col min="2" max="2" width="19.7109375" customWidth="1"/>
    <col min="3" max="3" width="10.7109375" bestFit="1" customWidth="1"/>
    <col min="4" max="4" width="12.5703125" customWidth="1"/>
    <col min="5" max="5" width="11.42578125" bestFit="1" customWidth="1"/>
    <col min="6" max="6" width="11.5703125" bestFit="1" customWidth="1"/>
    <col min="8" max="8" width="15.85546875" customWidth="1"/>
    <col min="9" max="9" width="12.85546875" customWidth="1"/>
    <col min="10" max="10" width="12.28515625" bestFit="1" customWidth="1"/>
    <col min="11" max="11" width="11" customWidth="1"/>
  </cols>
  <sheetData>
    <row r="2" spans="2:15" x14ac:dyDescent="0.25">
      <c r="B2" s="2" t="s">
        <v>0</v>
      </c>
      <c r="C2" s="2"/>
      <c r="D2" s="2"/>
      <c r="E2" s="2"/>
      <c r="F2" s="1"/>
      <c r="G2" s="1"/>
      <c r="H2" s="1"/>
      <c r="I2" s="1"/>
      <c r="J2" s="1"/>
      <c r="K2" s="1"/>
    </row>
    <row r="4" spans="2:15" x14ac:dyDescent="0.25">
      <c r="B4" s="4" t="s">
        <v>1</v>
      </c>
      <c r="C4" s="5"/>
      <c r="D4" s="5"/>
      <c r="E4" s="5"/>
    </row>
    <row r="6" spans="2:15" x14ac:dyDescent="0.25">
      <c r="B6" s="3" t="s">
        <v>2</v>
      </c>
    </row>
    <row r="7" spans="2:15" x14ac:dyDescent="0.25">
      <c r="B7" s="6"/>
      <c r="C7" s="6"/>
      <c r="D7" s="6"/>
      <c r="E7" s="6"/>
      <c r="F7" s="6"/>
      <c r="G7" s="6"/>
      <c r="H7" s="7" t="s">
        <v>9</v>
      </c>
      <c r="I7" s="7" t="s">
        <v>9</v>
      </c>
      <c r="J7" s="7" t="s">
        <v>12</v>
      </c>
      <c r="K7" s="7" t="s">
        <v>13</v>
      </c>
    </row>
    <row r="8" spans="2:15" ht="17.25" x14ac:dyDescent="0.25">
      <c r="B8" s="8" t="s">
        <v>3</v>
      </c>
      <c r="C8" s="8"/>
      <c r="D8" s="8" t="s">
        <v>4</v>
      </c>
      <c r="E8" s="8" t="s">
        <v>5</v>
      </c>
      <c r="F8" s="8" t="s">
        <v>6</v>
      </c>
      <c r="G8" s="8" t="s">
        <v>8</v>
      </c>
      <c r="H8" s="9" t="s">
        <v>10</v>
      </c>
      <c r="I8" s="9" t="s">
        <v>11</v>
      </c>
      <c r="J8" s="9" t="s">
        <v>14</v>
      </c>
      <c r="K8" s="9" t="s">
        <v>15</v>
      </c>
    </row>
    <row r="10" spans="2:15" x14ac:dyDescent="0.25">
      <c r="B10" s="73" t="s">
        <v>102</v>
      </c>
      <c r="C10" s="12"/>
      <c r="D10" s="12" t="s">
        <v>21</v>
      </c>
      <c r="E10" s="12">
        <f>'Beta Comps'!F4</f>
        <v>1609.19</v>
      </c>
      <c r="F10" s="20">
        <f>'Beta Comps'!E4</f>
        <v>263787.65999999997</v>
      </c>
      <c r="G10" s="14">
        <v>0.3</v>
      </c>
      <c r="H10" s="16">
        <f>E10/F10</f>
        <v>6.1003232675857551E-3</v>
      </c>
      <c r="I10" s="16">
        <f>E10/(E10+F10)</f>
        <v>6.0633349642243315E-3</v>
      </c>
      <c r="J10" s="17">
        <f>Beta!P6</f>
        <v>0.67806986835238725</v>
      </c>
      <c r="K10" s="19">
        <f>J10/(1+(1-G10)*H10)</f>
        <v>0.67518666849175246</v>
      </c>
      <c r="O10" s="46"/>
    </row>
    <row r="11" spans="2:15" x14ac:dyDescent="0.25">
      <c r="B11" s="73" t="s">
        <v>49</v>
      </c>
      <c r="C11" s="12"/>
      <c r="D11" s="12" t="s">
        <v>21</v>
      </c>
      <c r="E11" s="12">
        <f>'Beta Comps'!F5</f>
        <v>2348.5700000000002</v>
      </c>
      <c r="F11" s="20">
        <f>'Beta Comps'!E5</f>
        <v>156101.65</v>
      </c>
      <c r="G11" s="14">
        <v>0.3</v>
      </c>
      <c r="H11" s="16">
        <f>E11/F11</f>
        <v>1.5045132450553856E-2</v>
      </c>
      <c r="I11" s="16">
        <f>E11/(E11+F11)</f>
        <v>1.4822131518656145E-2</v>
      </c>
      <c r="J11" s="17">
        <f>'Beta 2'!P6</f>
        <v>1.4029028240696859</v>
      </c>
      <c r="K11" s="19">
        <f>J11/(1+(1-G11)*H11)</f>
        <v>1.3882820034354018</v>
      </c>
      <c r="N11" s="47"/>
      <c r="O11" s="47"/>
    </row>
    <row r="12" spans="2:15" x14ac:dyDescent="0.25">
      <c r="B12" s="73" t="s">
        <v>95</v>
      </c>
      <c r="C12" s="12"/>
      <c r="D12" s="12" t="s">
        <v>21</v>
      </c>
      <c r="E12" s="17">
        <f>'Beta Comps'!F6</f>
        <v>2491</v>
      </c>
      <c r="F12" s="20">
        <f>'Beta Comps'!E6</f>
        <v>98025.26</v>
      </c>
      <c r="G12" s="14">
        <v>0.3</v>
      </c>
      <c r="H12" s="16">
        <f>E12/F12</f>
        <v>2.5411817321372064E-2</v>
      </c>
      <c r="I12" s="16">
        <f>E12/(E12+F12)</f>
        <v>2.4782060136340132E-2</v>
      </c>
      <c r="J12" s="17">
        <f>'Beta 3'!P6</f>
        <v>1.2287860597426261</v>
      </c>
      <c r="K12" s="19">
        <f>J12/(1+(1-G12)*H12)</f>
        <v>1.2073100991595629</v>
      </c>
      <c r="N12" s="47"/>
      <c r="O12" s="47"/>
    </row>
    <row r="13" spans="2:15" x14ac:dyDescent="0.25">
      <c r="B13" s="73" t="s">
        <v>93</v>
      </c>
      <c r="C13" s="12"/>
      <c r="D13" s="12" t="s">
        <v>21</v>
      </c>
      <c r="E13" s="12">
        <f>'Beta Comps'!F7</f>
        <v>275.62</v>
      </c>
      <c r="F13" s="20">
        <f>'Beta Comps'!E7</f>
        <v>85818.47</v>
      </c>
      <c r="G13" s="14">
        <v>0.3</v>
      </c>
      <c r="H13" s="16">
        <f>E13/F13</f>
        <v>3.2116629438860888E-3</v>
      </c>
      <c r="I13" s="16">
        <f>E13/(E13+F13)</f>
        <v>3.2013811865599603E-3</v>
      </c>
      <c r="J13" s="17">
        <f>'Beta 4'!P6</f>
        <v>1.5841972394991688</v>
      </c>
      <c r="K13" s="19">
        <f>J13/(1+(1-G13)*H13)</f>
        <v>1.5806436931554124</v>
      </c>
    </row>
    <row r="14" spans="2:15" x14ac:dyDescent="0.25">
      <c r="B14" s="73" t="s">
        <v>91</v>
      </c>
      <c r="C14" s="12"/>
      <c r="D14" s="12" t="s">
        <v>21</v>
      </c>
      <c r="E14" s="12">
        <f>'Beta Comps'!F8</f>
        <v>1407.02</v>
      </c>
      <c r="F14" s="20">
        <f>'Beta Comps'!E8</f>
        <v>74438.8</v>
      </c>
      <c r="G14" s="14">
        <v>0.3</v>
      </c>
      <c r="H14" s="16">
        <f>E14/F14</f>
        <v>1.890170180067384E-2</v>
      </c>
      <c r="I14" s="16">
        <f>E14/(E14+F14)</f>
        <v>1.855105528557803E-2</v>
      </c>
      <c r="J14" s="17">
        <f>'Beta 5'!P6</f>
        <v>0.73329945149890874</v>
      </c>
      <c r="K14" s="19">
        <f>J14/(1+(1-G14)*H14)</f>
        <v>0.72372372448056543</v>
      </c>
    </row>
    <row r="16" spans="2:15" x14ac:dyDescent="0.25">
      <c r="F16" s="21" t="s">
        <v>22</v>
      </c>
      <c r="G16" s="23">
        <f>AVERAGE(G10:G14)</f>
        <v>0.3</v>
      </c>
      <c r="H16" s="27">
        <f>AVERAGE(H10:H14)</f>
        <v>1.3734127556814321E-2</v>
      </c>
      <c r="I16" s="27">
        <f>AVERAGE(I10:I14)</f>
        <v>1.3483992618271717E-2</v>
      </c>
      <c r="J16" s="25">
        <f>AVERAGE(J10:J14)</f>
        <v>1.1254510886325553</v>
      </c>
      <c r="K16" s="25">
        <f>AVERAGE(K10:K14)</f>
        <v>1.115029237744539</v>
      </c>
    </row>
    <row r="17" spans="2:14" x14ac:dyDescent="0.25">
      <c r="F17" s="22" t="s">
        <v>23</v>
      </c>
      <c r="G17" s="24">
        <f>MEDIAN(G10:G14)</f>
        <v>0.3</v>
      </c>
      <c r="H17" s="28">
        <f>MEDIAN(H10:H14)</f>
        <v>1.5045132450553856E-2</v>
      </c>
      <c r="I17" s="28">
        <f>MEDIAN(I10:I14)</f>
        <v>1.4822131518656145E-2</v>
      </c>
      <c r="J17" s="26">
        <f>MEDIAN(J10:J14)</f>
        <v>1.2287860597426261</v>
      </c>
      <c r="K17" s="26">
        <f>MEDIAN(K10:K14)</f>
        <v>1.2073100991595629</v>
      </c>
    </row>
    <row r="19" spans="2:14" x14ac:dyDescent="0.25">
      <c r="B19" s="22" t="s">
        <v>24</v>
      </c>
      <c r="C19" s="22"/>
      <c r="D19" s="22"/>
      <c r="E19" s="22"/>
      <c r="G19" s="22" t="s">
        <v>27</v>
      </c>
      <c r="H19" s="22"/>
      <c r="I19" s="22"/>
      <c r="J19" s="8"/>
      <c r="K19" s="8"/>
    </row>
    <row r="21" spans="2:14" x14ac:dyDescent="0.25">
      <c r="B21" t="s">
        <v>25</v>
      </c>
      <c r="E21" s="98">
        <f>101/E10</f>
        <v>6.2764496423666563E-2</v>
      </c>
      <c r="G21" t="s">
        <v>28</v>
      </c>
      <c r="K21" s="78">
        <v>6.5269999999999995E-2</v>
      </c>
    </row>
    <row r="22" spans="2:14" x14ac:dyDescent="0.25">
      <c r="B22" t="s">
        <v>7</v>
      </c>
      <c r="E22" s="85">
        <f>G17</f>
        <v>0.3</v>
      </c>
      <c r="G22" t="s">
        <v>29</v>
      </c>
      <c r="K22" s="15">
        <f>RM!F8-'WACC (2)'!K21</f>
        <v>8.807799999999999E-2</v>
      </c>
    </row>
    <row r="23" spans="2:14" ht="17.25" x14ac:dyDescent="0.25">
      <c r="B23" s="43" t="s">
        <v>26</v>
      </c>
      <c r="C23" s="29"/>
      <c r="D23" s="29"/>
      <c r="E23" s="34">
        <f>E21*(1-E22)</f>
        <v>4.3935147496566594E-2</v>
      </c>
      <c r="G23" t="s">
        <v>30</v>
      </c>
      <c r="K23" s="33">
        <f>K32</f>
        <v>1.2188614092652823</v>
      </c>
    </row>
    <row r="24" spans="2:14" x14ac:dyDescent="0.25">
      <c r="G24" s="43" t="s">
        <v>27</v>
      </c>
      <c r="H24" s="29"/>
      <c r="I24" s="29"/>
      <c r="J24" s="29"/>
      <c r="K24" s="34">
        <f>K21+(K22-K21)*K23</f>
        <v>9.3069791022522552E-2</v>
      </c>
    </row>
    <row r="26" spans="2:14" x14ac:dyDescent="0.25">
      <c r="N26" t="s">
        <v>40</v>
      </c>
    </row>
    <row r="27" spans="2:14" x14ac:dyDescent="0.25">
      <c r="B27" s="22" t="s">
        <v>31</v>
      </c>
      <c r="C27" s="22"/>
      <c r="D27" s="22"/>
      <c r="E27" s="22"/>
      <c r="G27" s="22" t="s">
        <v>35</v>
      </c>
      <c r="H27" s="22"/>
      <c r="I27" s="22"/>
      <c r="J27" s="22"/>
      <c r="K27" s="8"/>
    </row>
    <row r="29" spans="2:14" x14ac:dyDescent="0.25">
      <c r="D29" s="30" t="s">
        <v>32</v>
      </c>
      <c r="E29" s="30" t="s">
        <v>33</v>
      </c>
      <c r="G29" t="s">
        <v>36</v>
      </c>
      <c r="K29" s="11">
        <f>K17</f>
        <v>1.2073100991595629</v>
      </c>
    </row>
    <row r="30" spans="2:14" x14ac:dyDescent="0.25">
      <c r="B30" t="s">
        <v>5</v>
      </c>
      <c r="C30" s="37">
        <f>E10</f>
        <v>1609.19</v>
      </c>
      <c r="D30" s="15">
        <f>C30/$C$32</f>
        <v>6.0633349642243315E-3</v>
      </c>
      <c r="E30" s="32">
        <f>I16</f>
        <v>1.3483992618271717E-2</v>
      </c>
      <c r="G30" t="s">
        <v>37</v>
      </c>
      <c r="K30" s="10">
        <f>E34</f>
        <v>1.3668295818188526E-2</v>
      </c>
    </row>
    <row r="31" spans="2:14" x14ac:dyDescent="0.25">
      <c r="B31" t="s">
        <v>43</v>
      </c>
      <c r="C31" s="37">
        <f>F10</f>
        <v>263787.65999999997</v>
      </c>
      <c r="D31" s="15">
        <f>C31/$C$32</f>
        <v>0.99393666503577571</v>
      </c>
      <c r="E31" s="15">
        <f>E32-E30</f>
        <v>0.98651600738172829</v>
      </c>
      <c r="G31" t="s">
        <v>7</v>
      </c>
      <c r="K31" s="10">
        <f>E22</f>
        <v>0.3</v>
      </c>
    </row>
    <row r="32" spans="2:14" x14ac:dyDescent="0.25">
      <c r="B32" s="39" t="s">
        <v>34</v>
      </c>
      <c r="C32" s="40">
        <f>SUM(C30:C31)</f>
        <v>265396.84999999998</v>
      </c>
      <c r="D32" s="41">
        <f>C32/$C$32</f>
        <v>1</v>
      </c>
      <c r="E32" s="42">
        <f>D32</f>
        <v>1</v>
      </c>
      <c r="G32" s="39" t="s">
        <v>35</v>
      </c>
      <c r="H32" s="31"/>
      <c r="I32" s="31"/>
      <c r="J32" s="31"/>
      <c r="K32" s="35">
        <f>K29*(1+(1-K31)*K30)</f>
        <v>1.2188614092652823</v>
      </c>
    </row>
    <row r="34" spans="2:11" x14ac:dyDescent="0.25">
      <c r="B34" s="3" t="s">
        <v>38</v>
      </c>
      <c r="D34" s="36">
        <f>D30/D31</f>
        <v>6.1003232675857551E-3</v>
      </c>
      <c r="E34" s="36">
        <f>E30/E31</f>
        <v>1.3668295818188526E-2</v>
      </c>
    </row>
    <row r="35" spans="2:11" x14ac:dyDescent="0.25">
      <c r="G35" s="22" t="s">
        <v>0</v>
      </c>
      <c r="H35" s="22"/>
      <c r="I35" s="22"/>
      <c r="J35" s="22"/>
      <c r="K35" s="8"/>
    </row>
    <row r="36" spans="2:11" x14ac:dyDescent="0.25">
      <c r="B36" s="44" t="s">
        <v>44</v>
      </c>
    </row>
    <row r="37" spans="2:11" x14ac:dyDescent="0.25">
      <c r="B37" s="45" t="s">
        <v>45</v>
      </c>
      <c r="G37" s="86" t="s">
        <v>27</v>
      </c>
      <c r="H37" s="86"/>
      <c r="I37" s="87"/>
      <c r="J37" s="88"/>
      <c r="K37" s="89">
        <f>K24</f>
        <v>9.3069791022522552E-2</v>
      </c>
    </row>
    <row r="38" spans="2:11" x14ac:dyDescent="0.25">
      <c r="B38" s="45" t="s">
        <v>46</v>
      </c>
      <c r="G38" s="86" t="s">
        <v>112</v>
      </c>
      <c r="H38" s="86"/>
      <c r="I38" s="89"/>
      <c r="J38" s="89"/>
      <c r="K38" s="89">
        <f>E31</f>
        <v>0.98651600738172829</v>
      </c>
    </row>
    <row r="39" spans="2:11" x14ac:dyDescent="0.25">
      <c r="B39" s="45" t="s">
        <v>47</v>
      </c>
      <c r="G39" s="86"/>
      <c r="H39" s="86"/>
      <c r="I39" s="89"/>
      <c r="J39" s="89"/>
      <c r="K39" s="86"/>
    </row>
    <row r="40" spans="2:11" x14ac:dyDescent="0.25">
      <c r="B40" s="45" t="s">
        <v>48</v>
      </c>
      <c r="G40" s="91" t="s">
        <v>113</v>
      </c>
      <c r="H40" s="88"/>
      <c r="I40" s="88"/>
      <c r="J40" s="90"/>
      <c r="K40" s="89">
        <f>E23</f>
        <v>4.3935147496566594E-2</v>
      </c>
    </row>
    <row r="41" spans="2:11" x14ac:dyDescent="0.25">
      <c r="G41" s="92" t="s">
        <v>114</v>
      </c>
      <c r="H41" s="86"/>
      <c r="I41" s="86"/>
      <c r="J41" s="86"/>
      <c r="K41" s="89">
        <f>E30</f>
        <v>1.3483992618271717E-2</v>
      </c>
    </row>
    <row r="42" spans="2:11" x14ac:dyDescent="0.25">
      <c r="G42" s="86"/>
      <c r="H42" s="86"/>
      <c r="I42" s="86"/>
      <c r="J42" s="86"/>
      <c r="K42" s="86"/>
    </row>
    <row r="43" spans="2:11" x14ac:dyDescent="0.25">
      <c r="G43" s="93" t="s">
        <v>115</v>
      </c>
      <c r="H43" s="63"/>
      <c r="I43" s="63"/>
      <c r="J43" s="63"/>
      <c r="K43" s="94">
        <f>(K37*K38)+(K40*K41)</f>
        <v>9.240725985191714E-2</v>
      </c>
    </row>
  </sheetData>
  <pageMargins left="0.7" right="0.7" top="0.75" bottom="0.75" header="0.3" footer="0.3"/>
  <pageSetup scale="5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8"/>
  <sheetViews>
    <sheetView showGridLines="0" workbookViewId="0">
      <selection activeCell="E16" sqref="E16"/>
    </sheetView>
  </sheetViews>
  <sheetFormatPr defaultRowHeight="15" x14ac:dyDescent="0.25"/>
  <cols>
    <col min="1" max="1" width="1.85546875" customWidth="1"/>
    <col min="3" max="3" width="19.140625" customWidth="1"/>
    <col min="4" max="4" width="14.140625" bestFit="1" customWidth="1"/>
    <col min="5" max="5" width="16.28515625" bestFit="1" customWidth="1"/>
    <col min="6" max="6" width="13.28515625" customWidth="1"/>
    <col min="7" max="7" width="9" customWidth="1"/>
    <col min="8" max="8" width="14.140625" customWidth="1"/>
    <col min="9" max="9" width="8.28515625" customWidth="1"/>
  </cols>
  <sheetData>
    <row r="2" spans="2:7" x14ac:dyDescent="0.25">
      <c r="B2" s="95" t="s">
        <v>104</v>
      </c>
      <c r="C2" s="95"/>
      <c r="D2" s="80"/>
    </row>
    <row r="3" spans="2:7" x14ac:dyDescent="0.25">
      <c r="B3" s="81" t="s">
        <v>103</v>
      </c>
      <c r="C3" s="81" t="s">
        <v>97</v>
      </c>
      <c r="D3" s="81" t="s">
        <v>99</v>
      </c>
      <c r="E3" s="81" t="s">
        <v>100</v>
      </c>
      <c r="F3" s="81" t="s">
        <v>101</v>
      </c>
      <c r="G3" s="81" t="s">
        <v>98</v>
      </c>
    </row>
    <row r="4" spans="2:7" x14ac:dyDescent="0.25">
      <c r="B4" s="79">
        <v>1</v>
      </c>
      <c r="C4" t="s">
        <v>89</v>
      </c>
      <c r="D4">
        <v>4053.7</v>
      </c>
      <c r="E4">
        <v>263787.65999999997</v>
      </c>
      <c r="F4">
        <v>1609.19</v>
      </c>
      <c r="G4">
        <v>7.0000000000000007E-2</v>
      </c>
    </row>
    <row r="5" spans="2:7" x14ac:dyDescent="0.25">
      <c r="B5" s="79">
        <v>2</v>
      </c>
      <c r="C5" t="s">
        <v>49</v>
      </c>
      <c r="D5">
        <v>4391.2</v>
      </c>
      <c r="E5">
        <v>156101.65</v>
      </c>
      <c r="F5">
        <v>2348.5700000000002</v>
      </c>
      <c r="G5">
        <v>0.38</v>
      </c>
    </row>
    <row r="6" spans="2:7" x14ac:dyDescent="0.25">
      <c r="B6" s="79">
        <v>3</v>
      </c>
      <c r="C6" s="77" t="s">
        <v>95</v>
      </c>
      <c r="D6">
        <v>393.1</v>
      </c>
      <c r="E6">
        <v>98025.26</v>
      </c>
      <c r="F6">
        <v>2491</v>
      </c>
      <c r="G6">
        <v>0.25</v>
      </c>
    </row>
    <row r="7" spans="2:7" x14ac:dyDescent="0.25">
      <c r="B7" s="79">
        <v>4</v>
      </c>
      <c r="C7" t="s">
        <v>90</v>
      </c>
      <c r="D7">
        <v>1323.5</v>
      </c>
      <c r="E7">
        <v>85818.47</v>
      </c>
      <c r="F7">
        <v>275.62</v>
      </c>
      <c r="G7">
        <v>0.01</v>
      </c>
    </row>
    <row r="8" spans="2:7" x14ac:dyDescent="0.25">
      <c r="B8" s="79">
        <v>5</v>
      </c>
      <c r="C8" t="s">
        <v>91</v>
      </c>
      <c r="D8">
        <v>260.13</v>
      </c>
      <c r="E8">
        <v>74438.8</v>
      </c>
      <c r="F8">
        <v>1407.02</v>
      </c>
      <c r="G8">
        <v>1.01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</sheetPr>
  <dimension ref="A1"/>
  <sheetViews>
    <sheetView workbookViewId="0">
      <selection activeCell="G10" sqref="G10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54"/>
  <sheetViews>
    <sheetView showGridLines="0" topLeftCell="H1" workbookViewId="0">
      <pane ySplit="4" topLeftCell="A5" activePane="bottomLeft" state="frozen"/>
      <selection pane="bottomLeft" activeCell="P6" sqref="P6"/>
    </sheetView>
  </sheetViews>
  <sheetFormatPr defaultRowHeight="15" x14ac:dyDescent="0.25"/>
  <cols>
    <col min="1" max="1" width="1.85546875" customWidth="1"/>
    <col min="2" max="2" width="10.42578125" bestFit="1" customWidth="1"/>
    <col min="3" max="3" width="12" customWidth="1"/>
    <col min="7" max="7" width="10.42578125" bestFit="1" customWidth="1"/>
    <col min="8" max="8" width="13.140625" customWidth="1"/>
    <col min="12" max="12" width="18.5703125" customWidth="1"/>
  </cols>
  <sheetData>
    <row r="2" spans="2:26" x14ac:dyDescent="0.25">
      <c r="B2" s="96" t="s">
        <v>54</v>
      </c>
      <c r="C2" s="96"/>
      <c r="D2" s="96"/>
      <c r="E2" s="96"/>
    </row>
    <row r="3" spans="2:26" x14ac:dyDescent="0.25">
      <c r="B3" s="65"/>
      <c r="C3" s="65"/>
      <c r="D3" s="65"/>
      <c r="E3" s="65"/>
    </row>
    <row r="4" spans="2:26" x14ac:dyDescent="0.25">
      <c r="B4" s="48" t="s">
        <v>50</v>
      </c>
      <c r="C4" s="48"/>
      <c r="D4" s="48"/>
      <c r="E4" s="48"/>
      <c r="G4" s="97" t="s">
        <v>55</v>
      </c>
      <c r="H4" s="97"/>
      <c r="I4" s="97"/>
      <c r="J4" s="97"/>
      <c r="L4" s="97" t="s">
        <v>56</v>
      </c>
      <c r="M4" s="97"/>
    </row>
    <row r="6" spans="2:26" x14ac:dyDescent="0.25">
      <c r="B6" s="51" t="s">
        <v>51</v>
      </c>
      <c r="C6" s="49" t="s">
        <v>52</v>
      </c>
      <c r="D6" s="53" t="s">
        <v>53</v>
      </c>
      <c r="G6" s="51" t="s">
        <v>51</v>
      </c>
      <c r="H6" s="49" t="s">
        <v>52</v>
      </c>
      <c r="I6" s="53" t="s">
        <v>53</v>
      </c>
      <c r="L6" t="s">
        <v>57</v>
      </c>
      <c r="M6" s="61">
        <f>P6</f>
        <v>0.67806986835238725</v>
      </c>
      <c r="O6" t="s">
        <v>86</v>
      </c>
      <c r="P6" s="60">
        <f>O33</f>
        <v>0.67806986835238725</v>
      </c>
    </row>
    <row r="7" spans="2:26" x14ac:dyDescent="0.25">
      <c r="B7" s="68">
        <v>45614</v>
      </c>
      <c r="C7" s="50">
        <v>3790.550048828125</v>
      </c>
      <c r="D7" s="54"/>
      <c r="G7" s="69">
        <v>45614</v>
      </c>
      <c r="H7" s="50">
        <v>23453.80078125</v>
      </c>
      <c r="I7" s="54"/>
      <c r="L7" t="s">
        <v>58</v>
      </c>
      <c r="M7" s="10">
        <v>0.75</v>
      </c>
    </row>
    <row r="8" spans="2:26" x14ac:dyDescent="0.25">
      <c r="B8" s="68">
        <v>45615</v>
      </c>
      <c r="C8" s="50">
        <v>3752.449951171875</v>
      </c>
      <c r="D8" s="55">
        <f>C8/C7-1</f>
        <v>-1.0051337448513276E-2</v>
      </c>
      <c r="G8" s="69">
        <v>45615</v>
      </c>
      <c r="H8" s="50">
        <v>23518.5</v>
      </c>
      <c r="I8" s="55">
        <f>H8/H7-1</f>
        <v>2.758581406631766E-3</v>
      </c>
    </row>
    <row r="9" spans="2:26" x14ac:dyDescent="0.25">
      <c r="B9" s="68">
        <v>45617</v>
      </c>
      <c r="C9" s="50">
        <v>3622.89990234375</v>
      </c>
      <c r="D9" s="55">
        <f t="shared" ref="D9:D72" si="0">C9/C8-1</f>
        <v>-3.4524124375774012E-2</v>
      </c>
      <c r="G9" s="69">
        <v>45617</v>
      </c>
      <c r="H9" s="50">
        <v>23349.900390625</v>
      </c>
      <c r="I9" s="55">
        <f>H9/H8-1</f>
        <v>-7.1688079331164722E-3</v>
      </c>
      <c r="L9" t="s">
        <v>59</v>
      </c>
      <c r="M9" s="11">
        <v>1</v>
      </c>
    </row>
    <row r="10" spans="2:26" x14ac:dyDescent="0.25">
      <c r="B10" s="68">
        <v>45618</v>
      </c>
      <c r="C10" s="50">
        <v>3613.64990234375</v>
      </c>
      <c r="D10" s="55">
        <f t="shared" si="0"/>
        <v>-2.5532033037998225E-3</v>
      </c>
      <c r="G10" s="69">
        <v>45618</v>
      </c>
      <c r="H10" s="50">
        <v>23907.25</v>
      </c>
      <c r="I10" s="55">
        <f t="shared" ref="I10:I72" si="1">H10/H9-1</f>
        <v>2.3869464111237804E-2</v>
      </c>
      <c r="L10" t="s">
        <v>60</v>
      </c>
      <c r="M10" s="10">
        <v>0.25</v>
      </c>
    </row>
    <row r="11" spans="2:26" x14ac:dyDescent="0.25">
      <c r="B11" s="68">
        <v>45621</v>
      </c>
      <c r="C11" s="50">
        <v>3621.050048828125</v>
      </c>
      <c r="D11" s="55">
        <f t="shared" si="0"/>
        <v>2.0478316063698987E-3</v>
      </c>
      <c r="G11" s="69">
        <v>45621</v>
      </c>
      <c r="H11" s="50">
        <v>24221.900390625</v>
      </c>
      <c r="I11" s="55">
        <f t="shared" si="1"/>
        <v>1.3161295867362366E-2</v>
      </c>
    </row>
    <row r="12" spans="2:26" x14ac:dyDescent="0.25">
      <c r="B12" s="68">
        <v>45622</v>
      </c>
      <c r="C12" s="50">
        <v>3659.14990234375</v>
      </c>
      <c r="D12" s="55">
        <f t="shared" si="0"/>
        <v>1.0521769376801382E-2</v>
      </c>
      <c r="G12" s="69">
        <v>45622</v>
      </c>
      <c r="H12" s="50">
        <v>24194.5</v>
      </c>
      <c r="I12" s="55">
        <f t="shared" si="1"/>
        <v>-1.1312238174179257E-3</v>
      </c>
      <c r="L12" s="63" t="s">
        <v>87</v>
      </c>
      <c r="M12" s="64">
        <f>(M6*M7)+(M9*M10)</f>
        <v>0.75855240126429047</v>
      </c>
    </row>
    <row r="13" spans="2:26" x14ac:dyDescent="0.25">
      <c r="B13" s="68">
        <v>45623</v>
      </c>
      <c r="C13" s="50">
        <v>3661.25</v>
      </c>
      <c r="D13" s="55">
        <f t="shared" si="0"/>
        <v>5.7393047901777017E-4</v>
      </c>
      <c r="G13" s="69">
        <v>45623</v>
      </c>
      <c r="H13" s="50">
        <v>24274.900390625</v>
      </c>
      <c r="I13" s="55">
        <f t="shared" si="1"/>
        <v>3.3230854378061281E-3</v>
      </c>
      <c r="N13" s="70" t="s">
        <v>61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2:26" x14ac:dyDescent="0.25">
      <c r="B14" s="68">
        <v>45624</v>
      </c>
      <c r="C14" s="50">
        <v>3716.550048828125</v>
      </c>
      <c r="D14" s="55">
        <f t="shared" si="0"/>
        <v>1.5104144439228362E-2</v>
      </c>
      <c r="G14" s="69">
        <v>45624</v>
      </c>
      <c r="H14" s="50">
        <v>23914.150390625</v>
      </c>
      <c r="I14" s="55">
        <f t="shared" si="1"/>
        <v>-1.4861029054492936E-2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2:26" x14ac:dyDescent="0.25">
      <c r="B15" s="68">
        <v>45625</v>
      </c>
      <c r="C15" s="50">
        <v>3709.60009765625</v>
      </c>
      <c r="D15" s="55">
        <f t="shared" si="0"/>
        <v>-1.8700006943446201E-3</v>
      </c>
      <c r="G15" s="69">
        <v>45625</v>
      </c>
      <c r="H15" s="50">
        <v>24131.099609375</v>
      </c>
      <c r="I15" s="55">
        <f t="shared" si="1"/>
        <v>9.072001940535257E-3</v>
      </c>
      <c r="N15" s="71" t="s">
        <v>62</v>
      </c>
      <c r="O15" s="71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2:26" x14ac:dyDescent="0.25">
      <c r="B16" s="68">
        <v>45628</v>
      </c>
      <c r="C16" s="50">
        <v>3678.39990234375</v>
      </c>
      <c r="D16" s="55">
        <f t="shared" si="0"/>
        <v>-8.410662737531327E-3</v>
      </c>
      <c r="G16" s="69">
        <v>45628</v>
      </c>
      <c r="H16" s="50">
        <v>24276.05078125</v>
      </c>
      <c r="I16" s="55">
        <f t="shared" si="1"/>
        <v>6.0068200049485654E-3</v>
      </c>
      <c r="N16" t="s">
        <v>61</v>
      </c>
      <c r="W16" s="70"/>
      <c r="X16" s="70"/>
      <c r="Y16" s="70"/>
      <c r="Z16" s="70"/>
    </row>
    <row r="17" spans="2:26" ht="15.75" thickBot="1" x14ac:dyDescent="0.3">
      <c r="B17" s="68">
        <v>45629</v>
      </c>
      <c r="C17" s="50">
        <v>3829.85009765625</v>
      </c>
      <c r="D17" s="55">
        <f t="shared" si="0"/>
        <v>4.1172846708700916E-2</v>
      </c>
      <c r="G17" s="69">
        <v>45629</v>
      </c>
      <c r="H17" s="50">
        <v>24457.150390625</v>
      </c>
      <c r="I17" s="55">
        <f t="shared" si="1"/>
        <v>7.4600111445999318E-3</v>
      </c>
      <c r="W17" s="70"/>
      <c r="X17" s="70"/>
      <c r="Y17" s="70"/>
      <c r="Z17" s="70"/>
    </row>
    <row r="18" spans="2:26" x14ac:dyDescent="0.25">
      <c r="B18" s="68">
        <v>45630</v>
      </c>
      <c r="C18" s="50">
        <v>3850.10009765625</v>
      </c>
      <c r="D18" s="55">
        <f t="shared" si="0"/>
        <v>5.2874132103479798E-3</v>
      </c>
      <c r="G18" s="69">
        <v>45630</v>
      </c>
      <c r="H18" s="50">
        <v>24467.44921875</v>
      </c>
      <c r="I18" s="55">
        <f t="shared" si="1"/>
        <v>4.2109681465385407E-4</v>
      </c>
      <c r="N18" s="59" t="s">
        <v>62</v>
      </c>
      <c r="O18" s="59"/>
      <c r="W18" s="70"/>
      <c r="X18" s="70"/>
      <c r="Y18" s="70"/>
      <c r="Z18" s="70"/>
    </row>
    <row r="19" spans="2:26" x14ac:dyDescent="0.25">
      <c r="B19" s="68">
        <v>45631</v>
      </c>
      <c r="C19" s="50">
        <v>3863.949951171875</v>
      </c>
      <c r="D19" s="55">
        <f t="shared" si="0"/>
        <v>3.5972710226563898E-3</v>
      </c>
      <c r="G19" s="69">
        <v>45631</v>
      </c>
      <c r="H19" s="50">
        <v>24708.400390625</v>
      </c>
      <c r="I19" s="55">
        <f t="shared" si="1"/>
        <v>9.8478255628851041E-3</v>
      </c>
      <c r="N19" s="56" t="s">
        <v>63</v>
      </c>
      <c r="O19" s="56">
        <v>0.29549163659801375</v>
      </c>
      <c r="W19" s="70"/>
      <c r="X19" s="70"/>
      <c r="Y19" s="70"/>
      <c r="Z19" s="70"/>
    </row>
    <row r="20" spans="2:26" x14ac:dyDescent="0.25">
      <c r="B20" s="68">
        <v>45632</v>
      </c>
      <c r="C20" s="50">
        <v>3805.550048828125</v>
      </c>
      <c r="D20" s="55">
        <f t="shared" si="0"/>
        <v>-1.5114042128324678E-2</v>
      </c>
      <c r="G20" s="69">
        <v>45632</v>
      </c>
      <c r="H20" s="50">
        <v>24677.80078125</v>
      </c>
      <c r="I20" s="55">
        <f t="shared" si="1"/>
        <v>-1.2384293961259507E-3</v>
      </c>
      <c r="N20" s="56" t="s">
        <v>64</v>
      </c>
      <c r="O20" s="56">
        <v>8.7315307299372633E-2</v>
      </c>
      <c r="W20" s="70"/>
      <c r="X20" s="70"/>
      <c r="Y20" s="70"/>
      <c r="Z20" s="70"/>
    </row>
    <row r="21" spans="2:26" x14ac:dyDescent="0.25">
      <c r="B21" s="68">
        <v>45635</v>
      </c>
      <c r="C21" s="50">
        <v>3829.050048828125</v>
      </c>
      <c r="D21" s="55">
        <f t="shared" si="0"/>
        <v>6.1751914173975297E-3</v>
      </c>
      <c r="G21" s="69">
        <v>45635</v>
      </c>
      <c r="H21" s="50">
        <v>24619</v>
      </c>
      <c r="I21" s="55">
        <f t="shared" si="1"/>
        <v>-2.3827399277279726E-3</v>
      </c>
      <c r="N21" s="56" t="s">
        <v>65</v>
      </c>
      <c r="O21" s="56">
        <v>8.3574796263714321E-2</v>
      </c>
      <c r="W21" s="70"/>
      <c r="X21" s="70"/>
      <c r="Y21" s="70"/>
      <c r="Z21" s="70"/>
    </row>
    <row r="22" spans="2:26" x14ac:dyDescent="0.25">
      <c r="B22" s="68">
        <v>45636</v>
      </c>
      <c r="C22" s="50">
        <v>3816.89990234375</v>
      </c>
      <c r="D22" s="55">
        <f t="shared" si="0"/>
        <v>-3.1731490394317774E-3</v>
      </c>
      <c r="G22" s="69">
        <v>45636</v>
      </c>
      <c r="H22" s="50">
        <v>24610.05078125</v>
      </c>
      <c r="I22" s="55">
        <f t="shared" si="1"/>
        <v>-3.6350862139000739E-4</v>
      </c>
      <c r="N22" s="56" t="s">
        <v>66</v>
      </c>
      <c r="O22" s="56">
        <v>1.7217976066691263E-2</v>
      </c>
      <c r="W22" s="70"/>
      <c r="X22" s="70"/>
      <c r="Y22" s="70"/>
      <c r="Z22" s="70"/>
    </row>
    <row r="23" spans="2:26" ht="15.75" thickBot="1" x14ac:dyDescent="0.3">
      <c r="B23" s="68">
        <v>45637</v>
      </c>
      <c r="C23" s="50">
        <v>3708.300048828125</v>
      </c>
      <c r="D23" s="55">
        <f t="shared" si="0"/>
        <v>-2.8452371373150154E-2</v>
      </c>
      <c r="G23" s="69">
        <v>45637</v>
      </c>
      <c r="H23" s="50">
        <v>24641.80078125</v>
      </c>
      <c r="I23" s="55">
        <f t="shared" si="1"/>
        <v>1.2901233029631864E-3</v>
      </c>
      <c r="N23" s="57" t="s">
        <v>67</v>
      </c>
      <c r="O23" s="57">
        <v>246</v>
      </c>
      <c r="W23" s="70"/>
      <c r="X23" s="70"/>
      <c r="Y23" s="70"/>
      <c r="Z23" s="70"/>
    </row>
    <row r="24" spans="2:26" x14ac:dyDescent="0.25">
      <c r="B24" s="68">
        <v>45638</v>
      </c>
      <c r="C24" s="50">
        <v>3688.449951171875</v>
      </c>
      <c r="D24" s="55">
        <f t="shared" si="0"/>
        <v>-5.3528833683571531E-3</v>
      </c>
      <c r="G24" s="69">
        <v>45638</v>
      </c>
      <c r="H24" s="50">
        <v>24548.69921875</v>
      </c>
      <c r="I24" s="55">
        <f t="shared" si="1"/>
        <v>-3.7781963796591489E-3</v>
      </c>
      <c r="W24" s="70"/>
      <c r="X24" s="70"/>
      <c r="Y24" s="70"/>
      <c r="Z24" s="70"/>
    </row>
    <row r="25" spans="2:26" ht="15.75" thickBot="1" x14ac:dyDescent="0.3">
      <c r="B25" s="68">
        <v>45639</v>
      </c>
      <c r="C25" s="50">
        <v>3652.300048828125</v>
      </c>
      <c r="D25" s="55">
        <f t="shared" si="0"/>
        <v>-9.8008385154486621E-3</v>
      </c>
      <c r="G25" s="69">
        <v>45639</v>
      </c>
      <c r="H25" s="50">
        <v>24768.30078125</v>
      </c>
      <c r="I25" s="55">
        <f t="shared" si="1"/>
        <v>8.9455478085889162E-3</v>
      </c>
      <c r="N25" t="s">
        <v>68</v>
      </c>
      <c r="W25" s="70"/>
      <c r="X25" s="70"/>
      <c r="Y25" s="70"/>
      <c r="Z25" s="70"/>
    </row>
    <row r="26" spans="2:26" x14ac:dyDescent="0.25">
      <c r="B26" s="68">
        <v>45642</v>
      </c>
      <c r="C26" s="50">
        <v>3623.800048828125</v>
      </c>
      <c r="D26" s="55">
        <f t="shared" si="0"/>
        <v>-7.8033019245350443E-3</v>
      </c>
      <c r="G26" s="69">
        <v>45642</v>
      </c>
      <c r="H26" s="50">
        <v>24668.25</v>
      </c>
      <c r="I26" s="55">
        <f t="shared" si="1"/>
        <v>-4.0394689217332358E-3</v>
      </c>
      <c r="N26" s="58"/>
      <c r="O26" s="58" t="s">
        <v>73</v>
      </c>
      <c r="P26" s="58" t="s">
        <v>74</v>
      </c>
      <c r="Q26" s="58" t="s">
        <v>75</v>
      </c>
      <c r="R26" s="58" t="s">
        <v>76</v>
      </c>
      <c r="S26" s="58" t="s">
        <v>77</v>
      </c>
      <c r="W26" s="70"/>
      <c r="X26" s="70"/>
      <c r="Y26" s="70"/>
      <c r="Z26" s="70"/>
    </row>
    <row r="27" spans="2:26" x14ac:dyDescent="0.25">
      <c r="B27" s="68">
        <v>45643</v>
      </c>
      <c r="C27" s="50">
        <v>3542.949951171875</v>
      </c>
      <c r="D27" s="55">
        <f t="shared" si="0"/>
        <v>-2.2310860579185521E-2</v>
      </c>
      <c r="G27" s="69">
        <v>45643</v>
      </c>
      <c r="H27" s="50">
        <v>24336</v>
      </c>
      <c r="I27" s="55">
        <f t="shared" si="1"/>
        <v>-1.3468730047733413E-2</v>
      </c>
      <c r="N27" s="56" t="s">
        <v>69</v>
      </c>
      <c r="O27" s="56">
        <v>1</v>
      </c>
      <c r="P27" s="56">
        <v>6.9202796705420122E-3</v>
      </c>
      <c r="Q27" s="56">
        <v>6.9202796705420122E-3</v>
      </c>
      <c r="R27" s="56">
        <v>23.343149229342039</v>
      </c>
      <c r="S27" s="56">
        <v>2.396424035645003E-6</v>
      </c>
      <c r="W27" s="70"/>
      <c r="X27" s="70"/>
      <c r="Y27" s="70"/>
      <c r="Z27" s="70"/>
    </row>
    <row r="28" spans="2:26" x14ac:dyDescent="0.25">
      <c r="B28" s="68">
        <v>45644</v>
      </c>
      <c r="C28" s="50">
        <v>3515.699951171875</v>
      </c>
      <c r="D28" s="55">
        <f t="shared" si="0"/>
        <v>-7.6913307767688677E-3</v>
      </c>
      <c r="G28" s="69">
        <v>45644</v>
      </c>
      <c r="H28" s="50">
        <v>24198.849609375</v>
      </c>
      <c r="I28" s="55">
        <f t="shared" si="1"/>
        <v>-5.6356998120069557E-3</v>
      </c>
      <c r="N28" s="56" t="s">
        <v>70</v>
      </c>
      <c r="O28" s="56">
        <v>244</v>
      </c>
      <c r="P28" s="56">
        <v>7.2335922759289378E-2</v>
      </c>
      <c r="Q28" s="56">
        <v>2.9645869983315317E-4</v>
      </c>
      <c r="R28" s="56"/>
      <c r="S28" s="56"/>
      <c r="W28" s="70"/>
      <c r="X28" s="70"/>
      <c r="Y28" s="70"/>
      <c r="Z28" s="70"/>
    </row>
    <row r="29" spans="2:26" ht="15.75" thickBot="1" x14ac:dyDescent="0.3">
      <c r="B29" s="68">
        <v>45645</v>
      </c>
      <c r="C29" s="50">
        <v>3498.14990234375</v>
      </c>
      <c r="D29" s="55">
        <f t="shared" si="0"/>
        <v>-4.9919074641950889E-3</v>
      </c>
      <c r="G29" s="69">
        <v>45645</v>
      </c>
      <c r="H29" s="50">
        <v>23951.69921875</v>
      </c>
      <c r="I29" s="55">
        <f t="shared" si="1"/>
        <v>-1.0213311567061067E-2</v>
      </c>
      <c r="N29" s="57" t="s">
        <v>71</v>
      </c>
      <c r="O29" s="57">
        <v>245</v>
      </c>
      <c r="P29" s="57">
        <v>7.9256202429831391E-2</v>
      </c>
      <c r="Q29" s="57"/>
      <c r="R29" s="57"/>
      <c r="S29" s="57"/>
      <c r="W29" s="70"/>
      <c r="X29" s="70"/>
      <c r="Y29" s="70"/>
      <c r="Z29" s="70"/>
    </row>
    <row r="30" spans="2:26" ht="15.75" thickBot="1" x14ac:dyDescent="0.3">
      <c r="B30" s="68">
        <v>45646</v>
      </c>
      <c r="C30" s="50">
        <v>3408.300048828125</v>
      </c>
      <c r="D30" s="55">
        <f t="shared" si="0"/>
        <v>-2.5684963773400904E-2</v>
      </c>
      <c r="G30" s="69">
        <v>45646</v>
      </c>
      <c r="H30" s="50">
        <v>23587.5</v>
      </c>
      <c r="I30" s="55">
        <f t="shared" si="1"/>
        <v>-1.520556915080562E-2</v>
      </c>
      <c r="W30" s="70"/>
      <c r="X30" s="70"/>
      <c r="Y30" s="70"/>
      <c r="Z30" s="70"/>
    </row>
    <row r="31" spans="2:26" x14ac:dyDescent="0.25">
      <c r="B31" s="68">
        <v>45649</v>
      </c>
      <c r="C31" s="50">
        <v>3460.550048828125</v>
      </c>
      <c r="D31" s="55">
        <f t="shared" si="0"/>
        <v>1.5330223058842796E-2</v>
      </c>
      <c r="G31" s="69">
        <v>45649</v>
      </c>
      <c r="H31" s="50">
        <v>23753.44921875</v>
      </c>
      <c r="I31" s="55">
        <f t="shared" si="1"/>
        <v>7.0354729729729115E-3</v>
      </c>
      <c r="N31" s="58"/>
      <c r="O31" s="58" t="s">
        <v>78</v>
      </c>
      <c r="P31" s="58" t="s">
        <v>66</v>
      </c>
      <c r="Q31" s="58" t="s">
        <v>79</v>
      </c>
      <c r="R31" s="58" t="s">
        <v>80</v>
      </c>
      <c r="S31" s="58" t="s">
        <v>81</v>
      </c>
      <c r="T31" s="58" t="s">
        <v>82</v>
      </c>
      <c r="U31" s="58" t="s">
        <v>83</v>
      </c>
      <c r="V31" s="58" t="s">
        <v>84</v>
      </c>
      <c r="W31" s="70"/>
      <c r="X31" s="70"/>
      <c r="Y31" s="70"/>
      <c r="Z31" s="70"/>
    </row>
    <row r="32" spans="2:26" x14ac:dyDescent="0.25">
      <c r="B32" s="68">
        <v>45650</v>
      </c>
      <c r="C32" s="50">
        <v>3459.64990234375</v>
      </c>
      <c r="D32" s="55">
        <f t="shared" si="0"/>
        <v>-2.6011659177704871E-4</v>
      </c>
      <c r="G32" s="69">
        <v>45650</v>
      </c>
      <c r="H32" s="50">
        <v>23727.650390625</v>
      </c>
      <c r="I32" s="55">
        <f t="shared" si="1"/>
        <v>-1.0861087115143775E-3</v>
      </c>
      <c r="N32" s="56" t="s">
        <v>72</v>
      </c>
      <c r="O32" s="56">
        <v>1.4420176388173895E-4</v>
      </c>
      <c r="P32" s="56">
        <v>1.0994780916679335E-3</v>
      </c>
      <c r="Q32" s="56">
        <v>0.13115474057603235</v>
      </c>
      <c r="R32" s="56">
        <v>0.89576097199952676</v>
      </c>
      <c r="S32" s="56">
        <v>-2.0214776070353584E-3</v>
      </c>
      <c r="T32" s="56">
        <v>2.3098811347988368E-3</v>
      </c>
      <c r="U32" s="56">
        <v>-2.0214776070353584E-3</v>
      </c>
      <c r="V32" s="56">
        <v>2.3098811347988368E-3</v>
      </c>
      <c r="W32" s="70"/>
      <c r="X32" s="70"/>
      <c r="Y32" s="70"/>
      <c r="Z32" s="70"/>
    </row>
    <row r="33" spans="2:26" ht="15.75" thickBot="1" x14ac:dyDescent="0.3">
      <c r="B33" s="68">
        <v>45652</v>
      </c>
      <c r="C33" s="50">
        <v>3511.64990234375</v>
      </c>
      <c r="D33" s="55">
        <f t="shared" si="0"/>
        <v>1.5030422576796765E-2</v>
      </c>
      <c r="G33" s="69">
        <v>45652</v>
      </c>
      <c r="H33" s="50">
        <v>23750.19921875</v>
      </c>
      <c r="I33" s="55">
        <f t="shared" si="1"/>
        <v>9.5031862631911324E-4</v>
      </c>
      <c r="N33" s="57" t="s">
        <v>85</v>
      </c>
      <c r="O33" s="57">
        <v>0.67806986835238725</v>
      </c>
      <c r="P33" s="57">
        <v>0.14034428189282652</v>
      </c>
      <c r="Q33" s="57">
        <v>4.8314748503269493</v>
      </c>
      <c r="R33" s="57">
        <v>2.3964240356452643E-6</v>
      </c>
      <c r="S33" s="57">
        <v>0.4016289656870296</v>
      </c>
      <c r="T33" s="57">
        <v>0.95451077101774495</v>
      </c>
      <c r="U33" s="57">
        <v>0.4016289656870296</v>
      </c>
      <c r="V33" s="57">
        <v>0.95451077101774495</v>
      </c>
      <c r="W33" s="70"/>
      <c r="X33" s="70"/>
      <c r="Y33" s="70"/>
      <c r="Z33" s="70"/>
    </row>
    <row r="34" spans="2:26" x14ac:dyDescent="0.25">
      <c r="B34" s="68">
        <v>45653</v>
      </c>
      <c r="C34" s="50">
        <v>3568.35009765625</v>
      </c>
      <c r="D34" s="55">
        <f t="shared" si="0"/>
        <v>1.6146312100946414E-2</v>
      </c>
      <c r="G34" s="69">
        <v>45653</v>
      </c>
      <c r="H34" s="50">
        <v>23813.400390625</v>
      </c>
      <c r="I34" s="55">
        <f t="shared" si="1"/>
        <v>2.6610796521280289E-3</v>
      </c>
    </row>
    <row r="35" spans="2:26" x14ac:dyDescent="0.25">
      <c r="B35" s="68">
        <v>45656</v>
      </c>
      <c r="C35" s="50">
        <v>3588.550048828125</v>
      </c>
      <c r="D35" s="55">
        <f t="shared" si="0"/>
        <v>5.6608658396894995E-3</v>
      </c>
      <c r="G35" s="69">
        <v>45656</v>
      </c>
      <c r="H35" s="50">
        <v>23644.900390625</v>
      </c>
      <c r="I35" s="55">
        <f t="shared" si="1"/>
        <v>-7.0758479358679072E-3</v>
      </c>
    </row>
    <row r="36" spans="2:26" x14ac:dyDescent="0.25">
      <c r="B36" s="68">
        <v>45657</v>
      </c>
      <c r="C36" s="50">
        <v>3561.85009765625</v>
      </c>
      <c r="D36" s="55">
        <f t="shared" si="0"/>
        <v>-7.4403173450497961E-3</v>
      </c>
      <c r="G36" s="69">
        <v>45657</v>
      </c>
      <c r="H36" s="50">
        <v>23644.80078125</v>
      </c>
      <c r="I36" s="55">
        <f t="shared" si="1"/>
        <v>-4.2127212783737988E-6</v>
      </c>
    </row>
    <row r="37" spans="2:26" x14ac:dyDescent="0.25">
      <c r="B37" s="68">
        <v>45658</v>
      </c>
      <c r="C37" s="50">
        <v>3561</v>
      </c>
      <c r="D37" s="55">
        <f t="shared" si="0"/>
        <v>-2.3866744330691692E-4</v>
      </c>
      <c r="G37" s="69">
        <v>45658</v>
      </c>
      <c r="H37" s="50">
        <v>23742.900390625</v>
      </c>
      <c r="I37" s="55">
        <f t="shared" si="1"/>
        <v>4.1488871182535636E-3</v>
      </c>
    </row>
    <row r="38" spans="2:26" x14ac:dyDescent="0.25">
      <c r="B38" s="68">
        <v>45659</v>
      </c>
      <c r="C38" s="50">
        <v>3611.10009765625</v>
      </c>
      <c r="D38" s="55">
        <f t="shared" si="0"/>
        <v>1.4069109142445857E-2</v>
      </c>
      <c r="G38" s="69">
        <v>45659</v>
      </c>
      <c r="H38" s="50">
        <v>24188.650390625</v>
      </c>
      <c r="I38" s="55">
        <f t="shared" si="1"/>
        <v>1.8774033191665485E-2</v>
      </c>
    </row>
    <row r="39" spans="2:26" x14ac:dyDescent="0.25">
      <c r="B39" s="68">
        <v>45660</v>
      </c>
      <c r="C39" s="50">
        <v>4025.199951171875</v>
      </c>
      <c r="D39" s="55">
        <f t="shared" si="0"/>
        <v>0.11467415533133307</v>
      </c>
      <c r="G39" s="69">
        <v>45660</v>
      </c>
      <c r="H39" s="50">
        <v>24004.75</v>
      </c>
      <c r="I39" s="55">
        <f t="shared" si="1"/>
        <v>-7.6027553276091231E-3</v>
      </c>
    </row>
    <row r="40" spans="2:26" x14ac:dyDescent="0.25">
      <c r="B40" s="68">
        <v>45663</v>
      </c>
      <c r="C40" s="50">
        <v>3934.75</v>
      </c>
      <c r="D40" s="55">
        <f t="shared" si="0"/>
        <v>-2.2470921263313071E-2</v>
      </c>
      <c r="G40" s="69">
        <v>45663</v>
      </c>
      <c r="H40" s="50">
        <v>23616.05078125</v>
      </c>
      <c r="I40" s="55">
        <f t="shared" si="1"/>
        <v>-1.6192595996625703E-2</v>
      </c>
    </row>
    <row r="41" spans="2:26" x14ac:dyDescent="0.25">
      <c r="B41" s="68">
        <v>45664</v>
      </c>
      <c r="C41" s="50">
        <v>3830.300048828125</v>
      </c>
      <c r="D41" s="55">
        <f t="shared" si="0"/>
        <v>-2.6545511448471948E-2</v>
      </c>
      <c r="G41" s="69">
        <v>45664</v>
      </c>
      <c r="H41" s="50">
        <v>23707.900390625</v>
      </c>
      <c r="I41" s="55">
        <f t="shared" si="1"/>
        <v>3.8892874268343647E-3</v>
      </c>
    </row>
    <row r="42" spans="2:26" x14ac:dyDescent="0.25">
      <c r="B42" s="68">
        <v>45665</v>
      </c>
      <c r="C42" s="50">
        <v>3843</v>
      </c>
      <c r="D42" s="55">
        <f t="shared" si="0"/>
        <v>3.3156543899897084E-3</v>
      </c>
      <c r="G42" s="69">
        <v>45665</v>
      </c>
      <c r="H42" s="50">
        <v>23688.94921875</v>
      </c>
      <c r="I42" s="55">
        <f t="shared" si="1"/>
        <v>-7.9936103841971029E-4</v>
      </c>
    </row>
    <row r="43" spans="2:26" x14ac:dyDescent="0.25">
      <c r="B43" s="68">
        <v>45666</v>
      </c>
      <c r="C43" s="50">
        <v>3813.800048828125</v>
      </c>
      <c r="D43" s="55">
        <f t="shared" si="0"/>
        <v>-7.5982178433190439E-3</v>
      </c>
      <c r="G43" s="69">
        <v>45666</v>
      </c>
      <c r="H43" s="50">
        <v>23526.5</v>
      </c>
      <c r="I43" s="55">
        <f t="shared" si="1"/>
        <v>-6.8575949591475061E-3</v>
      </c>
    </row>
    <row r="44" spans="2:26" x14ac:dyDescent="0.25">
      <c r="B44" s="68">
        <v>45667</v>
      </c>
      <c r="C44" s="50">
        <v>3686.25</v>
      </c>
      <c r="D44" s="55">
        <f t="shared" si="0"/>
        <v>-3.3444346110205081E-2</v>
      </c>
      <c r="G44" s="69">
        <v>45667</v>
      </c>
      <c r="H44" s="50">
        <v>23431.5</v>
      </c>
      <c r="I44" s="55">
        <f t="shared" si="1"/>
        <v>-4.037999702463213E-3</v>
      </c>
    </row>
    <row r="45" spans="2:26" x14ac:dyDescent="0.25">
      <c r="B45" s="68">
        <v>45670</v>
      </c>
      <c r="C45" s="50">
        <v>3507.449951171875</v>
      </c>
      <c r="D45" s="55">
        <f t="shared" si="0"/>
        <v>-4.8504591069006397E-2</v>
      </c>
      <c r="G45" s="69">
        <v>45670</v>
      </c>
      <c r="H45" s="50">
        <v>23085.94921875</v>
      </c>
      <c r="I45" s="55">
        <f t="shared" si="1"/>
        <v>-1.4747275302477436E-2</v>
      </c>
    </row>
    <row r="46" spans="2:26" x14ac:dyDescent="0.25">
      <c r="B46" s="68">
        <v>45671</v>
      </c>
      <c r="C46" s="50">
        <v>3476.5</v>
      </c>
      <c r="D46" s="55">
        <f t="shared" si="0"/>
        <v>-8.824060671638212E-3</v>
      </c>
      <c r="G46" s="69">
        <v>45671</v>
      </c>
      <c r="H46" s="50">
        <v>23176.05078125</v>
      </c>
      <c r="I46" s="55">
        <f t="shared" si="1"/>
        <v>3.9028744993869768E-3</v>
      </c>
    </row>
    <row r="47" spans="2:26" x14ac:dyDescent="0.25">
      <c r="B47" s="68">
        <v>45672</v>
      </c>
      <c r="C47" s="50">
        <v>3568.449951171875</v>
      </c>
      <c r="D47" s="55">
        <f t="shared" si="0"/>
        <v>2.6449000768553166E-2</v>
      </c>
      <c r="G47" s="69">
        <v>45672</v>
      </c>
      <c r="H47" s="50">
        <v>23213.19921875</v>
      </c>
      <c r="I47" s="55">
        <f t="shared" si="1"/>
        <v>1.6028803979861728E-3</v>
      </c>
    </row>
    <row r="48" spans="2:26" x14ac:dyDescent="0.25">
      <c r="B48" s="68">
        <v>45673</v>
      </c>
      <c r="C48" s="50">
        <v>3600.949951171875</v>
      </c>
      <c r="D48" s="55">
        <f t="shared" si="0"/>
        <v>9.1075958594646345E-3</v>
      </c>
      <c r="G48" s="69">
        <v>45673</v>
      </c>
      <c r="H48" s="50">
        <v>23311.80078125</v>
      </c>
      <c r="I48" s="55">
        <f t="shared" si="1"/>
        <v>4.2476507253836893E-3</v>
      </c>
    </row>
    <row r="49" spans="2:9" x14ac:dyDescent="0.25">
      <c r="B49" s="68">
        <v>45674</v>
      </c>
      <c r="C49" s="50">
        <v>3620.64990234375</v>
      </c>
      <c r="D49" s="55">
        <f t="shared" si="0"/>
        <v>5.4707650589433943E-3</v>
      </c>
      <c r="G49" s="69">
        <v>45674</v>
      </c>
      <c r="H49" s="50">
        <v>23203.19921875</v>
      </c>
      <c r="I49" s="55">
        <f t="shared" si="1"/>
        <v>-4.6586517926727744E-3</v>
      </c>
    </row>
    <row r="50" spans="2:9" x14ac:dyDescent="0.25">
      <c r="B50" s="68">
        <v>45677</v>
      </c>
      <c r="C50" s="50">
        <v>3614.699951171875</v>
      </c>
      <c r="D50" s="55">
        <f t="shared" si="0"/>
        <v>-1.6433378902565021E-3</v>
      </c>
      <c r="G50" s="69">
        <v>45677</v>
      </c>
      <c r="H50" s="50">
        <v>23344.75</v>
      </c>
      <c r="I50" s="55">
        <f t="shared" si="1"/>
        <v>6.100485537167577E-3</v>
      </c>
    </row>
    <row r="51" spans="2:9" x14ac:dyDescent="0.25">
      <c r="B51" s="68">
        <v>45678</v>
      </c>
      <c r="C51" s="50">
        <v>3587.800048828125</v>
      </c>
      <c r="D51" s="55">
        <f t="shared" si="0"/>
        <v>-7.4418078145128685E-3</v>
      </c>
      <c r="G51" s="69">
        <v>45678</v>
      </c>
      <c r="H51" s="50">
        <v>23024.650390625</v>
      </c>
      <c r="I51" s="55">
        <f t="shared" si="1"/>
        <v>-1.3711845677293555E-2</v>
      </c>
    </row>
    <row r="52" spans="2:9" x14ac:dyDescent="0.25">
      <c r="B52" s="68">
        <v>45679</v>
      </c>
      <c r="C52" s="50">
        <v>3561.60009765625</v>
      </c>
      <c r="D52" s="55">
        <f t="shared" si="0"/>
        <v>-7.3025115154988773E-3</v>
      </c>
      <c r="G52" s="69">
        <v>45679</v>
      </c>
      <c r="H52" s="50">
        <v>23155.349609375</v>
      </c>
      <c r="I52" s="55">
        <f t="shared" si="1"/>
        <v>5.6764909144164655E-3</v>
      </c>
    </row>
    <row r="53" spans="2:9" x14ac:dyDescent="0.25">
      <c r="B53" s="68">
        <v>45680</v>
      </c>
      <c r="C53" s="50">
        <v>3598.35009765625</v>
      </c>
      <c r="D53" s="55">
        <f t="shared" si="0"/>
        <v>1.0318395943492931E-2</v>
      </c>
      <c r="G53" s="69">
        <v>45680</v>
      </c>
      <c r="H53" s="50">
        <v>23205.349609375</v>
      </c>
      <c r="I53" s="55">
        <f t="shared" si="1"/>
        <v>2.1593282262408753E-3</v>
      </c>
    </row>
    <row r="54" spans="2:9" x14ac:dyDescent="0.25">
      <c r="B54" s="68">
        <v>45681</v>
      </c>
      <c r="C54" s="50">
        <v>3579.949951171875</v>
      </c>
      <c r="D54" s="55">
        <f t="shared" si="0"/>
        <v>-5.1134953478706446E-3</v>
      </c>
      <c r="G54" s="69">
        <v>45681</v>
      </c>
      <c r="H54" s="50">
        <v>23092.19921875</v>
      </c>
      <c r="I54" s="55">
        <f t="shared" si="1"/>
        <v>-4.8760476583936674E-3</v>
      </c>
    </row>
    <row r="55" spans="2:9" x14ac:dyDescent="0.25">
      <c r="B55" s="68">
        <v>45684</v>
      </c>
      <c r="C55" s="50">
        <v>3532.949951171875</v>
      </c>
      <c r="D55" s="55">
        <f t="shared" si="0"/>
        <v>-1.3128675160560488E-2</v>
      </c>
      <c r="G55" s="69">
        <v>45684</v>
      </c>
      <c r="H55" s="50">
        <v>22829.150390625</v>
      </c>
      <c r="I55" s="55">
        <f t="shared" si="1"/>
        <v>-1.1391241935562957E-2</v>
      </c>
    </row>
    <row r="56" spans="2:9" x14ac:dyDescent="0.25">
      <c r="B56" s="68">
        <v>45685</v>
      </c>
      <c r="C56" s="50">
        <v>3559.300048828125</v>
      </c>
      <c r="D56" s="55">
        <f t="shared" si="0"/>
        <v>7.4583840757522779E-3</v>
      </c>
      <c r="G56" s="69">
        <v>45685</v>
      </c>
      <c r="H56" s="50">
        <v>22957.25</v>
      </c>
      <c r="I56" s="55">
        <f t="shared" si="1"/>
        <v>5.6112298172781294E-3</v>
      </c>
    </row>
    <row r="57" spans="2:9" x14ac:dyDescent="0.25">
      <c r="B57" s="68">
        <v>45686</v>
      </c>
      <c r="C57" s="50">
        <v>3568.10009765625</v>
      </c>
      <c r="D57" s="55">
        <f t="shared" si="0"/>
        <v>2.4724099422364088E-3</v>
      </c>
      <c r="G57" s="69">
        <v>45686</v>
      </c>
      <c r="H57" s="50">
        <v>23163.099609375</v>
      </c>
      <c r="I57" s="55">
        <f t="shared" si="1"/>
        <v>8.966649288351114E-3</v>
      </c>
    </row>
    <row r="58" spans="2:9" x14ac:dyDescent="0.25">
      <c r="B58" s="68">
        <v>45687</v>
      </c>
      <c r="C58" s="50">
        <v>3575.39990234375</v>
      </c>
      <c r="D58" s="55">
        <f t="shared" si="0"/>
        <v>2.0458519906139117E-3</v>
      </c>
      <c r="G58" s="69">
        <v>45687</v>
      </c>
      <c r="H58" s="50">
        <v>23249.5</v>
      </c>
      <c r="I58" s="55">
        <f t="shared" si="1"/>
        <v>3.730087599762788E-3</v>
      </c>
    </row>
    <row r="59" spans="2:9" x14ac:dyDescent="0.25">
      <c r="B59" s="68">
        <v>45688</v>
      </c>
      <c r="C59" s="50">
        <v>3664.64990234375</v>
      </c>
      <c r="D59" s="55">
        <f t="shared" si="0"/>
        <v>2.4962242668713719E-2</v>
      </c>
      <c r="G59" s="69">
        <v>45688</v>
      </c>
      <c r="H59" s="50">
        <v>23508.400390625</v>
      </c>
      <c r="I59" s="55">
        <f t="shared" si="1"/>
        <v>1.1135740150325812E-2</v>
      </c>
    </row>
    <row r="60" spans="2:9" x14ac:dyDescent="0.25">
      <c r="B60" s="68">
        <v>45689</v>
      </c>
      <c r="C60" s="50">
        <v>4023.75</v>
      </c>
      <c r="D60" s="55">
        <f t="shared" si="0"/>
        <v>9.7990287537858656E-2</v>
      </c>
      <c r="G60" s="69">
        <v>45689</v>
      </c>
      <c r="H60" s="50">
        <v>23482.150390625</v>
      </c>
      <c r="I60" s="55">
        <f t="shared" si="1"/>
        <v>-1.1166221250199504E-3</v>
      </c>
    </row>
    <row r="61" spans="2:9" x14ac:dyDescent="0.25">
      <c r="B61" s="68">
        <v>45691</v>
      </c>
      <c r="C61" s="50">
        <v>3947.85009765625</v>
      </c>
      <c r="D61" s="55">
        <f t="shared" si="0"/>
        <v>-1.886297666200687E-2</v>
      </c>
      <c r="G61" s="69">
        <v>45691</v>
      </c>
      <c r="H61" s="50">
        <v>23361.05078125</v>
      </c>
      <c r="I61" s="55">
        <f t="shared" si="1"/>
        <v>-5.1570919766934509E-3</v>
      </c>
    </row>
    <row r="62" spans="2:9" x14ac:dyDescent="0.25">
      <c r="B62" s="68">
        <v>45692</v>
      </c>
      <c r="C62" s="50">
        <v>3919.85009765625</v>
      </c>
      <c r="D62" s="55">
        <f t="shared" si="0"/>
        <v>-7.0924678767876337E-3</v>
      </c>
      <c r="G62" s="69">
        <v>45692</v>
      </c>
      <c r="H62" s="50">
        <v>23739.25</v>
      </c>
      <c r="I62" s="55">
        <f t="shared" si="1"/>
        <v>1.6189306820631133E-2</v>
      </c>
    </row>
    <row r="63" spans="2:9" x14ac:dyDescent="0.25">
      <c r="B63" s="68">
        <v>45693</v>
      </c>
      <c r="C63" s="50">
        <v>3865.699951171875</v>
      </c>
      <c r="D63" s="55">
        <f t="shared" si="0"/>
        <v>-1.3814341144512743E-2</v>
      </c>
      <c r="G63" s="69">
        <v>45693</v>
      </c>
      <c r="H63" s="50">
        <v>23696.30078125</v>
      </c>
      <c r="I63" s="55">
        <f t="shared" si="1"/>
        <v>-1.809207062143936E-3</v>
      </c>
    </row>
    <row r="64" spans="2:9" x14ac:dyDescent="0.25">
      <c r="B64" s="68">
        <v>45694</v>
      </c>
      <c r="C64" s="50">
        <v>3748.449951171875</v>
      </c>
      <c r="D64" s="55">
        <f t="shared" si="0"/>
        <v>-3.0330858959825902E-2</v>
      </c>
      <c r="G64" s="69">
        <v>45694</v>
      </c>
      <c r="H64" s="50">
        <v>23603.349609375</v>
      </c>
      <c r="I64" s="55">
        <f t="shared" si="1"/>
        <v>-3.9226026346081966E-3</v>
      </c>
    </row>
    <row r="65" spans="2:9" x14ac:dyDescent="0.25">
      <c r="B65" s="68">
        <v>45695</v>
      </c>
      <c r="C65" s="50">
        <v>3743.5</v>
      </c>
      <c r="D65" s="55">
        <f t="shared" si="0"/>
        <v>-1.3205328165919461E-3</v>
      </c>
      <c r="G65" s="69">
        <v>45695</v>
      </c>
      <c r="H65" s="50">
        <v>23559.94921875</v>
      </c>
      <c r="I65" s="55">
        <f t="shared" si="1"/>
        <v>-1.8387386257991967E-3</v>
      </c>
    </row>
    <row r="66" spans="2:9" x14ac:dyDescent="0.25">
      <c r="B66" s="68">
        <v>45698</v>
      </c>
      <c r="C66" s="50">
        <v>3722.050048828125</v>
      </c>
      <c r="D66" s="55">
        <f t="shared" si="0"/>
        <v>-5.729918838486725E-3</v>
      </c>
      <c r="G66" s="69">
        <v>45698</v>
      </c>
      <c r="H66" s="50">
        <v>23381.599609375</v>
      </c>
      <c r="I66" s="55">
        <f t="shared" si="1"/>
        <v>-7.5700336923079092E-3</v>
      </c>
    </row>
    <row r="67" spans="2:9" x14ac:dyDescent="0.25">
      <c r="B67" s="68">
        <v>45699</v>
      </c>
      <c r="C67" s="50">
        <v>3682.699951171875</v>
      </c>
      <c r="D67" s="55">
        <f t="shared" si="0"/>
        <v>-1.0572157047871844E-2</v>
      </c>
      <c r="G67" s="69">
        <v>45699</v>
      </c>
      <c r="H67" s="50">
        <v>23071.80078125</v>
      </c>
      <c r="I67" s="55">
        <f t="shared" si="1"/>
        <v>-1.3249684936046169E-2</v>
      </c>
    </row>
    <row r="68" spans="2:9" x14ac:dyDescent="0.25">
      <c r="B68" s="68">
        <v>45700</v>
      </c>
      <c r="C68" s="50">
        <v>3689.89990234375</v>
      </c>
      <c r="D68" s="55">
        <f t="shared" si="0"/>
        <v>1.9550740672162892E-3</v>
      </c>
      <c r="G68" s="69">
        <v>45700</v>
      </c>
      <c r="H68" s="50">
        <v>23045.25</v>
      </c>
      <c r="I68" s="55">
        <f t="shared" si="1"/>
        <v>-1.1507892904301098E-3</v>
      </c>
    </row>
    <row r="69" spans="2:9" x14ac:dyDescent="0.25">
      <c r="B69" s="68">
        <v>45701</v>
      </c>
      <c r="C69" s="50">
        <v>3696.5</v>
      </c>
      <c r="D69" s="55">
        <f t="shared" si="0"/>
        <v>1.7886928726869034E-3</v>
      </c>
      <c r="G69" s="69">
        <v>45701</v>
      </c>
      <c r="H69" s="50">
        <v>23031.400390625</v>
      </c>
      <c r="I69" s="55">
        <f t="shared" si="1"/>
        <v>-6.0097457719054947E-4</v>
      </c>
    </row>
    <row r="70" spans="2:9" x14ac:dyDescent="0.25">
      <c r="B70" s="68">
        <v>45702</v>
      </c>
      <c r="C70" s="50">
        <v>3682.64990234375</v>
      </c>
      <c r="D70" s="55">
        <f t="shared" si="0"/>
        <v>-3.7468139202624373E-3</v>
      </c>
      <c r="G70" s="69">
        <v>45702</v>
      </c>
      <c r="H70" s="50">
        <v>22929.25</v>
      </c>
      <c r="I70" s="55">
        <f t="shared" si="1"/>
        <v>-4.4352661537063742E-3</v>
      </c>
    </row>
    <row r="71" spans="2:9" x14ac:dyDescent="0.25">
      <c r="B71" s="68">
        <v>45705</v>
      </c>
      <c r="C71" s="50">
        <v>3621.5</v>
      </c>
      <c r="D71" s="55">
        <f t="shared" si="0"/>
        <v>-1.6604864422445464E-2</v>
      </c>
      <c r="G71" s="69">
        <v>45705</v>
      </c>
      <c r="H71" s="50">
        <v>22959.5</v>
      </c>
      <c r="I71" s="55">
        <f t="shared" si="1"/>
        <v>1.3192755977626813E-3</v>
      </c>
    </row>
    <row r="72" spans="2:9" x14ac:dyDescent="0.25">
      <c r="B72" s="68">
        <v>45706</v>
      </c>
      <c r="C72" s="50">
        <v>3676.60009765625</v>
      </c>
      <c r="D72" s="55">
        <f t="shared" si="0"/>
        <v>1.521471701125221E-2</v>
      </c>
      <c r="G72" s="69">
        <v>45706</v>
      </c>
      <c r="H72" s="50">
        <v>22945.30078125</v>
      </c>
      <c r="I72" s="55">
        <f t="shared" si="1"/>
        <v>-6.1844634029484258E-4</v>
      </c>
    </row>
    <row r="73" spans="2:9" x14ac:dyDescent="0.25">
      <c r="B73" s="68">
        <v>45707</v>
      </c>
      <c r="C73" s="50">
        <v>3685</v>
      </c>
      <c r="D73" s="55">
        <f t="shared" ref="D73:D136" si="2">C73/C72-1</f>
        <v>2.2846929556208373E-3</v>
      </c>
      <c r="G73" s="69">
        <v>45707</v>
      </c>
      <c r="H73" s="50">
        <v>22932.900390625</v>
      </c>
      <c r="I73" s="55">
        <f t="shared" ref="I73:I136" si="3">H73/H72-1</f>
        <v>-5.4043269004055983E-4</v>
      </c>
    </row>
    <row r="74" spans="2:9" x14ac:dyDescent="0.25">
      <c r="B74" s="68">
        <v>45708</v>
      </c>
      <c r="C74" s="50">
        <v>3623.800048828125</v>
      </c>
      <c r="D74" s="55">
        <f t="shared" si="2"/>
        <v>-1.6607856491689277E-2</v>
      </c>
      <c r="G74" s="69">
        <v>45708</v>
      </c>
      <c r="H74" s="50">
        <v>22913.150390625</v>
      </c>
      <c r="I74" s="55">
        <f t="shared" si="3"/>
        <v>-8.6120811862389068E-4</v>
      </c>
    </row>
    <row r="75" spans="2:9" x14ac:dyDescent="0.25">
      <c r="B75" s="68">
        <v>45709</v>
      </c>
      <c r="C75" s="50">
        <v>3596.699951171875</v>
      </c>
      <c r="D75" s="55">
        <f t="shared" si="2"/>
        <v>-7.4783645044139702E-3</v>
      </c>
      <c r="G75" s="69">
        <v>45709</v>
      </c>
      <c r="H75" s="50">
        <v>22795.900390625</v>
      </c>
      <c r="I75" s="55">
        <f t="shared" si="3"/>
        <v>-5.117148798882476E-3</v>
      </c>
    </row>
    <row r="76" spans="2:9" x14ac:dyDescent="0.25">
      <c r="B76" s="68">
        <v>45712</v>
      </c>
      <c r="C76" s="50">
        <v>3570.89990234375</v>
      </c>
      <c r="D76" s="55">
        <f t="shared" si="2"/>
        <v>-7.1732558118223766E-3</v>
      </c>
      <c r="G76" s="69">
        <v>45712</v>
      </c>
      <c r="H76" s="50">
        <v>22553.349609375</v>
      </c>
      <c r="I76" s="55">
        <f t="shared" si="3"/>
        <v>-1.0640105330068539E-2</v>
      </c>
    </row>
    <row r="77" spans="2:9" x14ac:dyDescent="0.25">
      <c r="B77" s="68">
        <v>45713</v>
      </c>
      <c r="C77" s="50">
        <v>3530.75</v>
      </c>
      <c r="D77" s="55">
        <f t="shared" si="2"/>
        <v>-1.1243637021972397E-2</v>
      </c>
      <c r="G77" s="69">
        <v>45713</v>
      </c>
      <c r="H77" s="50">
        <v>22547.55078125</v>
      </c>
      <c r="I77" s="55">
        <f t="shared" si="3"/>
        <v>-2.5711604818956513E-4</v>
      </c>
    </row>
    <row r="78" spans="2:9" x14ac:dyDescent="0.25">
      <c r="B78" s="68">
        <v>45715</v>
      </c>
      <c r="C78" s="50">
        <v>3507.199951171875</v>
      </c>
      <c r="D78" s="55">
        <f t="shared" si="2"/>
        <v>-6.6699847987325978E-3</v>
      </c>
      <c r="G78" s="69">
        <v>45715</v>
      </c>
      <c r="H78" s="50">
        <v>22545.05078125</v>
      </c>
      <c r="I78" s="55">
        <f t="shared" si="3"/>
        <v>-1.1087678764998277E-4</v>
      </c>
    </row>
    <row r="79" spans="2:9" x14ac:dyDescent="0.25">
      <c r="B79" s="68">
        <v>45716</v>
      </c>
      <c r="C79" s="50">
        <v>3403.949951171875</v>
      </c>
      <c r="D79" s="55">
        <f t="shared" si="2"/>
        <v>-2.9439439278476476E-2</v>
      </c>
      <c r="G79" s="69">
        <v>45716</v>
      </c>
      <c r="H79" s="50">
        <v>22124.69921875</v>
      </c>
      <c r="I79" s="55">
        <f t="shared" si="3"/>
        <v>-1.8644959666695105E-2</v>
      </c>
    </row>
    <row r="80" spans="2:9" x14ac:dyDescent="0.25">
      <c r="B80" s="68">
        <v>45719</v>
      </c>
      <c r="C80" s="50">
        <v>3453.199951171875</v>
      </c>
      <c r="D80" s="55">
        <f t="shared" si="2"/>
        <v>1.446848534980516E-2</v>
      </c>
      <c r="G80" s="69">
        <v>45719</v>
      </c>
      <c r="H80" s="50">
        <v>22119.30078125</v>
      </c>
      <c r="I80" s="55">
        <f t="shared" si="3"/>
        <v>-2.4400049223838316E-4</v>
      </c>
    </row>
    <row r="81" spans="2:9" x14ac:dyDescent="0.25">
      <c r="B81" s="68">
        <v>45720</v>
      </c>
      <c r="C81" s="50">
        <v>3408.39990234375</v>
      </c>
      <c r="D81" s="55">
        <f t="shared" si="2"/>
        <v>-1.2973488202709382E-2</v>
      </c>
      <c r="G81" s="69">
        <v>45720</v>
      </c>
      <c r="H81" s="50">
        <v>22082.650390625</v>
      </c>
      <c r="I81" s="55">
        <f t="shared" si="3"/>
        <v>-1.6569416451024388E-3</v>
      </c>
    </row>
    <row r="82" spans="2:9" x14ac:dyDescent="0.25">
      <c r="B82" s="68">
        <v>45721</v>
      </c>
      <c r="C82" s="50">
        <v>3474.5</v>
      </c>
      <c r="D82" s="55">
        <f t="shared" si="2"/>
        <v>1.9393292908733262E-2</v>
      </c>
      <c r="G82" s="69">
        <v>45721</v>
      </c>
      <c r="H82" s="50">
        <v>22337.30078125</v>
      </c>
      <c r="I82" s="55">
        <f t="shared" si="3"/>
        <v>1.1531695069225467E-2</v>
      </c>
    </row>
    <row r="83" spans="2:9" x14ac:dyDescent="0.25">
      <c r="B83" s="68">
        <v>45722</v>
      </c>
      <c r="C83" s="50">
        <v>3540.5</v>
      </c>
      <c r="D83" s="55">
        <f t="shared" si="2"/>
        <v>1.8995538926464217E-2</v>
      </c>
      <c r="G83" s="69">
        <v>45722</v>
      </c>
      <c r="H83" s="50">
        <v>22544.69921875</v>
      </c>
      <c r="I83" s="55">
        <f t="shared" si="3"/>
        <v>9.2848477768670001E-3</v>
      </c>
    </row>
    <row r="84" spans="2:9" x14ac:dyDescent="0.25">
      <c r="B84" s="68">
        <v>45723</v>
      </c>
      <c r="C84" s="50">
        <v>3593.60009765625</v>
      </c>
      <c r="D84" s="55">
        <f t="shared" si="2"/>
        <v>1.4997909237748797E-2</v>
      </c>
      <c r="G84" s="69">
        <v>45723</v>
      </c>
      <c r="H84" s="50">
        <v>22552.5</v>
      </c>
      <c r="I84" s="55">
        <f t="shared" si="3"/>
        <v>3.4601398645017767E-4</v>
      </c>
    </row>
    <row r="85" spans="2:9" x14ac:dyDescent="0.25">
      <c r="B85" s="68">
        <v>45726</v>
      </c>
      <c r="C85" s="50">
        <v>3603.75</v>
      </c>
      <c r="D85" s="55">
        <f t="shared" si="2"/>
        <v>2.8244384650284449E-3</v>
      </c>
      <c r="G85" s="69">
        <v>45726</v>
      </c>
      <c r="H85" s="50">
        <v>22460.30078125</v>
      </c>
      <c r="I85" s="55">
        <f t="shared" si="3"/>
        <v>-4.0882039130917258E-3</v>
      </c>
    </row>
    <row r="86" spans="2:9" x14ac:dyDescent="0.25">
      <c r="B86" s="68">
        <v>45727</v>
      </c>
      <c r="C86" s="50">
        <v>3631.64990234375</v>
      </c>
      <c r="D86" s="55">
        <f t="shared" si="2"/>
        <v>7.7419083853624837E-3</v>
      </c>
      <c r="G86" s="69">
        <v>45727</v>
      </c>
      <c r="H86" s="50">
        <v>22497.900390625</v>
      </c>
      <c r="I86" s="55">
        <f t="shared" si="3"/>
        <v>1.6740474556060647E-3</v>
      </c>
    </row>
    <row r="87" spans="2:9" x14ac:dyDescent="0.25">
      <c r="B87" s="68">
        <v>45728</v>
      </c>
      <c r="C87" s="50">
        <v>3674.199951171875</v>
      </c>
      <c r="D87" s="55">
        <f t="shared" si="2"/>
        <v>1.1716451192243182E-2</v>
      </c>
      <c r="G87" s="69">
        <v>45728</v>
      </c>
      <c r="H87" s="50">
        <v>22470.5</v>
      </c>
      <c r="I87" s="55">
        <f t="shared" si="3"/>
        <v>-1.2179087892316698E-3</v>
      </c>
    </row>
    <row r="88" spans="2:9" x14ac:dyDescent="0.25">
      <c r="B88" s="68">
        <v>45729</v>
      </c>
      <c r="C88" s="50">
        <v>3797.10009765625</v>
      </c>
      <c r="D88" s="55">
        <f t="shared" si="2"/>
        <v>3.3449498698397306E-2</v>
      </c>
      <c r="G88" s="69">
        <v>45729</v>
      </c>
      <c r="H88" s="50">
        <v>22397.19921875</v>
      </c>
      <c r="I88" s="55">
        <f t="shared" si="3"/>
        <v>-3.2620894617386709E-3</v>
      </c>
    </row>
    <row r="89" spans="2:9" x14ac:dyDescent="0.25">
      <c r="B89" s="68">
        <v>45733</v>
      </c>
      <c r="C89" s="50">
        <v>3825.300048828125</v>
      </c>
      <c r="D89" s="55">
        <f t="shared" si="2"/>
        <v>7.4267073415528184E-3</v>
      </c>
      <c r="G89" s="69">
        <v>45733</v>
      </c>
      <c r="H89" s="50">
        <v>22508.75</v>
      </c>
      <c r="I89" s="55">
        <f t="shared" si="3"/>
        <v>4.980568336268254E-3</v>
      </c>
    </row>
    <row r="90" spans="2:9" x14ac:dyDescent="0.25">
      <c r="B90" s="68">
        <v>45734</v>
      </c>
      <c r="C90" s="50">
        <v>3825.300048828125</v>
      </c>
      <c r="D90" s="55">
        <f t="shared" si="2"/>
        <v>0</v>
      </c>
      <c r="G90" s="69">
        <v>45734</v>
      </c>
      <c r="H90" s="50">
        <v>22834.30078125</v>
      </c>
      <c r="I90" s="55">
        <f t="shared" si="3"/>
        <v>1.446329899483545E-2</v>
      </c>
    </row>
    <row r="91" spans="2:9" x14ac:dyDescent="0.25">
      <c r="B91" s="68">
        <v>45735</v>
      </c>
      <c r="C91" s="50">
        <v>3845.199951171875</v>
      </c>
      <c r="D91" s="55">
        <f t="shared" si="2"/>
        <v>5.2021807674527132E-3</v>
      </c>
      <c r="G91" s="69">
        <v>45735</v>
      </c>
      <c r="H91" s="50">
        <v>22907.599609375</v>
      </c>
      <c r="I91" s="55">
        <f t="shared" si="3"/>
        <v>3.2100316461272094E-3</v>
      </c>
    </row>
    <row r="92" spans="2:9" x14ac:dyDescent="0.25">
      <c r="B92" s="68">
        <v>45736</v>
      </c>
      <c r="C92" s="50">
        <v>3884.39990234375</v>
      </c>
      <c r="D92" s="55">
        <f t="shared" si="2"/>
        <v>1.0194515673997318E-2</v>
      </c>
      <c r="G92" s="69">
        <v>45736</v>
      </c>
      <c r="H92" s="50">
        <v>23190.650390625</v>
      </c>
      <c r="I92" s="55">
        <f t="shared" si="3"/>
        <v>1.2356195589090069E-2</v>
      </c>
    </row>
    <row r="93" spans="2:9" x14ac:dyDescent="0.25">
      <c r="B93" s="68">
        <v>45737</v>
      </c>
      <c r="C93" s="50">
        <v>3892.199951171875</v>
      </c>
      <c r="D93" s="55">
        <f t="shared" si="2"/>
        <v>2.0080447493109332E-3</v>
      </c>
      <c r="G93" s="69">
        <v>45737</v>
      </c>
      <c r="H93" s="50">
        <v>23350.400390625</v>
      </c>
      <c r="I93" s="55">
        <f t="shared" si="3"/>
        <v>6.8885519512889015E-3</v>
      </c>
    </row>
    <row r="94" spans="2:9" x14ac:dyDescent="0.25">
      <c r="B94" s="68">
        <v>45740</v>
      </c>
      <c r="C94" s="50">
        <v>3905.10009765625</v>
      </c>
      <c r="D94" s="55">
        <f t="shared" si="2"/>
        <v>3.3143586265373948E-3</v>
      </c>
      <c r="G94" s="69">
        <v>45740</v>
      </c>
      <c r="H94" s="50">
        <v>23658.349609375</v>
      </c>
      <c r="I94" s="55">
        <f t="shared" si="3"/>
        <v>1.3188177230298859E-2</v>
      </c>
    </row>
    <row r="95" spans="2:9" x14ac:dyDescent="0.25">
      <c r="B95" s="68">
        <v>45741</v>
      </c>
      <c r="C95" s="50">
        <v>3998.800048828125</v>
      </c>
      <c r="D95" s="55">
        <f t="shared" si="2"/>
        <v>2.3994250807581441E-2</v>
      </c>
      <c r="G95" s="69">
        <v>45741</v>
      </c>
      <c r="H95" s="50">
        <v>23668.650390625</v>
      </c>
      <c r="I95" s="55">
        <f t="shared" si="3"/>
        <v>4.3539728764163677E-4</v>
      </c>
    </row>
    <row r="96" spans="2:9" x14ac:dyDescent="0.25">
      <c r="B96" s="68">
        <v>45742</v>
      </c>
      <c r="C96" s="50">
        <v>3945.699951171875</v>
      </c>
      <c r="D96" s="55">
        <f t="shared" si="2"/>
        <v>-1.3279007954351552E-2</v>
      </c>
      <c r="G96" s="69">
        <v>45742</v>
      </c>
      <c r="H96" s="50">
        <v>23486.849609375</v>
      </c>
      <c r="I96" s="55">
        <f t="shared" si="3"/>
        <v>-7.6810793285454482E-3</v>
      </c>
    </row>
    <row r="97" spans="2:9" x14ac:dyDescent="0.25">
      <c r="B97" s="68">
        <v>45743</v>
      </c>
      <c r="C97" s="50">
        <v>4065</v>
      </c>
      <c r="D97" s="55">
        <f t="shared" si="2"/>
        <v>3.023545893110624E-2</v>
      </c>
      <c r="G97" s="69">
        <v>45743</v>
      </c>
      <c r="H97" s="50">
        <v>23591.94921875</v>
      </c>
      <c r="I97" s="55">
        <f t="shared" si="3"/>
        <v>4.4748278770025962E-3</v>
      </c>
    </row>
    <row r="98" spans="2:9" x14ac:dyDescent="0.25">
      <c r="B98" s="68">
        <v>45744</v>
      </c>
      <c r="C98" s="50">
        <v>4083.199951171875</v>
      </c>
      <c r="D98" s="55">
        <f t="shared" si="2"/>
        <v>4.4772327606088513E-3</v>
      </c>
      <c r="G98" s="69">
        <v>45744</v>
      </c>
      <c r="H98" s="50">
        <v>23519.349609375</v>
      </c>
      <c r="I98" s="55">
        <f t="shared" si="3"/>
        <v>-3.0773044101545244E-3</v>
      </c>
    </row>
    <row r="99" spans="2:9" x14ac:dyDescent="0.25">
      <c r="B99" s="68">
        <v>45748</v>
      </c>
      <c r="C99" s="50">
        <v>4003.60009765625</v>
      </c>
      <c r="D99" s="55">
        <f t="shared" si="2"/>
        <v>-1.9494478464808007E-2</v>
      </c>
      <c r="G99" s="69">
        <v>45748</v>
      </c>
      <c r="H99" s="50">
        <v>23165.69921875</v>
      </c>
      <c r="I99" s="55">
        <f t="shared" si="3"/>
        <v>-1.5036571865236992E-2</v>
      </c>
    </row>
    <row r="100" spans="2:9" x14ac:dyDescent="0.25">
      <c r="B100" s="68">
        <v>45749</v>
      </c>
      <c r="C100" s="50">
        <v>4121.4501953125</v>
      </c>
      <c r="D100" s="55">
        <f t="shared" si="2"/>
        <v>2.9436031267268792E-2</v>
      </c>
      <c r="G100" s="69">
        <v>45749</v>
      </c>
      <c r="H100" s="50">
        <v>23332.349609375</v>
      </c>
      <c r="I100" s="55">
        <f t="shared" si="3"/>
        <v>7.1938424586863725E-3</v>
      </c>
    </row>
    <row r="101" spans="2:9" x14ac:dyDescent="0.25">
      <c r="B101" s="68">
        <v>45750</v>
      </c>
      <c r="C101" s="50">
        <v>4157.7998046875</v>
      </c>
      <c r="D101" s="55">
        <f t="shared" si="2"/>
        <v>8.8196163128071436E-3</v>
      </c>
      <c r="G101" s="69">
        <v>45750</v>
      </c>
      <c r="H101" s="50">
        <v>23250.099609375</v>
      </c>
      <c r="I101" s="55">
        <f t="shared" si="3"/>
        <v>-3.5251486188494496E-3</v>
      </c>
    </row>
    <row r="102" spans="2:9" x14ac:dyDescent="0.25">
      <c r="B102" s="68">
        <v>45751</v>
      </c>
      <c r="C102" s="50">
        <v>4039.89990234375</v>
      </c>
      <c r="D102" s="55">
        <f t="shared" si="2"/>
        <v>-2.8356320140962454E-2</v>
      </c>
      <c r="G102" s="69">
        <v>45751</v>
      </c>
      <c r="H102" s="50">
        <v>22904.44921875</v>
      </c>
      <c r="I102" s="55">
        <f t="shared" si="3"/>
        <v>-1.4866619775066536E-2</v>
      </c>
    </row>
    <row r="103" spans="2:9" x14ac:dyDescent="0.25">
      <c r="B103" s="68">
        <v>45754</v>
      </c>
      <c r="C103" s="50">
        <v>4023.14990234375</v>
      </c>
      <c r="D103" s="55">
        <f t="shared" si="2"/>
        <v>-4.146142331467817E-3</v>
      </c>
      <c r="G103" s="69">
        <v>45754</v>
      </c>
      <c r="H103" s="50">
        <v>22161.599609375</v>
      </c>
      <c r="I103" s="55">
        <f t="shared" si="3"/>
        <v>-3.2432546283055363E-2</v>
      </c>
    </row>
    <row r="104" spans="2:9" x14ac:dyDescent="0.25">
      <c r="B104" s="68">
        <v>45755</v>
      </c>
      <c r="C104" s="50">
        <v>4053.85009765625</v>
      </c>
      <c r="D104" s="55">
        <f t="shared" si="2"/>
        <v>7.6308852659492388E-3</v>
      </c>
      <c r="G104" s="69">
        <v>45755</v>
      </c>
      <c r="H104" s="50">
        <v>22535.849609375</v>
      </c>
      <c r="I104" s="55">
        <f t="shared" si="3"/>
        <v>1.6887318902814252E-2</v>
      </c>
    </row>
    <row r="105" spans="2:9" x14ac:dyDescent="0.25">
      <c r="B105" s="68">
        <v>45756</v>
      </c>
      <c r="C105" s="50">
        <v>4139.2998046875</v>
      </c>
      <c r="D105" s="55">
        <f t="shared" si="2"/>
        <v>2.1078654852248579E-2</v>
      </c>
      <c r="G105" s="69">
        <v>45756</v>
      </c>
      <c r="H105" s="50">
        <v>22399.150390625</v>
      </c>
      <c r="I105" s="55">
        <f t="shared" si="3"/>
        <v>-6.0658560080705248E-3</v>
      </c>
    </row>
    <row r="106" spans="2:9" x14ac:dyDescent="0.25">
      <c r="B106" s="68">
        <v>45758</v>
      </c>
      <c r="C106" s="50">
        <v>4131.5</v>
      </c>
      <c r="D106" s="55">
        <f t="shared" si="2"/>
        <v>-1.8843294894144158E-3</v>
      </c>
      <c r="G106" s="69">
        <v>45758</v>
      </c>
      <c r="H106" s="50">
        <v>22828.55078125</v>
      </c>
      <c r="I106" s="55">
        <f t="shared" si="3"/>
        <v>1.9170387409190415E-2</v>
      </c>
    </row>
    <row r="107" spans="2:9" x14ac:dyDescent="0.25">
      <c r="B107" s="68">
        <v>45762</v>
      </c>
      <c r="C107" s="50">
        <v>4212.7001953125</v>
      </c>
      <c r="D107" s="55">
        <f t="shared" si="2"/>
        <v>1.9653926010528844E-2</v>
      </c>
      <c r="G107" s="69">
        <v>45762</v>
      </c>
      <c r="H107" s="50">
        <v>23328.55078125</v>
      </c>
      <c r="I107" s="55">
        <f t="shared" si="3"/>
        <v>2.1902397782108451E-2</v>
      </c>
    </row>
    <row r="108" spans="2:9" x14ac:dyDescent="0.25">
      <c r="B108" s="68">
        <v>45763</v>
      </c>
      <c r="C108" s="50">
        <v>4221.5</v>
      </c>
      <c r="D108" s="55">
        <f t="shared" si="2"/>
        <v>2.0888751345968792E-3</v>
      </c>
      <c r="G108" s="69">
        <v>45763</v>
      </c>
      <c r="H108" s="50">
        <v>23437.19921875</v>
      </c>
      <c r="I108" s="55">
        <f t="shared" si="3"/>
        <v>4.6573162010270508E-3</v>
      </c>
    </row>
    <row r="109" spans="2:9" x14ac:dyDescent="0.25">
      <c r="B109" s="68">
        <v>45764</v>
      </c>
      <c r="C109" s="50">
        <v>4357.10009765625</v>
      </c>
      <c r="D109" s="55">
        <f t="shared" si="2"/>
        <v>3.212130703689442E-2</v>
      </c>
      <c r="G109" s="69">
        <v>45764</v>
      </c>
      <c r="H109" s="50">
        <v>23851.650390625</v>
      </c>
      <c r="I109" s="55">
        <f t="shared" si="3"/>
        <v>1.7683476937954135E-2</v>
      </c>
    </row>
    <row r="110" spans="2:9" x14ac:dyDescent="0.25">
      <c r="B110" s="68">
        <v>45768</v>
      </c>
      <c r="C110" s="50">
        <v>4342.2998046875</v>
      </c>
      <c r="D110" s="55">
        <f t="shared" si="2"/>
        <v>-3.3968218854351084E-3</v>
      </c>
      <c r="G110" s="69">
        <v>45768</v>
      </c>
      <c r="H110" s="50">
        <v>24125.55078125</v>
      </c>
      <c r="I110" s="55">
        <f t="shared" si="3"/>
        <v>1.1483498464016417E-2</v>
      </c>
    </row>
    <row r="111" spans="2:9" x14ac:dyDescent="0.25">
      <c r="B111" s="68">
        <v>45769</v>
      </c>
      <c r="C111" s="50">
        <v>4435.60009765625</v>
      </c>
      <c r="D111" s="55">
        <f t="shared" si="2"/>
        <v>2.1486377533866508E-2</v>
      </c>
      <c r="G111" s="69">
        <v>45769</v>
      </c>
      <c r="H111" s="50">
        <v>24167.25</v>
      </c>
      <c r="I111" s="55">
        <f t="shared" si="3"/>
        <v>1.7284255654137493E-3</v>
      </c>
    </row>
    <row r="112" spans="2:9" x14ac:dyDescent="0.25">
      <c r="B112" s="68">
        <v>45770</v>
      </c>
      <c r="C112" s="50">
        <v>4508.10009765625</v>
      </c>
      <c r="D112" s="55">
        <f t="shared" si="2"/>
        <v>1.6345026243079985E-2</v>
      </c>
      <c r="G112" s="69">
        <v>45770</v>
      </c>
      <c r="H112" s="50">
        <v>24328.94921875</v>
      </c>
      <c r="I112" s="55">
        <f t="shared" si="3"/>
        <v>6.6908406521222208E-3</v>
      </c>
    </row>
    <row r="113" spans="2:9" x14ac:dyDescent="0.25">
      <c r="B113" s="68">
        <v>45771</v>
      </c>
      <c r="C113" s="50">
        <v>4498.7998046875</v>
      </c>
      <c r="D113" s="55">
        <f t="shared" si="2"/>
        <v>-2.0630182931353769E-3</v>
      </c>
      <c r="G113" s="69">
        <v>45771</v>
      </c>
      <c r="H113" s="50">
        <v>24246.69921875</v>
      </c>
      <c r="I113" s="55">
        <f t="shared" si="3"/>
        <v>-3.3807460922566923E-3</v>
      </c>
    </row>
    <row r="114" spans="2:9" x14ac:dyDescent="0.25">
      <c r="B114" s="68">
        <v>45772</v>
      </c>
      <c r="C114" s="50">
        <v>4375.2001953125</v>
      </c>
      <c r="D114" s="55">
        <f t="shared" si="2"/>
        <v>-2.7473907428869349E-2</v>
      </c>
      <c r="G114" s="69">
        <v>45772</v>
      </c>
      <c r="H114" s="50">
        <v>24039.349609375</v>
      </c>
      <c r="I114" s="55">
        <f t="shared" si="3"/>
        <v>-8.5516633626838701E-3</v>
      </c>
    </row>
    <row r="115" spans="2:9" x14ac:dyDescent="0.25">
      <c r="B115" s="68">
        <v>45775</v>
      </c>
      <c r="C115" s="50">
        <v>4366.7998046875</v>
      </c>
      <c r="D115" s="55">
        <f t="shared" si="2"/>
        <v>-1.920001428506013E-3</v>
      </c>
      <c r="G115" s="69">
        <v>45775</v>
      </c>
      <c r="H115" s="50">
        <v>24328.5</v>
      </c>
      <c r="I115" s="55">
        <f t="shared" si="3"/>
        <v>1.2028211882747275E-2</v>
      </c>
    </row>
    <row r="116" spans="2:9" x14ac:dyDescent="0.25">
      <c r="B116" s="68">
        <v>45776</v>
      </c>
      <c r="C116" s="50">
        <v>4310</v>
      </c>
      <c r="D116" s="55">
        <f t="shared" si="2"/>
        <v>-1.300719227534286E-2</v>
      </c>
      <c r="G116" s="69">
        <v>45776</v>
      </c>
      <c r="H116" s="50">
        <v>24335.94921875</v>
      </c>
      <c r="I116" s="55">
        <f t="shared" si="3"/>
        <v>3.0619309657398119E-4</v>
      </c>
    </row>
    <row r="117" spans="2:9" x14ac:dyDescent="0.25">
      <c r="B117" s="68">
        <v>45777</v>
      </c>
      <c r="C117" s="50">
        <v>4199.89990234375</v>
      </c>
      <c r="D117" s="55">
        <f t="shared" si="2"/>
        <v>-2.5545266277552159E-2</v>
      </c>
      <c r="G117" s="69">
        <v>45777</v>
      </c>
      <c r="H117" s="50">
        <v>24334.19921875</v>
      </c>
      <c r="I117" s="55">
        <f t="shared" si="3"/>
        <v>-7.1910077731884847E-5</v>
      </c>
    </row>
    <row r="118" spans="2:9" x14ac:dyDescent="0.25">
      <c r="B118" s="68">
        <v>45779</v>
      </c>
      <c r="C118" s="50">
        <v>4042.199951171875</v>
      </c>
      <c r="D118" s="55">
        <f t="shared" si="2"/>
        <v>-3.7548502306893217E-2</v>
      </c>
      <c r="G118" s="69">
        <v>45779</v>
      </c>
      <c r="H118" s="50">
        <v>24346.69921875</v>
      </c>
      <c r="I118" s="55">
        <f t="shared" si="3"/>
        <v>5.1368035116472477E-4</v>
      </c>
    </row>
    <row r="119" spans="2:9" x14ac:dyDescent="0.25">
      <c r="B119" s="68">
        <v>45782</v>
      </c>
      <c r="C119" s="50">
        <v>4018.39990234375</v>
      </c>
      <c r="D119" s="55">
        <f t="shared" si="2"/>
        <v>-5.8878949867943176E-3</v>
      </c>
      <c r="G119" s="69">
        <v>45782</v>
      </c>
      <c r="H119" s="50">
        <v>24461.150390625</v>
      </c>
      <c r="I119" s="55">
        <f t="shared" si="3"/>
        <v>4.700890697612925E-3</v>
      </c>
    </row>
    <row r="120" spans="2:9" x14ac:dyDescent="0.25">
      <c r="B120" s="68">
        <v>45783</v>
      </c>
      <c r="C120" s="50">
        <v>4006.10009765625</v>
      </c>
      <c r="D120" s="55">
        <f t="shared" si="2"/>
        <v>-3.0608712389043058E-3</v>
      </c>
      <c r="G120" s="69">
        <v>45783</v>
      </c>
      <c r="H120" s="50">
        <v>24379.599609375</v>
      </c>
      <c r="I120" s="55">
        <f t="shared" si="3"/>
        <v>-3.3338898599493128E-3</v>
      </c>
    </row>
    <row r="121" spans="2:9" x14ac:dyDescent="0.25">
      <c r="B121" s="68">
        <v>45784</v>
      </c>
      <c r="C121" s="50">
        <v>3999.800048828125</v>
      </c>
      <c r="D121" s="55">
        <f t="shared" si="2"/>
        <v>-1.5726139323904986E-3</v>
      </c>
      <c r="G121" s="69">
        <v>45784</v>
      </c>
      <c r="H121" s="50">
        <v>24414.400390625</v>
      </c>
      <c r="I121" s="55">
        <f t="shared" si="3"/>
        <v>1.4274549954715887E-3</v>
      </c>
    </row>
    <row r="122" spans="2:9" x14ac:dyDescent="0.25">
      <c r="B122" s="68">
        <v>45785</v>
      </c>
      <c r="C122" s="50">
        <v>3974.300048828125</v>
      </c>
      <c r="D122" s="55">
        <f t="shared" si="2"/>
        <v>-6.3753186881106982E-3</v>
      </c>
      <c r="G122" s="69">
        <v>45785</v>
      </c>
      <c r="H122" s="50">
        <v>24273.80078125</v>
      </c>
      <c r="I122" s="55">
        <f t="shared" si="3"/>
        <v>-5.7588802970967023E-3</v>
      </c>
    </row>
    <row r="123" spans="2:9" x14ac:dyDescent="0.25">
      <c r="B123" s="68">
        <v>45786</v>
      </c>
      <c r="C123" s="50">
        <v>3972.39990234375</v>
      </c>
      <c r="D123" s="55">
        <f t="shared" si="2"/>
        <v>-4.7810846212659186E-4</v>
      </c>
      <c r="G123" s="69">
        <v>45786</v>
      </c>
      <c r="H123" s="50">
        <v>24008</v>
      </c>
      <c r="I123" s="55">
        <f t="shared" si="3"/>
        <v>-1.09501096942064E-2</v>
      </c>
    </row>
    <row r="124" spans="2:9" x14ac:dyDescent="0.25">
      <c r="B124" s="68">
        <v>45789</v>
      </c>
      <c r="C124" s="50">
        <v>4023.5</v>
      </c>
      <c r="D124" s="55">
        <f t="shared" si="2"/>
        <v>1.2863784843540227E-2</v>
      </c>
      <c r="G124" s="69">
        <v>45789</v>
      </c>
      <c r="H124" s="50">
        <v>24924.69921875</v>
      </c>
      <c r="I124" s="55">
        <f t="shared" si="3"/>
        <v>3.8183073090219954E-2</v>
      </c>
    </row>
    <row r="125" spans="2:9" x14ac:dyDescent="0.25">
      <c r="B125" s="68">
        <v>45790</v>
      </c>
      <c r="C125" s="50">
        <v>4064.10009765625</v>
      </c>
      <c r="D125" s="55">
        <f t="shared" si="2"/>
        <v>1.0090741308872886E-2</v>
      </c>
      <c r="G125" s="69">
        <v>45790</v>
      </c>
      <c r="H125" s="50">
        <v>24578.349609375</v>
      </c>
      <c r="I125" s="55">
        <f t="shared" si="3"/>
        <v>-1.389583907654357E-2</v>
      </c>
    </row>
    <row r="126" spans="2:9" x14ac:dyDescent="0.25">
      <c r="B126" s="68">
        <v>45791</v>
      </c>
      <c r="C126" s="50">
        <v>4049.199951171875</v>
      </c>
      <c r="D126" s="55">
        <f t="shared" si="2"/>
        <v>-3.6662843252723842E-3</v>
      </c>
      <c r="G126" s="69">
        <v>45791</v>
      </c>
      <c r="H126" s="50">
        <v>24666.900390625</v>
      </c>
      <c r="I126" s="55">
        <f t="shared" si="3"/>
        <v>3.6027960647213586E-3</v>
      </c>
    </row>
    <row r="127" spans="2:9" x14ac:dyDescent="0.25">
      <c r="B127" s="68">
        <v>45792</v>
      </c>
      <c r="C127" s="50">
        <v>4073.5</v>
      </c>
      <c r="D127" s="55">
        <f t="shared" si="2"/>
        <v>6.0011975504179471E-3</v>
      </c>
      <c r="G127" s="69">
        <v>45792</v>
      </c>
      <c r="H127" s="50">
        <v>25062.099609375</v>
      </c>
      <c r="I127" s="55">
        <f t="shared" si="3"/>
        <v>1.6021438141461841E-2</v>
      </c>
    </row>
    <row r="128" spans="2:9" x14ac:dyDescent="0.25">
      <c r="B128" s="68">
        <v>45793</v>
      </c>
      <c r="C128" s="50">
        <v>4189.7001953125</v>
      </c>
      <c r="D128" s="55">
        <f t="shared" si="2"/>
        <v>2.8525885678777563E-2</v>
      </c>
      <c r="G128" s="69">
        <v>45793</v>
      </c>
      <c r="H128" s="50">
        <v>25019.80078125</v>
      </c>
      <c r="I128" s="55">
        <f t="shared" si="3"/>
        <v>-1.6877607536591732E-3</v>
      </c>
    </row>
    <row r="129" spans="2:9" x14ac:dyDescent="0.25">
      <c r="B129" s="68">
        <v>45796</v>
      </c>
      <c r="C129" s="50">
        <v>4206.7998046875</v>
      </c>
      <c r="D129" s="55">
        <f t="shared" si="2"/>
        <v>4.081344386916097E-3</v>
      </c>
      <c r="G129" s="69">
        <v>45796</v>
      </c>
      <c r="H129" s="50">
        <v>24945.44921875</v>
      </c>
      <c r="I129" s="55">
        <f t="shared" si="3"/>
        <v>-2.9717088137536374E-3</v>
      </c>
    </row>
    <row r="130" spans="2:9" x14ac:dyDescent="0.25">
      <c r="B130" s="68">
        <v>45797</v>
      </c>
      <c r="C130" s="50">
        <v>4071.5</v>
      </c>
      <c r="D130" s="55">
        <f t="shared" si="2"/>
        <v>-3.2162168624411347E-2</v>
      </c>
      <c r="G130" s="69">
        <v>45797</v>
      </c>
      <c r="H130" s="50">
        <v>24683.900390625</v>
      </c>
      <c r="I130" s="55">
        <f t="shared" si="3"/>
        <v>-1.0484831354666824E-2</v>
      </c>
    </row>
    <row r="131" spans="2:9" x14ac:dyDescent="0.25">
      <c r="B131" s="68">
        <v>45798</v>
      </c>
      <c r="C131" s="50">
        <v>4112.7001953125</v>
      </c>
      <c r="D131" s="55">
        <f t="shared" si="2"/>
        <v>1.0119168687830138E-2</v>
      </c>
      <c r="G131" s="69">
        <v>45798</v>
      </c>
      <c r="H131" s="50">
        <v>24813.44921875</v>
      </c>
      <c r="I131" s="55">
        <f t="shared" si="3"/>
        <v>5.2483127088862602E-3</v>
      </c>
    </row>
    <row r="132" spans="2:9" x14ac:dyDescent="0.25">
      <c r="B132" s="68">
        <v>45799</v>
      </c>
      <c r="C132" s="50">
        <v>4082.699951171875</v>
      </c>
      <c r="D132" s="55">
        <f t="shared" si="2"/>
        <v>-7.2945370962896883E-3</v>
      </c>
      <c r="G132" s="69">
        <v>45799</v>
      </c>
      <c r="H132" s="50">
        <v>24609.69921875</v>
      </c>
      <c r="I132" s="55">
        <f t="shared" si="3"/>
        <v>-8.2112727740422109E-3</v>
      </c>
    </row>
    <row r="133" spans="2:9" x14ac:dyDescent="0.25">
      <c r="B133" s="68">
        <v>45800</v>
      </c>
      <c r="C133" s="50">
        <v>4140.7998046875</v>
      </c>
      <c r="D133" s="55">
        <f t="shared" si="2"/>
        <v>1.4230742942289432E-2</v>
      </c>
      <c r="G133" s="69">
        <v>45800</v>
      </c>
      <c r="H133" s="50">
        <v>24853.150390625</v>
      </c>
      <c r="I133" s="55">
        <f t="shared" si="3"/>
        <v>9.8924887180058541E-3</v>
      </c>
    </row>
    <row r="134" spans="2:9" x14ac:dyDescent="0.25">
      <c r="B134" s="68">
        <v>45803</v>
      </c>
      <c r="C134" s="50">
        <v>4138.39990234375</v>
      </c>
      <c r="D134" s="55">
        <f t="shared" si="2"/>
        <v>-5.7957458871427114E-4</v>
      </c>
      <c r="G134" s="69">
        <v>45803</v>
      </c>
      <c r="H134" s="50">
        <v>25001.150390625</v>
      </c>
      <c r="I134" s="55">
        <f t="shared" si="3"/>
        <v>5.9549794562796521E-3</v>
      </c>
    </row>
    <row r="135" spans="2:9" x14ac:dyDescent="0.25">
      <c r="B135" s="68">
        <v>45804</v>
      </c>
      <c r="C135" s="50">
        <v>4094</v>
      </c>
      <c r="D135" s="55">
        <f t="shared" si="2"/>
        <v>-1.0728760726725461E-2</v>
      </c>
      <c r="G135" s="69">
        <v>45804</v>
      </c>
      <c r="H135" s="50">
        <v>24826.19921875</v>
      </c>
      <c r="I135" s="55">
        <f t="shared" si="3"/>
        <v>-6.9977248703164685E-3</v>
      </c>
    </row>
    <row r="136" spans="2:9" x14ac:dyDescent="0.25">
      <c r="B136" s="68">
        <v>45805</v>
      </c>
      <c r="C136" s="50">
        <v>4042.300048828125</v>
      </c>
      <c r="D136" s="55">
        <f t="shared" si="2"/>
        <v>-1.2628224516823439E-2</v>
      </c>
      <c r="G136" s="69">
        <v>45805</v>
      </c>
      <c r="H136" s="50">
        <v>24752.44921875</v>
      </c>
      <c r="I136" s="55">
        <f t="shared" si="3"/>
        <v>-2.9706520659956714E-3</v>
      </c>
    </row>
    <row r="137" spans="2:9" x14ac:dyDescent="0.25">
      <c r="B137" s="68">
        <v>45806</v>
      </c>
      <c r="C137" s="50">
        <v>4042.300048828125</v>
      </c>
      <c r="D137" s="55">
        <f t="shared" ref="D137:D200" si="4">C137/C136-1</f>
        <v>0</v>
      </c>
      <c r="G137" s="69">
        <v>45806</v>
      </c>
      <c r="H137" s="50">
        <v>24833.599609375</v>
      </c>
      <c r="I137" s="55">
        <f t="shared" ref="I137:I200" si="5">H137/H136-1</f>
        <v>3.2784792287758879E-3</v>
      </c>
    </row>
    <row r="138" spans="2:9" x14ac:dyDescent="0.25">
      <c r="B138" s="68">
        <v>45807</v>
      </c>
      <c r="C138" s="50">
        <v>4002.10009765625</v>
      </c>
      <c r="D138" s="55">
        <f t="shared" si="4"/>
        <v>-9.9448211875140524E-3</v>
      </c>
      <c r="G138" s="69">
        <v>45807</v>
      </c>
      <c r="H138" s="50">
        <v>24750.69921875</v>
      </c>
      <c r="I138" s="55">
        <f t="shared" si="5"/>
        <v>-3.3382349691143398E-3</v>
      </c>
    </row>
    <row r="139" spans="2:9" x14ac:dyDescent="0.25">
      <c r="B139" s="68">
        <v>45810</v>
      </c>
      <c r="C139" s="50">
        <v>4025.5</v>
      </c>
      <c r="D139" s="55">
        <f t="shared" si="4"/>
        <v>5.8469058176364719E-3</v>
      </c>
      <c r="G139" s="69">
        <v>45810</v>
      </c>
      <c r="H139" s="50">
        <v>24716.599609375</v>
      </c>
      <c r="I139" s="55">
        <f t="shared" si="5"/>
        <v>-1.3777230725331435E-3</v>
      </c>
    </row>
    <row r="140" spans="2:9" x14ac:dyDescent="0.25">
      <c r="B140" s="68">
        <v>45811</v>
      </c>
      <c r="C140" s="50">
        <v>4055.199951171875</v>
      </c>
      <c r="D140" s="55">
        <f t="shared" si="4"/>
        <v>7.3779533404234598E-3</v>
      </c>
      <c r="G140" s="69">
        <v>45811</v>
      </c>
      <c r="H140" s="50">
        <v>24542.5</v>
      </c>
      <c r="I140" s="55">
        <f t="shared" si="5"/>
        <v>-7.0438333802584907E-3</v>
      </c>
    </row>
    <row r="141" spans="2:9" x14ac:dyDescent="0.25">
      <c r="B141" s="68">
        <v>45812</v>
      </c>
      <c r="C141" s="50">
        <v>4074.5</v>
      </c>
      <c r="D141" s="55">
        <f t="shared" si="4"/>
        <v>4.7593334633344586E-3</v>
      </c>
      <c r="G141" s="69">
        <v>45812</v>
      </c>
      <c r="H141" s="50">
        <v>24620.19921875</v>
      </c>
      <c r="I141" s="55">
        <f t="shared" si="5"/>
        <v>3.1659048079861751E-3</v>
      </c>
    </row>
    <row r="142" spans="2:9" x14ac:dyDescent="0.25">
      <c r="B142" s="68">
        <v>45813</v>
      </c>
      <c r="C142" s="50">
        <v>4153.5</v>
      </c>
      <c r="D142" s="55">
        <f t="shared" si="4"/>
        <v>1.9388882071419866E-2</v>
      </c>
      <c r="G142" s="69">
        <v>45813</v>
      </c>
      <c r="H142" s="50">
        <v>24750.900390625</v>
      </c>
      <c r="I142" s="55">
        <f t="shared" si="5"/>
        <v>5.3086967621067682E-3</v>
      </c>
    </row>
    <row r="143" spans="2:9" x14ac:dyDescent="0.25">
      <c r="B143" s="68">
        <v>45814</v>
      </c>
      <c r="C143" s="50">
        <v>4201.60009765625</v>
      </c>
      <c r="D143" s="55">
        <f t="shared" si="4"/>
        <v>1.1580618190983438E-2</v>
      </c>
      <c r="G143" s="69">
        <v>45814</v>
      </c>
      <c r="H143" s="50">
        <v>25003.05078125</v>
      </c>
      <c r="I143" s="55">
        <f t="shared" si="5"/>
        <v>1.018752395450262E-2</v>
      </c>
    </row>
    <row r="144" spans="2:9" x14ac:dyDescent="0.25">
      <c r="B144" s="68">
        <v>45817</v>
      </c>
      <c r="C144" s="50">
        <v>4179.10009765625</v>
      </c>
      <c r="D144" s="55">
        <f t="shared" si="4"/>
        <v>-5.3551026935073631E-3</v>
      </c>
      <c r="G144" s="69">
        <v>45817</v>
      </c>
      <c r="H144" s="50">
        <v>25103.19921875</v>
      </c>
      <c r="I144" s="55">
        <f t="shared" si="5"/>
        <v>4.0054487100871228E-3</v>
      </c>
    </row>
    <row r="145" spans="2:9" x14ac:dyDescent="0.25">
      <c r="B145" s="68">
        <v>45818</v>
      </c>
      <c r="C145" s="50">
        <v>4080</v>
      </c>
      <c r="D145" s="55">
        <f t="shared" si="4"/>
        <v>-2.3713262506401267E-2</v>
      </c>
      <c r="G145" s="69">
        <v>45818</v>
      </c>
      <c r="H145" s="50">
        <v>25104.25</v>
      </c>
      <c r="I145" s="55">
        <f t="shared" si="5"/>
        <v>4.1858459586929797E-5</v>
      </c>
    </row>
    <row r="146" spans="2:9" x14ac:dyDescent="0.25">
      <c r="B146" s="68">
        <v>45819</v>
      </c>
      <c r="C146" s="50">
        <v>4078.199951171875</v>
      </c>
      <c r="D146" s="55">
        <f t="shared" si="4"/>
        <v>-4.4118843826590481E-4</v>
      </c>
      <c r="G146" s="69">
        <v>45819</v>
      </c>
      <c r="H146" s="50">
        <v>25141.400390625</v>
      </c>
      <c r="I146" s="55">
        <f t="shared" si="5"/>
        <v>1.4798446727146697E-3</v>
      </c>
    </row>
    <row r="147" spans="2:9" x14ac:dyDescent="0.25">
      <c r="B147" s="68">
        <v>45820</v>
      </c>
      <c r="C147" s="50">
        <v>4074</v>
      </c>
      <c r="D147" s="55">
        <f t="shared" si="4"/>
        <v>-1.0298541567752562E-3</v>
      </c>
      <c r="G147" s="69">
        <v>45820</v>
      </c>
      <c r="H147" s="50">
        <v>24888.19921875</v>
      </c>
      <c r="I147" s="55">
        <f t="shared" si="5"/>
        <v>-1.0071084662786611E-2</v>
      </c>
    </row>
    <row r="148" spans="2:9" x14ac:dyDescent="0.25">
      <c r="B148" s="68">
        <v>45821</v>
      </c>
      <c r="C148" s="50">
        <v>4051.89990234375</v>
      </c>
      <c r="D148" s="55">
        <f t="shared" si="4"/>
        <v>-5.4246680550441573E-3</v>
      </c>
      <c r="G148" s="69">
        <v>45821</v>
      </c>
      <c r="H148" s="50">
        <v>24718.599609375</v>
      </c>
      <c r="I148" s="55">
        <f t="shared" si="5"/>
        <v>-6.8144588479197576E-3</v>
      </c>
    </row>
    <row r="149" spans="2:9" x14ac:dyDescent="0.25">
      <c r="B149" s="68">
        <v>45824</v>
      </c>
      <c r="C149" s="50">
        <v>4087</v>
      </c>
      <c r="D149" s="55">
        <f t="shared" si="4"/>
        <v>8.6626270397121008E-3</v>
      </c>
      <c r="G149" s="69">
        <v>45824</v>
      </c>
      <c r="H149" s="50">
        <v>24946.5</v>
      </c>
      <c r="I149" s="55">
        <f t="shared" si="5"/>
        <v>9.2197937677085395E-3</v>
      </c>
    </row>
    <row r="150" spans="2:9" x14ac:dyDescent="0.25">
      <c r="B150" s="68">
        <v>45825</v>
      </c>
      <c r="C150" s="50">
        <v>4059.10009765625</v>
      </c>
      <c r="D150" s="55">
        <f t="shared" si="4"/>
        <v>-6.8264992277342618E-3</v>
      </c>
      <c r="G150" s="69">
        <v>45825</v>
      </c>
      <c r="H150" s="50">
        <v>24853.400390625</v>
      </c>
      <c r="I150" s="55">
        <f t="shared" si="5"/>
        <v>-3.7319707924959866E-3</v>
      </c>
    </row>
    <row r="151" spans="2:9" x14ac:dyDescent="0.25">
      <c r="B151" s="68">
        <v>45826</v>
      </c>
      <c r="C151" s="50">
        <v>4228.39990234375</v>
      </c>
      <c r="D151" s="55">
        <f t="shared" si="4"/>
        <v>4.1708704051238943E-2</v>
      </c>
      <c r="G151" s="69">
        <v>45826</v>
      </c>
      <c r="H151" s="50">
        <v>24812.05078125</v>
      </c>
      <c r="I151" s="55">
        <f t="shared" si="5"/>
        <v>-1.6637405234334324E-3</v>
      </c>
    </row>
    <row r="152" spans="2:9" x14ac:dyDescent="0.25">
      <c r="B152" s="68">
        <v>45827</v>
      </c>
      <c r="C152" s="50">
        <v>4203.10009765625</v>
      </c>
      <c r="D152" s="55">
        <f t="shared" si="4"/>
        <v>-5.9833046239256005E-3</v>
      </c>
      <c r="G152" s="69">
        <v>45827</v>
      </c>
      <c r="H152" s="50">
        <v>24793.25</v>
      </c>
      <c r="I152" s="55">
        <f t="shared" si="5"/>
        <v>-7.5772782410266082E-4</v>
      </c>
    </row>
    <row r="153" spans="2:9" x14ac:dyDescent="0.25">
      <c r="B153" s="68">
        <v>45828</v>
      </c>
      <c r="C153" s="50">
        <v>4300.2998046875</v>
      </c>
      <c r="D153" s="55">
        <f t="shared" si="4"/>
        <v>2.3125717868449192E-2</v>
      </c>
      <c r="G153" s="69">
        <v>45828</v>
      </c>
      <c r="H153" s="50">
        <v>25112.400390625</v>
      </c>
      <c r="I153" s="55">
        <f t="shared" si="5"/>
        <v>1.287247095983779E-2</v>
      </c>
    </row>
    <row r="154" spans="2:9" x14ac:dyDescent="0.25">
      <c r="B154" s="68">
        <v>45831</v>
      </c>
      <c r="C154" s="50">
        <v>4335.7998046875</v>
      </c>
      <c r="D154" s="55">
        <f t="shared" si="4"/>
        <v>8.2552383815899244E-3</v>
      </c>
      <c r="G154" s="69">
        <v>45831</v>
      </c>
      <c r="H154" s="50">
        <v>24971.900390625</v>
      </c>
      <c r="I154" s="55">
        <f t="shared" si="5"/>
        <v>-5.5948454872697395E-3</v>
      </c>
    </row>
    <row r="155" spans="2:9" x14ac:dyDescent="0.25">
      <c r="B155" s="68">
        <v>45832</v>
      </c>
      <c r="C155" s="50">
        <v>4250.60009765625</v>
      </c>
      <c r="D155" s="55">
        <f t="shared" si="4"/>
        <v>-1.9650286191520983E-2</v>
      </c>
      <c r="G155" s="69">
        <v>45832</v>
      </c>
      <c r="H155" s="50">
        <v>25044.349609375</v>
      </c>
      <c r="I155" s="55">
        <f t="shared" si="5"/>
        <v>2.9012296868362597E-3</v>
      </c>
    </row>
    <row r="156" spans="2:9" x14ac:dyDescent="0.25">
      <c r="B156" s="68">
        <v>45833</v>
      </c>
      <c r="C156" s="50">
        <v>4276.39990234375</v>
      </c>
      <c r="D156" s="55">
        <f t="shared" si="4"/>
        <v>6.0696852432027271E-3</v>
      </c>
      <c r="G156" s="69">
        <v>45833</v>
      </c>
      <c r="H156" s="50">
        <v>25244.75</v>
      </c>
      <c r="I156" s="55">
        <f t="shared" si="5"/>
        <v>8.0018205204253068E-3</v>
      </c>
    </row>
    <row r="157" spans="2:9" x14ac:dyDescent="0.25">
      <c r="B157" s="68">
        <v>45834</v>
      </c>
      <c r="C157" s="50">
        <v>4315.39990234375</v>
      </c>
      <c r="D157" s="55">
        <f t="shared" si="4"/>
        <v>9.1198206179514685E-3</v>
      </c>
      <c r="G157" s="69">
        <v>45834</v>
      </c>
      <c r="H157" s="50">
        <v>25549</v>
      </c>
      <c r="I157" s="55">
        <f t="shared" si="5"/>
        <v>1.2052010814129765E-2</v>
      </c>
    </row>
    <row r="158" spans="2:9" x14ac:dyDescent="0.25">
      <c r="B158" s="68">
        <v>45835</v>
      </c>
      <c r="C158" s="50">
        <v>4313.5</v>
      </c>
      <c r="D158" s="55">
        <f t="shared" si="4"/>
        <v>-4.4026101560556974E-4</v>
      </c>
      <c r="G158" s="69">
        <v>45835</v>
      </c>
      <c r="H158" s="50">
        <v>25637.80078125</v>
      </c>
      <c r="I158" s="55">
        <f t="shared" si="5"/>
        <v>3.4757047731810431E-3</v>
      </c>
    </row>
    <row r="159" spans="2:9" x14ac:dyDescent="0.25">
      <c r="B159" s="68">
        <v>45838</v>
      </c>
      <c r="C159" s="50">
        <v>4372.2998046875</v>
      </c>
      <c r="D159" s="55">
        <f t="shared" si="4"/>
        <v>1.3631576373594578E-2</v>
      </c>
      <c r="G159" s="69">
        <v>45838</v>
      </c>
      <c r="H159" s="50">
        <v>25517.05078125</v>
      </c>
      <c r="I159" s="55">
        <f t="shared" si="5"/>
        <v>-4.7098423546652057E-3</v>
      </c>
    </row>
    <row r="160" spans="2:9" x14ac:dyDescent="0.25">
      <c r="B160" s="68">
        <v>45839</v>
      </c>
      <c r="C160" s="50">
        <v>4452.39990234375</v>
      </c>
      <c r="D160" s="55">
        <f t="shared" si="4"/>
        <v>1.8319900563629199E-2</v>
      </c>
      <c r="G160" s="69">
        <v>45839</v>
      </c>
      <c r="H160" s="50">
        <v>25541.80078125</v>
      </c>
      <c r="I160" s="55">
        <f t="shared" si="5"/>
        <v>9.6993967728375985E-4</v>
      </c>
    </row>
    <row r="161" spans="2:9" x14ac:dyDescent="0.25">
      <c r="B161" s="68">
        <v>45840</v>
      </c>
      <c r="C161" s="50">
        <v>4391.89990234375</v>
      </c>
      <c r="D161" s="55">
        <f t="shared" si="4"/>
        <v>-1.3588177460913342E-2</v>
      </c>
      <c r="G161" s="69">
        <v>45840</v>
      </c>
      <c r="H161" s="50">
        <v>25453.400390625</v>
      </c>
      <c r="I161" s="55">
        <f t="shared" si="5"/>
        <v>-3.4610085397696055E-3</v>
      </c>
    </row>
    <row r="162" spans="2:9" x14ac:dyDescent="0.25">
      <c r="B162" s="68">
        <v>45841</v>
      </c>
      <c r="C162" s="50">
        <v>4348.7001953125</v>
      </c>
      <c r="D162" s="55">
        <f t="shared" si="4"/>
        <v>-9.8362230451100041E-3</v>
      </c>
      <c r="G162" s="69">
        <v>45841</v>
      </c>
      <c r="H162" s="50">
        <v>25405.30078125</v>
      </c>
      <c r="I162" s="55">
        <f t="shared" si="5"/>
        <v>-1.8897125192245401E-3</v>
      </c>
    </row>
    <row r="163" spans="2:9" x14ac:dyDescent="0.25">
      <c r="B163" s="68">
        <v>45842</v>
      </c>
      <c r="C163" s="50">
        <v>4261.10009765625</v>
      </c>
      <c r="D163" s="55">
        <f t="shared" si="4"/>
        <v>-2.014397261753631E-2</v>
      </c>
      <c r="G163" s="69">
        <v>45842</v>
      </c>
      <c r="H163" s="50">
        <v>25461</v>
      </c>
      <c r="I163" s="55">
        <f t="shared" si="5"/>
        <v>2.1924250859925998E-3</v>
      </c>
    </row>
    <row r="164" spans="2:9" x14ac:dyDescent="0.25">
      <c r="B164" s="68">
        <v>45845</v>
      </c>
      <c r="C164" s="50">
        <v>4236.2998046875</v>
      </c>
      <c r="D164" s="55">
        <f t="shared" si="4"/>
        <v>-5.8201620239785035E-3</v>
      </c>
      <c r="G164" s="69">
        <v>45845</v>
      </c>
      <c r="H164" s="50">
        <v>25461.30078125</v>
      </c>
      <c r="I164" s="55">
        <f t="shared" si="5"/>
        <v>1.1813410706551508E-5</v>
      </c>
    </row>
    <row r="165" spans="2:9" x14ac:dyDescent="0.25">
      <c r="B165" s="68">
        <v>45846</v>
      </c>
      <c r="C165" s="50">
        <v>4213</v>
      </c>
      <c r="D165" s="55">
        <f t="shared" si="4"/>
        <v>-5.500036768341654E-3</v>
      </c>
      <c r="G165" s="69">
        <v>45846</v>
      </c>
      <c r="H165" s="50">
        <v>25522.5</v>
      </c>
      <c r="I165" s="55">
        <f t="shared" si="5"/>
        <v>2.4036171315751087E-3</v>
      </c>
    </row>
    <row r="166" spans="2:9" x14ac:dyDescent="0.25">
      <c r="B166" s="68">
        <v>45847</v>
      </c>
      <c r="C166" s="50">
        <v>4190.89990234375</v>
      </c>
      <c r="D166" s="55">
        <f t="shared" si="4"/>
        <v>-5.2456913496914392E-3</v>
      </c>
      <c r="G166" s="69">
        <v>45847</v>
      </c>
      <c r="H166" s="50">
        <v>25476.099609375</v>
      </c>
      <c r="I166" s="55">
        <f t="shared" si="5"/>
        <v>-1.8180190273288099E-3</v>
      </c>
    </row>
    <row r="167" spans="2:9" x14ac:dyDescent="0.25">
      <c r="B167" s="68">
        <v>45848</v>
      </c>
      <c r="C167" s="50">
        <v>4169</v>
      </c>
      <c r="D167" s="55">
        <f t="shared" si="4"/>
        <v>-5.225584684449891E-3</v>
      </c>
      <c r="G167" s="69">
        <v>45848</v>
      </c>
      <c r="H167" s="50">
        <v>25355.25</v>
      </c>
      <c r="I167" s="55">
        <f t="shared" si="5"/>
        <v>-4.7436464461980687E-3</v>
      </c>
    </row>
    <row r="168" spans="2:9" x14ac:dyDescent="0.25">
      <c r="B168" s="68">
        <v>45849</v>
      </c>
      <c r="C168" s="50">
        <v>4064.199951171875</v>
      </c>
      <c r="D168" s="55">
        <f t="shared" si="4"/>
        <v>-2.5137934475443768E-2</v>
      </c>
      <c r="G168" s="69">
        <v>45849</v>
      </c>
      <c r="H168" s="50">
        <v>25149.849609375</v>
      </c>
      <c r="I168" s="55">
        <f t="shared" si="5"/>
        <v>-8.1009018102760066E-3</v>
      </c>
    </row>
    <row r="169" spans="2:9" x14ac:dyDescent="0.25">
      <c r="B169" s="68">
        <v>45852</v>
      </c>
      <c r="C169" s="50">
        <v>4011.300048828125</v>
      </c>
      <c r="D169" s="55">
        <f t="shared" si="4"/>
        <v>-1.3016067855740387E-2</v>
      </c>
      <c r="G169" s="69">
        <v>45852</v>
      </c>
      <c r="H169" s="50">
        <v>25082.30078125</v>
      </c>
      <c r="I169" s="55">
        <f t="shared" si="5"/>
        <v>-2.685854157148504E-3</v>
      </c>
    </row>
    <row r="170" spans="2:9" x14ac:dyDescent="0.25">
      <c r="B170" s="68">
        <v>45853</v>
      </c>
      <c r="C170" s="50">
        <v>4026.699951171875</v>
      </c>
      <c r="D170" s="55">
        <f t="shared" si="4"/>
        <v>3.8391299968321135E-3</v>
      </c>
      <c r="G170" s="69">
        <v>45853</v>
      </c>
      <c r="H170" s="50">
        <v>25195.80078125</v>
      </c>
      <c r="I170" s="55">
        <f t="shared" si="5"/>
        <v>4.5251032187942908E-3</v>
      </c>
    </row>
    <row r="171" spans="2:9" x14ac:dyDescent="0.25">
      <c r="B171" s="68">
        <v>45854</v>
      </c>
      <c r="C171" s="50">
        <v>4086</v>
      </c>
      <c r="D171" s="55">
        <f t="shared" si="4"/>
        <v>1.4726711586957819E-2</v>
      </c>
      <c r="G171" s="69">
        <v>45854</v>
      </c>
      <c r="H171" s="50">
        <v>25212.05078125</v>
      </c>
      <c r="I171" s="55">
        <f t="shared" si="5"/>
        <v>6.4494874130338609E-4</v>
      </c>
    </row>
    <row r="172" spans="2:9" x14ac:dyDescent="0.25">
      <c r="B172" s="68">
        <v>45855</v>
      </c>
      <c r="C172" s="50">
        <v>4055.89990234375</v>
      </c>
      <c r="D172" s="55">
        <f t="shared" si="4"/>
        <v>-7.3666416192486039E-3</v>
      </c>
      <c r="G172" s="69">
        <v>45855</v>
      </c>
      <c r="H172" s="50">
        <v>25111.44921875</v>
      </c>
      <c r="I172" s="55">
        <f t="shared" si="5"/>
        <v>-3.9902173517283313E-3</v>
      </c>
    </row>
    <row r="173" spans="2:9" x14ac:dyDescent="0.25">
      <c r="B173" s="68">
        <v>45856</v>
      </c>
      <c r="C173" s="50">
        <v>4048.60009765625</v>
      </c>
      <c r="D173" s="55">
        <f t="shared" si="4"/>
        <v>-1.7997990244487116E-3</v>
      </c>
      <c r="G173" s="69">
        <v>45856</v>
      </c>
      <c r="H173" s="50">
        <v>24968.400390625</v>
      </c>
      <c r="I173" s="55">
        <f t="shared" si="5"/>
        <v>-5.6965580472427835E-3</v>
      </c>
    </row>
    <row r="174" spans="2:9" x14ac:dyDescent="0.25">
      <c r="B174" s="68">
        <v>45859</v>
      </c>
      <c r="C174" s="50">
        <v>4023.699951171875</v>
      </c>
      <c r="D174" s="55">
        <f t="shared" si="4"/>
        <v>-6.1503102019855316E-3</v>
      </c>
      <c r="G174" s="69">
        <v>45859</v>
      </c>
      <c r="H174" s="50">
        <v>25090.69921875</v>
      </c>
      <c r="I174" s="55">
        <f t="shared" si="5"/>
        <v>4.8981443028652816E-3</v>
      </c>
    </row>
    <row r="175" spans="2:9" x14ac:dyDescent="0.25">
      <c r="B175" s="68">
        <v>45860</v>
      </c>
      <c r="C175" s="50">
        <v>4033.300048828125</v>
      </c>
      <c r="D175" s="55">
        <f t="shared" si="4"/>
        <v>2.3858880564526785E-3</v>
      </c>
      <c r="G175" s="69">
        <v>45860</v>
      </c>
      <c r="H175" s="50">
        <v>25060.900390625</v>
      </c>
      <c r="I175" s="55">
        <f t="shared" si="5"/>
        <v>-1.1876443882732346E-3</v>
      </c>
    </row>
    <row r="176" spans="2:9" x14ac:dyDescent="0.25">
      <c r="B176" s="68">
        <v>45861</v>
      </c>
      <c r="C176" s="50">
        <v>4043.89990234375</v>
      </c>
      <c r="D176" s="55">
        <f t="shared" si="4"/>
        <v>2.6280845430046718E-3</v>
      </c>
      <c r="G176" s="69">
        <v>45861</v>
      </c>
      <c r="H176" s="50">
        <v>25219.900390625</v>
      </c>
      <c r="I176" s="55">
        <f t="shared" si="5"/>
        <v>6.3445445902445829E-3</v>
      </c>
    </row>
    <row r="177" spans="2:9" x14ac:dyDescent="0.25">
      <c r="B177" s="68">
        <v>45862</v>
      </c>
      <c r="C177" s="50">
        <v>4021</v>
      </c>
      <c r="D177" s="55">
        <f t="shared" si="4"/>
        <v>-5.6628262065729906E-3</v>
      </c>
      <c r="G177" s="69">
        <v>45862</v>
      </c>
      <c r="H177" s="50">
        <v>25062.099609375</v>
      </c>
      <c r="I177" s="55">
        <f t="shared" si="5"/>
        <v>-6.2569946274910748E-3</v>
      </c>
    </row>
    <row r="178" spans="2:9" x14ac:dyDescent="0.25">
      <c r="B178" s="68">
        <v>45863</v>
      </c>
      <c r="C178" s="50">
        <v>3997</v>
      </c>
      <c r="D178" s="55">
        <f t="shared" si="4"/>
        <v>-5.9686645113156134E-3</v>
      </c>
      <c r="G178" s="69">
        <v>45863</v>
      </c>
      <c r="H178" s="50">
        <v>24837</v>
      </c>
      <c r="I178" s="55">
        <f t="shared" si="5"/>
        <v>-8.9816740370306514E-3</v>
      </c>
    </row>
    <row r="179" spans="2:9" x14ac:dyDescent="0.25">
      <c r="B179" s="68">
        <v>45866</v>
      </c>
      <c r="C179" s="50">
        <v>3949.89990234375</v>
      </c>
      <c r="D179" s="55">
        <f t="shared" si="4"/>
        <v>-1.1783862310795645E-2</v>
      </c>
      <c r="G179" s="69">
        <v>45866</v>
      </c>
      <c r="H179" s="50">
        <v>24680.900390625</v>
      </c>
      <c r="I179" s="55">
        <f t="shared" si="5"/>
        <v>-6.2849623293875778E-3</v>
      </c>
    </row>
    <row r="180" spans="2:9" x14ac:dyDescent="0.25">
      <c r="B180" s="68">
        <v>45867</v>
      </c>
      <c r="C180" s="50">
        <v>3999</v>
      </c>
      <c r="D180" s="55">
        <f t="shared" si="4"/>
        <v>1.2430719479021635E-2</v>
      </c>
      <c r="G180" s="69">
        <v>45867</v>
      </c>
      <c r="H180" s="50">
        <v>24821.099609375</v>
      </c>
      <c r="I180" s="55">
        <f t="shared" si="5"/>
        <v>5.6804742343701253E-3</v>
      </c>
    </row>
    <row r="181" spans="2:9" x14ac:dyDescent="0.25">
      <c r="B181" s="68">
        <v>45868</v>
      </c>
      <c r="C181" s="50">
        <v>4281.39990234375</v>
      </c>
      <c r="D181" s="55">
        <f t="shared" si="4"/>
        <v>7.0617629993435793E-2</v>
      </c>
      <c r="G181" s="69">
        <v>45868</v>
      </c>
      <c r="H181" s="50">
        <v>24855.05078125</v>
      </c>
      <c r="I181" s="55">
        <f t="shared" si="5"/>
        <v>1.367835124523431E-3</v>
      </c>
    </row>
    <row r="182" spans="2:9" x14ac:dyDescent="0.25">
      <c r="B182" s="68">
        <v>45869</v>
      </c>
      <c r="C182" s="50">
        <v>4267.39990234375</v>
      </c>
      <c r="D182" s="55">
        <f t="shared" si="4"/>
        <v>-3.2699584994001496E-3</v>
      </c>
      <c r="G182" s="69">
        <v>45869</v>
      </c>
      <c r="H182" s="50">
        <v>24768.349609375</v>
      </c>
      <c r="I182" s="55">
        <f t="shared" si="5"/>
        <v>-3.4882717656889994E-3</v>
      </c>
    </row>
    <row r="183" spans="2:9" x14ac:dyDescent="0.25">
      <c r="B183" s="68">
        <v>45870</v>
      </c>
      <c r="C183" s="50">
        <v>4196</v>
      </c>
      <c r="D183" s="55">
        <f t="shared" si="4"/>
        <v>-1.6731476772199327E-2</v>
      </c>
      <c r="G183" s="69">
        <v>45870</v>
      </c>
      <c r="H183" s="50">
        <v>24565.349609375</v>
      </c>
      <c r="I183" s="55">
        <f t="shared" si="5"/>
        <v>-8.1959437427822079E-3</v>
      </c>
    </row>
    <row r="184" spans="2:9" x14ac:dyDescent="0.25">
      <c r="B184" s="68">
        <v>45873</v>
      </c>
      <c r="C184" s="50">
        <v>4197.2001953125</v>
      </c>
      <c r="D184" s="55">
        <f t="shared" si="4"/>
        <v>2.8603320126308063E-4</v>
      </c>
      <c r="G184" s="69">
        <v>45873</v>
      </c>
      <c r="H184" s="50">
        <v>24722.75</v>
      </c>
      <c r="I184" s="55">
        <f t="shared" si="5"/>
        <v>6.4074150430544208E-3</v>
      </c>
    </row>
    <row r="185" spans="2:9" x14ac:dyDescent="0.25">
      <c r="B185" s="68">
        <v>45874</v>
      </c>
      <c r="C185" s="50">
        <v>4257.7998046875</v>
      </c>
      <c r="D185" s="55">
        <f t="shared" si="4"/>
        <v>1.4438103153306514E-2</v>
      </c>
      <c r="G185" s="69">
        <v>45874</v>
      </c>
      <c r="H185" s="50">
        <v>24649.55078125</v>
      </c>
      <c r="I185" s="55">
        <f t="shared" si="5"/>
        <v>-2.9608040671041946E-3</v>
      </c>
    </row>
    <row r="186" spans="2:9" x14ac:dyDescent="0.25">
      <c r="B186" s="68">
        <v>45875</v>
      </c>
      <c r="C186" s="50">
        <v>4242</v>
      </c>
      <c r="D186" s="55">
        <f t="shared" si="4"/>
        <v>-3.7107908807985091E-3</v>
      </c>
      <c r="G186" s="69">
        <v>45875</v>
      </c>
      <c r="H186" s="50">
        <v>24574.19921875</v>
      </c>
      <c r="I186" s="55">
        <f t="shared" si="5"/>
        <v>-3.0569142281212658E-3</v>
      </c>
    </row>
    <row r="187" spans="2:9" x14ac:dyDescent="0.25">
      <c r="B187" s="68">
        <v>45876</v>
      </c>
      <c r="C187" s="50">
        <v>4263.5</v>
      </c>
      <c r="D187" s="55">
        <f t="shared" si="4"/>
        <v>5.0683639792550306E-3</v>
      </c>
      <c r="G187" s="69">
        <v>45876</v>
      </c>
      <c r="H187" s="50">
        <v>24596.150390625</v>
      </c>
      <c r="I187" s="55">
        <f t="shared" si="5"/>
        <v>8.9326092295416437E-4</v>
      </c>
    </row>
    <row r="188" spans="2:9" x14ac:dyDescent="0.25">
      <c r="B188" s="68">
        <v>45877</v>
      </c>
      <c r="C188" s="50">
        <v>4170.10009765625</v>
      </c>
      <c r="D188" s="55">
        <f t="shared" si="4"/>
        <v>-2.1906861110296716E-2</v>
      </c>
      <c r="G188" s="69">
        <v>45877</v>
      </c>
      <c r="H188" s="50">
        <v>24363.30078125</v>
      </c>
      <c r="I188" s="55">
        <f t="shared" si="5"/>
        <v>-9.4669127354072291E-3</v>
      </c>
    </row>
    <row r="189" spans="2:9" x14ac:dyDescent="0.25">
      <c r="B189" s="68">
        <v>45880</v>
      </c>
      <c r="C189" s="50">
        <v>4184.5</v>
      </c>
      <c r="D189" s="55">
        <f t="shared" si="4"/>
        <v>3.4531311015395527E-3</v>
      </c>
      <c r="G189" s="69">
        <v>45880</v>
      </c>
      <c r="H189" s="50">
        <v>24585.05078125</v>
      </c>
      <c r="I189" s="55">
        <f t="shared" si="5"/>
        <v>9.1018044718578217E-3</v>
      </c>
    </row>
    <row r="190" spans="2:9" x14ac:dyDescent="0.25">
      <c r="B190" s="68">
        <v>45881</v>
      </c>
      <c r="C190" s="50">
        <v>4252.5</v>
      </c>
      <c r="D190" s="55">
        <f t="shared" si="4"/>
        <v>1.6250448082208102E-2</v>
      </c>
      <c r="G190" s="69">
        <v>45881</v>
      </c>
      <c r="H190" s="50">
        <v>24487.400390625</v>
      </c>
      <c r="I190" s="55">
        <f t="shared" si="5"/>
        <v>-3.9719417907191357E-3</v>
      </c>
    </row>
    <row r="191" spans="2:9" x14ac:dyDescent="0.25">
      <c r="B191" s="68">
        <v>45882</v>
      </c>
      <c r="C191" s="50">
        <v>4334.60009765625</v>
      </c>
      <c r="D191" s="55">
        <f t="shared" si="4"/>
        <v>1.9306313381834306E-2</v>
      </c>
      <c r="G191" s="69">
        <v>45882</v>
      </c>
      <c r="H191" s="50">
        <v>24619.349609375</v>
      </c>
      <c r="I191" s="55">
        <f t="shared" si="5"/>
        <v>5.3884535167121328E-3</v>
      </c>
    </row>
    <row r="192" spans="2:9" x14ac:dyDescent="0.25">
      <c r="B192" s="68">
        <v>45883</v>
      </c>
      <c r="C192" s="50">
        <v>4358.2001953125</v>
      </c>
      <c r="D192" s="55">
        <f t="shared" si="4"/>
        <v>5.4445847655035795E-3</v>
      </c>
      <c r="G192" s="69">
        <v>45883</v>
      </c>
      <c r="H192" s="50">
        <v>24631.30078125</v>
      </c>
      <c r="I192" s="55">
        <f t="shared" si="5"/>
        <v>4.8543816407109475E-4</v>
      </c>
    </row>
    <row r="193" spans="2:9" x14ac:dyDescent="0.25">
      <c r="B193" s="68">
        <v>45887</v>
      </c>
      <c r="C193" s="50">
        <v>4558</v>
      </c>
      <c r="D193" s="55">
        <f t="shared" si="4"/>
        <v>4.5844567879739895E-2</v>
      </c>
      <c r="G193" s="69">
        <v>45887</v>
      </c>
      <c r="H193" s="50">
        <v>24876.94921875</v>
      </c>
      <c r="I193" s="55">
        <f t="shared" si="5"/>
        <v>9.9730192766349646E-3</v>
      </c>
    </row>
    <row r="194" spans="2:9" x14ac:dyDescent="0.25">
      <c r="B194" s="68">
        <v>45888</v>
      </c>
      <c r="C194" s="50">
        <v>4653.2001953125</v>
      </c>
      <c r="D194" s="55">
        <f t="shared" si="4"/>
        <v>2.0886396514370409E-2</v>
      </c>
      <c r="G194" s="69">
        <v>45888</v>
      </c>
      <c r="H194" s="50">
        <v>24980.650390625</v>
      </c>
      <c r="I194" s="55">
        <f t="shared" si="5"/>
        <v>4.1685646806257637E-3</v>
      </c>
    </row>
    <row r="195" spans="2:9" x14ac:dyDescent="0.25">
      <c r="B195" s="68">
        <v>45889</v>
      </c>
      <c r="C195" s="50">
        <v>4737.89990234375</v>
      </c>
      <c r="D195" s="55">
        <f t="shared" si="4"/>
        <v>1.8202463568314675E-2</v>
      </c>
      <c r="G195" s="69">
        <v>45889</v>
      </c>
      <c r="H195" s="50">
        <v>25050.55078125</v>
      </c>
      <c r="I195" s="55">
        <f t="shared" si="5"/>
        <v>2.7981813736617234E-3</v>
      </c>
    </row>
    <row r="196" spans="2:9" x14ac:dyDescent="0.25">
      <c r="B196" s="68">
        <v>45890</v>
      </c>
      <c r="C196" s="50">
        <v>4691.89990234375</v>
      </c>
      <c r="D196" s="55">
        <f t="shared" si="4"/>
        <v>-9.7089429806748173E-3</v>
      </c>
      <c r="G196" s="69">
        <v>45890</v>
      </c>
      <c r="H196" s="50">
        <v>25083.75</v>
      </c>
      <c r="I196" s="55">
        <f t="shared" si="5"/>
        <v>1.3252889742787488E-3</v>
      </c>
    </row>
    <row r="197" spans="2:9" x14ac:dyDescent="0.25">
      <c r="B197" s="68">
        <v>45891</v>
      </c>
      <c r="C197" s="50">
        <v>4698.7998046875</v>
      </c>
      <c r="D197" s="55">
        <f t="shared" si="4"/>
        <v>1.4705987952350341E-3</v>
      </c>
      <c r="G197" s="69">
        <v>45891</v>
      </c>
      <c r="H197" s="50">
        <v>24870.099609375</v>
      </c>
      <c r="I197" s="55">
        <f t="shared" si="5"/>
        <v>-8.5174820600987244E-3</v>
      </c>
    </row>
    <row r="198" spans="2:9" x14ac:dyDescent="0.25">
      <c r="B198" s="68">
        <v>45894</v>
      </c>
      <c r="C198" s="50">
        <v>4725.2998046875</v>
      </c>
      <c r="D198" s="55">
        <f t="shared" si="4"/>
        <v>5.6397380398209851E-3</v>
      </c>
      <c r="G198" s="69">
        <v>45894</v>
      </c>
      <c r="H198" s="50">
        <v>24967.75</v>
      </c>
      <c r="I198" s="55">
        <f t="shared" si="5"/>
        <v>3.9264173509054867E-3</v>
      </c>
    </row>
    <row r="199" spans="2:9" x14ac:dyDescent="0.25">
      <c r="B199" s="68">
        <v>45895</v>
      </c>
      <c r="C199" s="50">
        <v>4716.39990234375</v>
      </c>
      <c r="D199" s="55">
        <f t="shared" si="4"/>
        <v>-1.8834577088465698E-3</v>
      </c>
      <c r="G199" s="69">
        <v>45895</v>
      </c>
      <c r="H199" s="50">
        <v>24712.05078125</v>
      </c>
      <c r="I199" s="55">
        <f t="shared" si="5"/>
        <v>-1.0241179872034878E-2</v>
      </c>
    </row>
    <row r="200" spans="2:9" x14ac:dyDescent="0.25">
      <c r="B200" s="68">
        <v>45897</v>
      </c>
      <c r="C200" s="50">
        <v>4699.89990234375</v>
      </c>
      <c r="D200" s="55">
        <f t="shared" si="4"/>
        <v>-3.4984310791373874E-3</v>
      </c>
      <c r="G200" s="69">
        <v>45897</v>
      </c>
      <c r="H200" s="50">
        <v>24500.900390625</v>
      </c>
      <c r="I200" s="55">
        <f t="shared" si="5"/>
        <v>-8.5444301039235837E-3</v>
      </c>
    </row>
    <row r="201" spans="2:9" x14ac:dyDescent="0.25">
      <c r="B201" s="68">
        <v>45898</v>
      </c>
      <c r="C201" s="50">
        <v>4755.60009765625</v>
      </c>
      <c r="D201" s="55">
        <f t="shared" ref="D201:D253" si="6">C201/C200-1</f>
        <v>1.1851357788433603E-2</v>
      </c>
      <c r="G201" s="69">
        <v>45898</v>
      </c>
      <c r="H201" s="50">
        <v>24426.849609375</v>
      </c>
      <c r="I201" s="55">
        <f t="shared" ref="I201:I253" si="7">H201/H200-1</f>
        <v>-3.0223697933294824E-3</v>
      </c>
    </row>
    <row r="202" spans="2:9" x14ac:dyDescent="0.25">
      <c r="B202" s="68">
        <v>45901</v>
      </c>
      <c r="C202" s="50">
        <v>4734.89990234375</v>
      </c>
      <c r="D202" s="55">
        <f t="shared" si="6"/>
        <v>-4.352804038906033E-3</v>
      </c>
      <c r="G202" s="69">
        <v>45901</v>
      </c>
      <c r="H202" s="50">
        <v>24625.05078125</v>
      </c>
      <c r="I202" s="55">
        <f t="shared" si="7"/>
        <v>8.1140701746054145E-3</v>
      </c>
    </row>
    <row r="203" spans="2:9" x14ac:dyDescent="0.25">
      <c r="B203" s="68">
        <v>45902</v>
      </c>
      <c r="C203" s="50">
        <v>4680</v>
      </c>
      <c r="D203" s="55">
        <f t="shared" si="6"/>
        <v>-1.1594733463441309E-2</v>
      </c>
      <c r="G203" s="69">
        <v>45902</v>
      </c>
      <c r="H203" s="50">
        <v>24579.599609375</v>
      </c>
      <c r="I203" s="55">
        <f t="shared" si="7"/>
        <v>-1.8457290617897026E-3</v>
      </c>
    </row>
    <row r="204" spans="2:9" x14ac:dyDescent="0.25">
      <c r="B204" s="68">
        <v>45903</v>
      </c>
      <c r="C204" s="50">
        <v>4758.5</v>
      </c>
      <c r="D204" s="55">
        <f t="shared" si="6"/>
        <v>1.6773504273504214E-2</v>
      </c>
      <c r="G204" s="69">
        <v>45903</v>
      </c>
      <c r="H204" s="50">
        <v>24715.05078125</v>
      </c>
      <c r="I204" s="55">
        <f t="shared" si="7"/>
        <v>5.5107151470170646E-3</v>
      </c>
    </row>
    <row r="205" spans="2:9" x14ac:dyDescent="0.25">
      <c r="B205" s="68">
        <v>45904</v>
      </c>
      <c r="C205" s="50">
        <v>4829.2998046875</v>
      </c>
      <c r="D205" s="55">
        <f t="shared" si="6"/>
        <v>1.4878597181359643E-2</v>
      </c>
      <c r="G205" s="69">
        <v>45904</v>
      </c>
      <c r="H205" s="50">
        <v>24734.30078125</v>
      </c>
      <c r="I205" s="55">
        <f t="shared" si="7"/>
        <v>7.7887762280481887E-4</v>
      </c>
    </row>
    <row r="206" spans="2:9" x14ac:dyDescent="0.25">
      <c r="B206" s="68">
        <v>45905</v>
      </c>
      <c r="C206" s="50">
        <v>4793.2998046875</v>
      </c>
      <c r="D206" s="55">
        <f t="shared" si="6"/>
        <v>-7.4544968123654298E-3</v>
      </c>
      <c r="G206" s="69">
        <v>45905</v>
      </c>
      <c r="H206" s="50">
        <v>24741</v>
      </c>
      <c r="I206" s="55">
        <f t="shared" si="7"/>
        <v>2.7084730671167456E-4</v>
      </c>
    </row>
    <row r="207" spans="2:9" x14ac:dyDescent="0.25">
      <c r="B207" s="68">
        <v>45908</v>
      </c>
      <c r="C207" s="50">
        <v>4714.2001953125</v>
      </c>
      <c r="D207" s="55">
        <f t="shared" si="6"/>
        <v>-1.6502120167331547E-2</v>
      </c>
      <c r="G207" s="69">
        <v>45908</v>
      </c>
      <c r="H207" s="50">
        <v>24773.150390625</v>
      </c>
      <c r="I207" s="55">
        <f t="shared" si="7"/>
        <v>1.2994782193525012E-3</v>
      </c>
    </row>
    <row r="208" spans="2:9" x14ac:dyDescent="0.25">
      <c r="B208" s="68">
        <v>45909</v>
      </c>
      <c r="C208" s="50">
        <v>4759.7998046875</v>
      </c>
      <c r="D208" s="55">
        <f t="shared" si="6"/>
        <v>9.6728198815869693E-3</v>
      </c>
      <c r="G208" s="69">
        <v>45909</v>
      </c>
      <c r="H208" s="50">
        <v>24868.599609375</v>
      </c>
      <c r="I208" s="55">
        <f t="shared" si="7"/>
        <v>3.852930178235292E-3</v>
      </c>
    </row>
    <row r="209" spans="2:9" x14ac:dyDescent="0.25">
      <c r="B209" s="68">
        <v>45910</v>
      </c>
      <c r="C209" s="50">
        <v>4631.2998046875</v>
      </c>
      <c r="D209" s="55">
        <f t="shared" si="6"/>
        <v>-2.6996933752014507E-2</v>
      </c>
      <c r="G209" s="69">
        <v>45910</v>
      </c>
      <c r="H209" s="50">
        <v>24973.099609375</v>
      </c>
      <c r="I209" s="55">
        <f t="shared" si="7"/>
        <v>4.2020862308871365E-3</v>
      </c>
    </row>
    <row r="210" spans="2:9" x14ac:dyDescent="0.25">
      <c r="B210" s="68">
        <v>45911</v>
      </c>
      <c r="C210" s="50">
        <v>4589.7001953125</v>
      </c>
      <c r="D210" s="55">
        <f t="shared" si="6"/>
        <v>-8.9822751990479288E-3</v>
      </c>
      <c r="G210" s="69">
        <v>45911</v>
      </c>
      <c r="H210" s="50">
        <v>25005.5</v>
      </c>
      <c r="I210" s="55">
        <f t="shared" si="7"/>
        <v>1.2974116602184615E-3</v>
      </c>
    </row>
    <row r="211" spans="2:9" x14ac:dyDescent="0.25">
      <c r="B211" s="68">
        <v>45912</v>
      </c>
      <c r="C211" s="50">
        <v>4616.60009765625</v>
      </c>
      <c r="D211" s="55">
        <f t="shared" si="6"/>
        <v>5.8609279907264611E-3</v>
      </c>
      <c r="G211" s="69">
        <v>45912</v>
      </c>
      <c r="H211" s="50">
        <v>25114</v>
      </c>
      <c r="I211" s="55">
        <f t="shared" si="7"/>
        <v>4.3390454100098452E-3</v>
      </c>
    </row>
    <row r="212" spans="2:9" x14ac:dyDescent="0.25">
      <c r="B212" s="68">
        <v>45915</v>
      </c>
      <c r="C212" s="50">
        <v>4651</v>
      </c>
      <c r="D212" s="55">
        <f t="shared" si="6"/>
        <v>7.4513498280290857E-3</v>
      </c>
      <c r="G212" s="69">
        <v>45915</v>
      </c>
      <c r="H212" s="50">
        <v>25069.19921875</v>
      </c>
      <c r="I212" s="55">
        <f t="shared" si="7"/>
        <v>-1.7838966811339896E-3</v>
      </c>
    </row>
    <row r="213" spans="2:9" x14ac:dyDescent="0.25">
      <c r="B213" s="68">
        <v>45916</v>
      </c>
      <c r="C213" s="50">
        <v>4696.2001953125</v>
      </c>
      <c r="D213" s="55">
        <f t="shared" si="6"/>
        <v>9.718382135562198E-3</v>
      </c>
      <c r="G213" s="69">
        <v>45916</v>
      </c>
      <c r="H213" s="50">
        <v>25239.099609375</v>
      </c>
      <c r="I213" s="55">
        <f t="shared" si="7"/>
        <v>6.7772563910986072E-3</v>
      </c>
    </row>
    <row r="214" spans="2:9" x14ac:dyDescent="0.25">
      <c r="B214" s="68">
        <v>45917</v>
      </c>
      <c r="C214" s="50">
        <v>4717.2998046875</v>
      </c>
      <c r="D214" s="55">
        <f t="shared" si="6"/>
        <v>4.4929109700349024E-3</v>
      </c>
      <c r="G214" s="69">
        <v>45917</v>
      </c>
      <c r="H214" s="50">
        <v>25330.25</v>
      </c>
      <c r="I214" s="55">
        <f t="shared" si="7"/>
        <v>3.6114755294653911E-3</v>
      </c>
    </row>
    <row r="215" spans="2:9" x14ac:dyDescent="0.25">
      <c r="B215" s="68">
        <v>45918</v>
      </c>
      <c r="C215" s="50">
        <v>4760.2998046875</v>
      </c>
      <c r="D215" s="55">
        <f t="shared" si="6"/>
        <v>9.1153841774633815E-3</v>
      </c>
      <c r="G215" s="69">
        <v>45918</v>
      </c>
      <c r="H215" s="50">
        <v>25423.599609375</v>
      </c>
      <c r="I215" s="55">
        <f t="shared" si="7"/>
        <v>3.6853015416349333E-3</v>
      </c>
    </row>
    <row r="216" spans="2:9" x14ac:dyDescent="0.25">
      <c r="B216" s="68">
        <v>45919</v>
      </c>
      <c r="C216" s="50">
        <v>4775.2998046875</v>
      </c>
      <c r="D216" s="55">
        <f t="shared" si="6"/>
        <v>3.1510620371493214E-3</v>
      </c>
      <c r="G216" s="69">
        <v>45919</v>
      </c>
      <c r="H216" s="50">
        <v>25327.05078125</v>
      </c>
      <c r="I216" s="55">
        <f t="shared" si="7"/>
        <v>-3.7976065391384095E-3</v>
      </c>
    </row>
    <row r="217" spans="2:9" x14ac:dyDescent="0.25">
      <c r="B217" s="68">
        <v>45922</v>
      </c>
      <c r="C217" s="50">
        <v>4671.2001953125</v>
      </c>
      <c r="D217" s="55">
        <f t="shared" si="6"/>
        <v>-2.1799596597644855E-2</v>
      </c>
      <c r="G217" s="69">
        <v>45922</v>
      </c>
      <c r="H217" s="50">
        <v>25202.349609375</v>
      </c>
      <c r="I217" s="55">
        <f t="shared" si="7"/>
        <v>-4.9236357186648316E-3</v>
      </c>
    </row>
    <row r="218" spans="2:9" x14ac:dyDescent="0.25">
      <c r="B218" s="68">
        <v>45923</v>
      </c>
      <c r="C218" s="50">
        <v>4633.89990234375</v>
      </c>
      <c r="D218" s="55">
        <f t="shared" si="6"/>
        <v>-7.9851625726040654E-3</v>
      </c>
      <c r="G218" s="69">
        <v>45923</v>
      </c>
      <c r="H218" s="50">
        <v>25169.5</v>
      </c>
      <c r="I218" s="55">
        <f t="shared" si="7"/>
        <v>-1.3034343973540308E-3</v>
      </c>
    </row>
    <row r="219" spans="2:9" x14ac:dyDescent="0.25">
      <c r="B219" s="68">
        <v>45924</v>
      </c>
      <c r="C219" s="50">
        <v>4645.7998046875</v>
      </c>
      <c r="D219" s="55">
        <f t="shared" si="6"/>
        <v>2.568010227784967E-3</v>
      </c>
      <c r="G219" s="69">
        <v>45924</v>
      </c>
      <c r="H219" s="50">
        <v>25056.900390625</v>
      </c>
      <c r="I219" s="55">
        <f t="shared" si="7"/>
        <v>-4.4736530076083802E-3</v>
      </c>
    </row>
    <row r="220" spans="2:9" x14ac:dyDescent="0.25">
      <c r="B220" s="68">
        <v>45925</v>
      </c>
      <c r="C220" s="50">
        <v>4576.2001953125</v>
      </c>
      <c r="D220" s="55">
        <f t="shared" si="6"/>
        <v>-1.4981189956738028E-2</v>
      </c>
      <c r="G220" s="69">
        <v>45925</v>
      </c>
      <c r="H220" s="50">
        <v>24890.849609375</v>
      </c>
      <c r="I220" s="55">
        <f t="shared" si="7"/>
        <v>-6.6269482123226808E-3</v>
      </c>
    </row>
    <row r="221" spans="2:9" x14ac:dyDescent="0.25">
      <c r="B221" s="68">
        <v>45926</v>
      </c>
      <c r="C221" s="50">
        <v>4517.7998046875</v>
      </c>
      <c r="D221" s="55">
        <f t="shared" si="6"/>
        <v>-1.2761764811954901E-2</v>
      </c>
      <c r="G221" s="69">
        <v>45926</v>
      </c>
      <c r="H221" s="50">
        <v>24654.69921875</v>
      </c>
      <c r="I221" s="55">
        <f t="shared" si="7"/>
        <v>-9.4874379272315013E-3</v>
      </c>
    </row>
    <row r="222" spans="2:9" x14ac:dyDescent="0.25">
      <c r="B222" s="68">
        <v>45929</v>
      </c>
      <c r="C222" s="50">
        <v>4529.89990234375</v>
      </c>
      <c r="D222" s="55">
        <f t="shared" si="6"/>
        <v>2.6783164769044188E-3</v>
      </c>
      <c r="G222" s="69">
        <v>45929</v>
      </c>
      <c r="H222" s="50">
        <v>24634.900390625</v>
      </c>
      <c r="I222" s="55">
        <f t="shared" si="7"/>
        <v>-8.0304480494097774E-4</v>
      </c>
    </row>
    <row r="223" spans="2:9" x14ac:dyDescent="0.25">
      <c r="B223" s="68">
        <v>45930</v>
      </c>
      <c r="C223" s="50">
        <v>4475.39990234375</v>
      </c>
      <c r="D223" s="55">
        <f t="shared" si="6"/>
        <v>-1.2031170925388857E-2</v>
      </c>
      <c r="G223" s="69">
        <v>45930</v>
      </c>
      <c r="H223" s="50">
        <v>24611.099609375</v>
      </c>
      <c r="I223" s="55">
        <f t="shared" si="7"/>
        <v>-9.6614075448253622E-4</v>
      </c>
    </row>
    <row r="224" spans="2:9" x14ac:dyDescent="0.25">
      <c r="B224" s="68">
        <v>45931</v>
      </c>
      <c r="C224" s="50">
        <v>4449.89990234375</v>
      </c>
      <c r="D224" s="55">
        <f t="shared" si="6"/>
        <v>-5.6978148448020294E-3</v>
      </c>
      <c r="G224" s="69">
        <v>45931</v>
      </c>
      <c r="H224" s="50">
        <v>24836.30078125</v>
      </c>
      <c r="I224" s="55">
        <f t="shared" si="7"/>
        <v>9.1503904924759016E-3</v>
      </c>
    </row>
    <row r="225" spans="2:9" x14ac:dyDescent="0.25">
      <c r="B225" s="68">
        <v>45933</v>
      </c>
      <c r="C225" s="50">
        <v>4418.39990234375</v>
      </c>
      <c r="D225" s="55">
        <f t="shared" si="6"/>
        <v>-7.0788109151419532E-3</v>
      </c>
      <c r="G225" s="69">
        <v>45933</v>
      </c>
      <c r="H225" s="50">
        <v>24894.25</v>
      </c>
      <c r="I225" s="55">
        <f t="shared" si="7"/>
        <v>2.3332467769816567E-3</v>
      </c>
    </row>
    <row r="226" spans="2:9" x14ac:dyDescent="0.25">
      <c r="B226" s="68">
        <v>45936</v>
      </c>
      <c r="C226" s="50">
        <v>4301.60009765625</v>
      </c>
      <c r="D226" s="55">
        <f t="shared" si="6"/>
        <v>-2.6434864944104186E-2</v>
      </c>
      <c r="G226" s="69">
        <v>45936</v>
      </c>
      <c r="H226" s="50">
        <v>25077.650390625</v>
      </c>
      <c r="I226" s="55">
        <f t="shared" si="7"/>
        <v>7.3671787912872322E-3</v>
      </c>
    </row>
    <row r="227" spans="2:9" x14ac:dyDescent="0.25">
      <c r="B227" s="68">
        <v>45937</v>
      </c>
      <c r="C227" s="50">
        <v>4303</v>
      </c>
      <c r="D227" s="55">
        <f t="shared" si="6"/>
        <v>3.2543758414749213E-4</v>
      </c>
      <c r="G227" s="69">
        <v>45937</v>
      </c>
      <c r="H227" s="50">
        <v>25108.30078125</v>
      </c>
      <c r="I227" s="55">
        <f t="shared" si="7"/>
        <v>1.2222193924698033E-3</v>
      </c>
    </row>
    <row r="228" spans="2:9" x14ac:dyDescent="0.25">
      <c r="B228" s="68">
        <v>45938</v>
      </c>
      <c r="C228" s="50">
        <v>4294.39990234375</v>
      </c>
      <c r="D228" s="55">
        <f t="shared" si="6"/>
        <v>-1.9986283189054044E-3</v>
      </c>
      <c r="G228" s="69">
        <v>45938</v>
      </c>
      <c r="H228" s="50">
        <v>25046.150390625</v>
      </c>
      <c r="I228" s="55">
        <f t="shared" si="7"/>
        <v>-2.4752925801897474E-3</v>
      </c>
    </row>
    <row r="229" spans="2:9" x14ac:dyDescent="0.25">
      <c r="B229" s="68">
        <v>45939</v>
      </c>
      <c r="C229" s="50">
        <v>4305.10009765625</v>
      </c>
      <c r="D229" s="55">
        <f t="shared" si="6"/>
        <v>2.4916625269715276E-3</v>
      </c>
      <c r="G229" s="69">
        <v>45939</v>
      </c>
      <c r="H229" s="50">
        <v>25181.80078125</v>
      </c>
      <c r="I229" s="55">
        <f t="shared" si="7"/>
        <v>5.4160175719368819E-3</v>
      </c>
    </row>
    <row r="230" spans="2:9" x14ac:dyDescent="0.25">
      <c r="B230" s="68">
        <v>45940</v>
      </c>
      <c r="C230" s="50">
        <v>4320.39990234375</v>
      </c>
      <c r="D230" s="55">
        <f t="shared" si="6"/>
        <v>3.5538789669093962E-3</v>
      </c>
      <c r="G230" s="69">
        <v>45940</v>
      </c>
      <c r="H230" s="50">
        <v>25285.349609375</v>
      </c>
      <c r="I230" s="55">
        <f t="shared" si="7"/>
        <v>4.1120501676790155E-3</v>
      </c>
    </row>
    <row r="231" spans="2:9" x14ac:dyDescent="0.25">
      <c r="B231" s="68">
        <v>45943</v>
      </c>
      <c r="C231" s="50">
        <v>4202.60009765625</v>
      </c>
      <c r="D231" s="55">
        <f t="shared" si="6"/>
        <v>-2.726594929872006E-2</v>
      </c>
      <c r="G231" s="69">
        <v>45943</v>
      </c>
      <c r="H231" s="50">
        <v>25227.349609375</v>
      </c>
      <c r="I231" s="55">
        <f t="shared" si="7"/>
        <v>-2.2938183927065925E-3</v>
      </c>
    </row>
    <row r="232" spans="2:9" x14ac:dyDescent="0.25">
      <c r="B232" s="68">
        <v>45944</v>
      </c>
      <c r="C232" s="50">
        <v>4205.2001953125</v>
      </c>
      <c r="D232" s="55">
        <f t="shared" si="6"/>
        <v>6.1868785890428768E-4</v>
      </c>
      <c r="G232" s="69">
        <v>45944</v>
      </c>
      <c r="H232" s="50">
        <v>25145.5</v>
      </c>
      <c r="I232" s="55">
        <f t="shared" si="7"/>
        <v>-3.2444791324643951E-3</v>
      </c>
    </row>
    <row r="233" spans="2:9" x14ac:dyDescent="0.25">
      <c r="B233" s="68">
        <v>45945</v>
      </c>
      <c r="C233" s="50">
        <v>4259.60009765625</v>
      </c>
      <c r="D233" s="55">
        <f t="shared" si="6"/>
        <v>1.2936340677523361E-2</v>
      </c>
      <c r="G233" s="69">
        <v>45945</v>
      </c>
      <c r="H233" s="50">
        <v>25323.55078125</v>
      </c>
      <c r="I233" s="55">
        <f t="shared" si="7"/>
        <v>7.0808208725219313E-3</v>
      </c>
    </row>
    <row r="234" spans="2:9" x14ac:dyDescent="0.25">
      <c r="B234" s="68">
        <v>45946</v>
      </c>
      <c r="C234" s="50">
        <v>4316.10009765625</v>
      </c>
      <c r="D234" s="55">
        <f t="shared" si="6"/>
        <v>1.3264155954707535E-2</v>
      </c>
      <c r="G234" s="69">
        <v>45946</v>
      </c>
      <c r="H234" s="50">
        <v>25585.30078125</v>
      </c>
      <c r="I234" s="55">
        <f t="shared" si="7"/>
        <v>1.0336228211479837E-2</v>
      </c>
    </row>
    <row r="235" spans="2:9" x14ac:dyDescent="0.25">
      <c r="B235" s="68">
        <v>45947</v>
      </c>
      <c r="C235" s="50">
        <v>4302.5</v>
      </c>
      <c r="D235" s="55">
        <f t="shared" si="6"/>
        <v>-3.1510153491656201E-3</v>
      </c>
      <c r="G235" s="69">
        <v>45947</v>
      </c>
      <c r="H235" s="50">
        <v>25709.849609375</v>
      </c>
      <c r="I235" s="55">
        <f t="shared" si="7"/>
        <v>4.8679837376106594E-3</v>
      </c>
    </row>
    <row r="236" spans="2:9" x14ac:dyDescent="0.25">
      <c r="B236" s="68">
        <v>45950</v>
      </c>
      <c r="C236" s="50">
        <v>4275.2998046875</v>
      </c>
      <c r="D236" s="55">
        <f t="shared" si="6"/>
        <v>-6.3219512638000852E-3</v>
      </c>
      <c r="G236" s="69">
        <v>45950</v>
      </c>
      <c r="H236" s="50">
        <v>25843.150390625</v>
      </c>
      <c r="I236" s="55">
        <f t="shared" si="7"/>
        <v>5.184813729964155E-3</v>
      </c>
    </row>
    <row r="237" spans="2:9" x14ac:dyDescent="0.25">
      <c r="B237" s="68">
        <v>45951</v>
      </c>
      <c r="C237" s="50">
        <v>4274.5</v>
      </c>
      <c r="D237" s="55">
        <f t="shared" si="6"/>
        <v>-1.8707569621734255E-4</v>
      </c>
      <c r="G237" s="69">
        <v>45951</v>
      </c>
      <c r="H237" s="50">
        <v>25868.599609375</v>
      </c>
      <c r="I237" s="55">
        <f t="shared" si="7"/>
        <v>9.8475682590271063E-4</v>
      </c>
    </row>
    <row r="238" spans="2:9" x14ac:dyDescent="0.25">
      <c r="B238" s="68">
        <v>45953</v>
      </c>
      <c r="C238" s="50">
        <v>4268</v>
      </c>
      <c r="D238" s="55">
        <f t="shared" si="6"/>
        <v>-1.5206456895543452E-3</v>
      </c>
      <c r="G238" s="69">
        <v>45953</v>
      </c>
      <c r="H238" s="50">
        <v>25891.400390625</v>
      </c>
      <c r="I238" s="55">
        <f t="shared" si="7"/>
        <v>8.8140763683774992E-4</v>
      </c>
    </row>
    <row r="239" spans="2:9" x14ac:dyDescent="0.25">
      <c r="B239" s="68">
        <v>45954</v>
      </c>
      <c r="C239" s="50">
        <v>4213.89990234375</v>
      </c>
      <c r="D239" s="55">
        <f t="shared" si="6"/>
        <v>-1.2675749216553456E-2</v>
      </c>
      <c r="G239" s="69">
        <v>45954</v>
      </c>
      <c r="H239" s="50">
        <v>25795.150390625</v>
      </c>
      <c r="I239" s="55">
        <f t="shared" si="7"/>
        <v>-3.7174505259611745E-3</v>
      </c>
    </row>
    <row r="240" spans="2:9" x14ac:dyDescent="0.25">
      <c r="B240" s="68">
        <v>45957</v>
      </c>
      <c r="C240" s="50">
        <v>4257.89990234375</v>
      </c>
      <c r="D240" s="55">
        <f t="shared" si="6"/>
        <v>1.0441633883027768E-2</v>
      </c>
      <c r="G240" s="69">
        <v>45957</v>
      </c>
      <c r="H240" s="50">
        <v>25966.05078125</v>
      </c>
      <c r="I240" s="55">
        <f t="shared" si="7"/>
        <v>6.625291500029773E-3</v>
      </c>
    </row>
    <row r="241" spans="2:9" x14ac:dyDescent="0.25">
      <c r="B241" s="68">
        <v>45958</v>
      </c>
      <c r="C241" s="50">
        <v>4220.89990234375</v>
      </c>
      <c r="D241" s="55">
        <f t="shared" si="6"/>
        <v>-8.6897298782513399E-3</v>
      </c>
      <c r="G241" s="69">
        <v>45958</v>
      </c>
      <c r="H241" s="50">
        <v>25936.19921875</v>
      </c>
      <c r="I241" s="55">
        <f t="shared" si="7"/>
        <v>-1.149638146805021E-3</v>
      </c>
    </row>
    <row r="242" spans="2:9" x14ac:dyDescent="0.25">
      <c r="B242" s="68">
        <v>45959</v>
      </c>
      <c r="C242" s="50">
        <v>4229.39990234375</v>
      </c>
      <c r="D242" s="55">
        <f t="shared" si="6"/>
        <v>2.0137885751045914E-3</v>
      </c>
      <c r="G242" s="69">
        <v>45959</v>
      </c>
      <c r="H242" s="50">
        <v>26053.900390625</v>
      </c>
      <c r="I242" s="55">
        <f t="shared" si="7"/>
        <v>4.5381040946781415E-3</v>
      </c>
    </row>
    <row r="243" spans="2:9" x14ac:dyDescent="0.25">
      <c r="B243" s="68">
        <v>45960</v>
      </c>
      <c r="C243" s="50">
        <v>4161.10009765625</v>
      </c>
      <c r="D243" s="55">
        <f t="shared" si="6"/>
        <v>-1.6148816916000563E-2</v>
      </c>
      <c r="G243" s="69">
        <v>45960</v>
      </c>
      <c r="H243" s="50">
        <v>25877.849609375</v>
      </c>
      <c r="I243" s="55">
        <f t="shared" si="7"/>
        <v>-6.7571756478100875E-3</v>
      </c>
    </row>
    <row r="244" spans="2:9" x14ac:dyDescent="0.25">
      <c r="B244" s="68">
        <v>45961</v>
      </c>
      <c r="C244" s="50">
        <v>4153.5</v>
      </c>
      <c r="D244" s="55">
        <f t="shared" si="6"/>
        <v>-1.8264635499950499E-3</v>
      </c>
      <c r="G244" s="69">
        <v>45961</v>
      </c>
      <c r="H244" s="50">
        <v>25722.099609375</v>
      </c>
      <c r="I244" s="55">
        <f t="shared" si="7"/>
        <v>-6.0186608373972161E-3</v>
      </c>
    </row>
    <row r="245" spans="2:9" x14ac:dyDescent="0.25">
      <c r="B245" s="68">
        <v>45964</v>
      </c>
      <c r="C245" s="50">
        <v>4156</v>
      </c>
      <c r="D245" s="55">
        <f t="shared" si="6"/>
        <v>6.0190201035270618E-4</v>
      </c>
      <c r="G245" s="69">
        <v>45964</v>
      </c>
      <c r="H245" s="50">
        <v>25763.349609375</v>
      </c>
      <c r="I245" s="55">
        <f t="shared" si="7"/>
        <v>1.6036793506921665E-3</v>
      </c>
    </row>
    <row r="246" spans="2:9" x14ac:dyDescent="0.25">
      <c r="B246" s="68">
        <v>45965</v>
      </c>
      <c r="C246" s="50">
        <v>4182.39990234375</v>
      </c>
      <c r="D246" s="55">
        <f t="shared" si="6"/>
        <v>6.3522382925289556E-3</v>
      </c>
      <c r="G246" s="69">
        <v>45965</v>
      </c>
      <c r="H246" s="50">
        <v>25597.650390625</v>
      </c>
      <c r="I246" s="55">
        <f t="shared" si="7"/>
        <v>-6.431586779760301E-3</v>
      </c>
    </row>
    <row r="247" spans="2:9" x14ac:dyDescent="0.25">
      <c r="B247" s="68">
        <v>45966</v>
      </c>
      <c r="C247" s="50">
        <v>4182.39990234375</v>
      </c>
      <c r="D247" s="55">
        <f t="shared" si="6"/>
        <v>0</v>
      </c>
      <c r="G247" s="69">
        <v>45967</v>
      </c>
      <c r="H247" s="50">
        <v>25509.69921875</v>
      </c>
      <c r="I247" s="55">
        <f t="shared" si="7"/>
        <v>-3.4359080045569534E-3</v>
      </c>
    </row>
    <row r="248" spans="2:9" x14ac:dyDescent="0.25">
      <c r="B248" s="68">
        <v>45967</v>
      </c>
      <c r="C248" s="50">
        <v>4082.199951171875</v>
      </c>
      <c r="D248" s="55">
        <f t="shared" si="6"/>
        <v>-2.3957525227495502E-2</v>
      </c>
      <c r="G248" s="69">
        <v>45968</v>
      </c>
      <c r="H248" s="50">
        <v>25492.30078125</v>
      </c>
      <c r="I248" s="55">
        <f t="shared" si="7"/>
        <v>-6.8203224784446626E-4</v>
      </c>
    </row>
    <row r="249" spans="2:9" x14ac:dyDescent="0.25">
      <c r="B249" s="68">
        <v>45968</v>
      </c>
      <c r="C249" s="50">
        <v>4011</v>
      </c>
      <c r="D249" s="55">
        <f t="shared" si="6"/>
        <v>-1.7441563868383136E-2</v>
      </c>
      <c r="G249" s="69">
        <v>45971</v>
      </c>
      <c r="H249" s="50">
        <v>25574.349609375</v>
      </c>
      <c r="I249" s="55">
        <f t="shared" si="7"/>
        <v>3.2185728871263475E-3</v>
      </c>
    </row>
    <row r="250" spans="2:9" x14ac:dyDescent="0.25">
      <c r="B250" s="68">
        <v>45971</v>
      </c>
      <c r="C250" s="50">
        <v>4019</v>
      </c>
      <c r="D250" s="55">
        <f t="shared" si="6"/>
        <v>1.9945150835203318E-3</v>
      </c>
      <c r="G250" s="69">
        <v>45972</v>
      </c>
      <c r="H250" s="50">
        <v>25694.94921875</v>
      </c>
      <c r="I250" s="55">
        <f t="shared" si="7"/>
        <v>4.7156471705849246E-3</v>
      </c>
    </row>
    <row r="251" spans="2:9" x14ac:dyDescent="0.25">
      <c r="B251" s="68">
        <v>45972</v>
      </c>
      <c r="C251" s="50">
        <v>4072.199951171875</v>
      </c>
      <c r="D251" s="55">
        <f t="shared" si="6"/>
        <v>1.3237111513280775E-2</v>
      </c>
      <c r="G251" s="69">
        <v>45973</v>
      </c>
      <c r="H251" s="50">
        <v>25875.80078125</v>
      </c>
      <c r="I251" s="55">
        <f t="shared" si="7"/>
        <v>7.0384090258497345E-3</v>
      </c>
    </row>
    <row r="252" spans="2:9" x14ac:dyDescent="0.25">
      <c r="B252" s="68">
        <v>45973</v>
      </c>
      <c r="C252" s="50">
        <v>4058</v>
      </c>
      <c r="D252" s="55">
        <f t="shared" si="6"/>
        <v>-3.4870466436179859E-3</v>
      </c>
      <c r="G252" s="69">
        <v>45974</v>
      </c>
      <c r="H252" s="50">
        <v>25879.150390625</v>
      </c>
      <c r="I252" s="55">
        <f t="shared" si="7"/>
        <v>1.2944949620363744E-4</v>
      </c>
    </row>
    <row r="253" spans="2:9" x14ac:dyDescent="0.25">
      <c r="B253" s="68">
        <v>45974</v>
      </c>
      <c r="C253" s="50">
        <v>4062.5</v>
      </c>
      <c r="D253" s="55">
        <f t="shared" si="6"/>
        <v>1.1089206505667804E-3</v>
      </c>
      <c r="G253" s="69">
        <v>45975</v>
      </c>
      <c r="H253" s="50">
        <v>25910.05078125</v>
      </c>
      <c r="I253" s="55">
        <f t="shared" si="7"/>
        <v>1.194026471448284E-3</v>
      </c>
    </row>
    <row r="254" spans="2:9" x14ac:dyDescent="0.25">
      <c r="B254" s="52"/>
      <c r="C254" s="50"/>
      <c r="D254" s="55"/>
    </row>
  </sheetData>
  <mergeCells count="3">
    <mergeCell ref="B2:E2"/>
    <mergeCell ref="G4:J4"/>
    <mergeCell ref="L4:M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3773"/>
  <sheetViews>
    <sheetView showGridLines="0" workbookViewId="0">
      <pane ySplit="4" topLeftCell="A5" activePane="bottomLeft" state="frozen"/>
      <selection pane="bottomLeft" activeCell="L15" sqref="L15"/>
    </sheetView>
  </sheetViews>
  <sheetFormatPr defaultRowHeight="15" x14ac:dyDescent="0.25"/>
  <cols>
    <col min="1" max="1" width="1.85546875" customWidth="1"/>
    <col min="2" max="2" width="12.28515625" customWidth="1"/>
    <col min="3" max="3" width="12.42578125" customWidth="1"/>
    <col min="4" max="4" width="13" customWidth="1"/>
    <col min="7" max="7" width="10.42578125" bestFit="1" customWidth="1"/>
    <col min="8" max="8" width="12.28515625" bestFit="1" customWidth="1"/>
    <col min="9" max="9" width="9" customWidth="1"/>
    <col min="12" max="12" width="18.85546875" customWidth="1"/>
  </cols>
  <sheetData>
    <row r="2" spans="2:25" x14ac:dyDescent="0.25">
      <c r="B2" s="96" t="s">
        <v>54</v>
      </c>
      <c r="C2" s="96"/>
      <c r="D2" s="96"/>
      <c r="E2" s="96"/>
    </row>
    <row r="3" spans="2:25" x14ac:dyDescent="0.25">
      <c r="B3" s="65"/>
      <c r="C3" s="65"/>
      <c r="D3" s="65"/>
      <c r="E3" s="65"/>
    </row>
    <row r="4" spans="2:25" x14ac:dyDescent="0.25">
      <c r="B4" s="97" t="s">
        <v>88</v>
      </c>
      <c r="C4" s="97"/>
      <c r="D4" s="97"/>
      <c r="E4" s="66"/>
      <c r="G4" s="97" t="s">
        <v>55</v>
      </c>
      <c r="H4" s="97"/>
      <c r="I4" s="97"/>
      <c r="J4" s="66"/>
      <c r="L4" s="97" t="s">
        <v>56</v>
      </c>
      <c r="M4" s="97"/>
    </row>
    <row r="6" spans="2:25" x14ac:dyDescent="0.25">
      <c r="B6" s="72" t="s">
        <v>51</v>
      </c>
      <c r="C6" s="49" t="s">
        <v>52</v>
      </c>
      <c r="D6" s="53" t="s">
        <v>53</v>
      </c>
      <c r="G6" s="51" t="s">
        <v>51</v>
      </c>
      <c r="H6" s="49" t="s">
        <v>52</v>
      </c>
      <c r="I6" s="53" t="s">
        <v>53</v>
      </c>
      <c r="L6" s="67" t="s">
        <v>57</v>
      </c>
      <c r="M6" s="61">
        <f>P6</f>
        <v>1.4029028240696859</v>
      </c>
      <c r="O6" s="67" t="s">
        <v>86</v>
      </c>
      <c r="P6" s="60">
        <f>N33</f>
        <v>1.4029028240696859</v>
      </c>
    </row>
    <row r="7" spans="2:25" x14ac:dyDescent="0.25">
      <c r="B7" s="68">
        <v>45614</v>
      </c>
      <c r="C7" s="50">
        <v>6296.1953125</v>
      </c>
      <c r="G7" s="69">
        <v>45614</v>
      </c>
      <c r="H7" s="50">
        <v>23453.80078125</v>
      </c>
      <c r="I7" s="54"/>
      <c r="L7" s="67" t="s">
        <v>58</v>
      </c>
      <c r="M7" s="62">
        <v>0.75</v>
      </c>
    </row>
    <row r="8" spans="2:25" x14ac:dyDescent="0.25">
      <c r="B8" s="68">
        <v>45615</v>
      </c>
      <c r="C8" s="50">
        <v>6418.28955078125</v>
      </c>
      <c r="D8" s="15">
        <f>C8/C7-1</f>
        <v>1.9391748861229408E-2</v>
      </c>
      <c r="G8" s="69">
        <v>45615</v>
      </c>
      <c r="H8" s="50">
        <v>23518.5</v>
      </c>
      <c r="I8" s="55">
        <f>H8/H7-1</f>
        <v>2.758581406631766E-3</v>
      </c>
      <c r="L8" s="67"/>
    </row>
    <row r="9" spans="2:25" x14ac:dyDescent="0.25">
      <c r="B9" s="68">
        <v>45617</v>
      </c>
      <c r="C9" s="50">
        <v>6454.8583984375</v>
      </c>
      <c r="D9" s="15">
        <f t="shared" ref="D9:D72" si="0">C9/C8-1</f>
        <v>5.6976001732109705E-3</v>
      </c>
      <c r="G9" s="69">
        <v>45617</v>
      </c>
      <c r="H9" s="50">
        <v>23349.900390625</v>
      </c>
      <c r="I9" s="55">
        <f>H9/H8-1</f>
        <v>-7.1688079331164722E-3</v>
      </c>
      <c r="L9" s="67" t="s">
        <v>59</v>
      </c>
      <c r="M9" s="60">
        <v>1</v>
      </c>
    </row>
    <row r="10" spans="2:25" x14ac:dyDescent="0.25">
      <c r="B10" s="68">
        <v>45618</v>
      </c>
      <c r="C10" s="50">
        <v>6647.04150390625</v>
      </c>
      <c r="D10" s="15">
        <f t="shared" si="0"/>
        <v>2.9773403784546293E-2</v>
      </c>
      <c r="G10" s="69">
        <v>45618</v>
      </c>
      <c r="H10" s="50">
        <v>23907.25</v>
      </c>
      <c r="I10" s="55">
        <f t="shared" ref="I10:I73" si="1">H10/H9-1</f>
        <v>2.3869464111237804E-2</v>
      </c>
      <c r="L10" s="67" t="s">
        <v>60</v>
      </c>
      <c r="M10" s="62">
        <v>0.25</v>
      </c>
    </row>
    <row r="11" spans="2:25" x14ac:dyDescent="0.25">
      <c r="B11" s="68">
        <v>45621</v>
      </c>
      <c r="C11" s="50">
        <v>6769.0859375</v>
      </c>
      <c r="D11" s="15">
        <f t="shared" si="0"/>
        <v>1.8360714841637149E-2</v>
      </c>
      <c r="G11" s="69">
        <v>45621</v>
      </c>
      <c r="H11" s="50">
        <v>24221.900390625</v>
      </c>
      <c r="I11" s="55">
        <f t="shared" si="1"/>
        <v>1.3161295867362366E-2</v>
      </c>
      <c r="L11" s="67"/>
    </row>
    <row r="12" spans="2:25" x14ac:dyDescent="0.25">
      <c r="B12" s="68">
        <v>45622</v>
      </c>
      <c r="C12" s="50">
        <v>6663.5771484375</v>
      </c>
      <c r="D12" s="15">
        <f t="shared" si="0"/>
        <v>-1.5586859147110665E-2</v>
      </c>
      <c r="G12" s="69">
        <v>45622</v>
      </c>
      <c r="H12" s="50">
        <v>24194.5</v>
      </c>
      <c r="I12" s="55">
        <f t="shared" si="1"/>
        <v>-1.1312238174179257E-3</v>
      </c>
      <c r="L12" s="63" t="s">
        <v>87</v>
      </c>
      <c r="M12" s="64">
        <f>(M6*M7)+(M9*M10)</f>
        <v>1.3021771180522643</v>
      </c>
    </row>
    <row r="13" spans="2:25" x14ac:dyDescent="0.25">
      <c r="B13" s="68">
        <v>45623</v>
      </c>
      <c r="C13" s="50">
        <v>6839.17529296875</v>
      </c>
      <c r="D13" s="15">
        <f t="shared" si="0"/>
        <v>2.6351933896709756E-2</v>
      </c>
      <c r="G13" s="69">
        <v>45623</v>
      </c>
      <c r="H13" s="50">
        <v>24274.900390625</v>
      </c>
      <c r="I13" s="55">
        <f t="shared" si="1"/>
        <v>3.3230854378061281E-3</v>
      </c>
    </row>
    <row r="14" spans="2:25" x14ac:dyDescent="0.25">
      <c r="B14" s="68">
        <v>45624</v>
      </c>
      <c r="C14" s="50">
        <v>6737.36328125</v>
      </c>
      <c r="D14" s="15">
        <f t="shared" si="0"/>
        <v>-1.4886591929208381E-2</v>
      </c>
      <c r="G14" s="69">
        <v>45624</v>
      </c>
      <c r="H14" s="50">
        <v>23914.150390625</v>
      </c>
      <c r="I14" s="55">
        <f t="shared" si="1"/>
        <v>-1.4861029054492936E-2</v>
      </c>
    </row>
    <row r="15" spans="2:25" x14ac:dyDescent="0.25">
      <c r="B15" s="68">
        <v>45625</v>
      </c>
      <c r="C15" s="50">
        <v>6789.51806640625</v>
      </c>
      <c r="D15" s="15">
        <f t="shared" si="0"/>
        <v>7.741127052091068E-3</v>
      </c>
      <c r="G15" s="69">
        <v>45625</v>
      </c>
      <c r="H15" s="50">
        <v>24131.099609375</v>
      </c>
      <c r="I15" s="55">
        <f t="shared" si="1"/>
        <v>9.072001940535257E-3</v>
      </c>
    </row>
    <row r="16" spans="2:25" x14ac:dyDescent="0.25">
      <c r="B16" s="68">
        <v>45628</v>
      </c>
      <c r="C16" s="50">
        <v>6799.4091796875</v>
      </c>
      <c r="D16" s="15">
        <f t="shared" si="0"/>
        <v>1.456821115211504E-3</v>
      </c>
      <c r="G16" s="69">
        <v>45628</v>
      </c>
      <c r="H16" s="50">
        <v>24276.05078125</v>
      </c>
      <c r="I16" s="55">
        <f t="shared" si="1"/>
        <v>6.0068200049485654E-3</v>
      </c>
      <c r="L16" s="70"/>
      <c r="M16" t="s">
        <v>61</v>
      </c>
      <c r="V16" s="70"/>
      <c r="W16" s="70"/>
      <c r="X16" s="70"/>
      <c r="Y16" s="70"/>
    </row>
    <row r="17" spans="2:25" ht="15.75" thickBot="1" x14ac:dyDescent="0.3">
      <c r="B17" s="68">
        <v>45629</v>
      </c>
      <c r="C17" s="50">
        <v>6835.42822265625</v>
      </c>
      <c r="D17" s="15">
        <f t="shared" si="0"/>
        <v>5.2973783481589098E-3</v>
      </c>
      <c r="G17" s="69">
        <v>45629</v>
      </c>
      <c r="H17" s="50">
        <v>24457.150390625</v>
      </c>
      <c r="I17" s="55">
        <f t="shared" si="1"/>
        <v>7.4600111445999318E-3</v>
      </c>
      <c r="L17" s="70"/>
      <c r="V17" s="70"/>
      <c r="W17" s="70"/>
      <c r="X17" s="70"/>
      <c r="Y17" s="70"/>
    </row>
    <row r="18" spans="2:25" x14ac:dyDescent="0.25">
      <c r="B18" s="68">
        <v>45630</v>
      </c>
      <c r="C18" s="50">
        <v>6817.89306640625</v>
      </c>
      <c r="D18" s="15">
        <f t="shared" si="0"/>
        <v>-2.5653339745239645E-3</v>
      </c>
      <c r="G18" s="69">
        <v>45630</v>
      </c>
      <c r="H18" s="50">
        <v>24467.44921875</v>
      </c>
      <c r="I18" s="55">
        <f t="shared" si="1"/>
        <v>4.2109681465385407E-4</v>
      </c>
      <c r="L18" s="70"/>
      <c r="M18" s="59" t="s">
        <v>62</v>
      </c>
      <c r="N18" s="59"/>
      <c r="V18" s="70"/>
      <c r="W18" s="70"/>
      <c r="X18" s="70"/>
      <c r="Y18" s="70"/>
    </row>
    <row r="19" spans="2:25" x14ac:dyDescent="0.25">
      <c r="B19" s="68">
        <v>45631</v>
      </c>
      <c r="C19" s="50">
        <v>6964.06689453125</v>
      </c>
      <c r="D19" s="15">
        <f t="shared" si="0"/>
        <v>2.1439736103407325E-2</v>
      </c>
      <c r="G19" s="69">
        <v>45631</v>
      </c>
      <c r="H19" s="50">
        <v>24708.400390625</v>
      </c>
      <c r="I19" s="55">
        <f t="shared" si="1"/>
        <v>9.8478255628851041E-3</v>
      </c>
      <c r="L19" s="70"/>
      <c r="M19" s="56" t="s">
        <v>63</v>
      </c>
      <c r="N19" s="56">
        <v>0.44770060895334668</v>
      </c>
      <c r="V19" s="70"/>
      <c r="W19" s="70"/>
      <c r="X19" s="70"/>
      <c r="Y19" s="70"/>
    </row>
    <row r="20" spans="2:25" x14ac:dyDescent="0.25">
      <c r="B20" s="68">
        <v>45632</v>
      </c>
      <c r="C20" s="50">
        <v>6993.89111328125</v>
      </c>
      <c r="D20" s="15">
        <f t="shared" si="0"/>
        <v>4.2825864831108618E-3</v>
      </c>
      <c r="G20" s="69">
        <v>45632</v>
      </c>
      <c r="H20" s="50">
        <v>24677.80078125</v>
      </c>
      <c r="I20" s="55">
        <f t="shared" si="1"/>
        <v>-1.2384293961259507E-3</v>
      </c>
      <c r="L20" s="70"/>
      <c r="M20" s="56" t="s">
        <v>64</v>
      </c>
      <c r="N20" s="56">
        <v>0.20043583525719746</v>
      </c>
      <c r="V20" s="70"/>
      <c r="W20" s="70"/>
      <c r="X20" s="70"/>
      <c r="Y20" s="70"/>
    </row>
    <row r="21" spans="2:25" x14ac:dyDescent="0.25">
      <c r="B21" s="68">
        <v>45635</v>
      </c>
      <c r="C21" s="50">
        <v>6943.6845703125</v>
      </c>
      <c r="D21" s="15">
        <f t="shared" si="0"/>
        <v>-7.1786280563346239E-3</v>
      </c>
      <c r="G21" s="69">
        <v>45635</v>
      </c>
      <c r="H21" s="50">
        <v>24619</v>
      </c>
      <c r="I21" s="55">
        <f t="shared" si="1"/>
        <v>-2.3827399277279726E-3</v>
      </c>
      <c r="L21" s="70"/>
      <c r="M21" s="56" t="s">
        <v>65</v>
      </c>
      <c r="N21" s="56">
        <v>0.19715893294267778</v>
      </c>
      <c r="V21" s="70"/>
      <c r="W21" s="70"/>
      <c r="X21" s="70"/>
      <c r="Y21" s="70"/>
    </row>
    <row r="22" spans="2:25" x14ac:dyDescent="0.25">
      <c r="B22" s="68">
        <v>45636</v>
      </c>
      <c r="C22" s="50">
        <v>6872.09619140625</v>
      </c>
      <c r="D22" s="15">
        <f t="shared" si="0"/>
        <v>-1.030985468613077E-2</v>
      </c>
      <c r="G22" s="69">
        <v>45636</v>
      </c>
      <c r="H22" s="50">
        <v>24610.05078125</v>
      </c>
      <c r="I22" s="55">
        <f t="shared" si="1"/>
        <v>-3.6350862139000739E-4</v>
      </c>
      <c r="L22" s="70"/>
      <c r="M22" s="56" t="s">
        <v>66</v>
      </c>
      <c r="N22" s="56">
        <v>2.2006908058782686E-2</v>
      </c>
      <c r="V22" s="70"/>
      <c r="W22" s="70"/>
      <c r="X22" s="70"/>
      <c r="Y22" s="70"/>
    </row>
    <row r="23" spans="2:25" ht="15.75" thickBot="1" x14ac:dyDescent="0.3">
      <c r="B23" s="68">
        <v>45637</v>
      </c>
      <c r="C23" s="50">
        <v>7057.18603515625</v>
      </c>
      <c r="D23" s="15">
        <f t="shared" si="0"/>
        <v>2.6933535066266945E-2</v>
      </c>
      <c r="G23" s="69">
        <v>45637</v>
      </c>
      <c r="H23" s="50">
        <v>24641.80078125</v>
      </c>
      <c r="I23" s="55">
        <f t="shared" si="1"/>
        <v>1.2901233029631864E-3</v>
      </c>
      <c r="L23" s="70"/>
      <c r="M23" s="57" t="s">
        <v>67</v>
      </c>
      <c r="N23" s="57">
        <v>246</v>
      </c>
      <c r="V23" s="70"/>
      <c r="W23" s="70"/>
      <c r="X23" s="70"/>
      <c r="Y23" s="70"/>
    </row>
    <row r="24" spans="2:25" x14ac:dyDescent="0.25">
      <c r="B24" s="68">
        <v>45638</v>
      </c>
      <c r="C24" s="50">
        <v>7006.43017578125</v>
      </c>
      <c r="D24" s="15">
        <f t="shared" si="0"/>
        <v>-7.192081818752305E-3</v>
      </c>
      <c r="G24" s="69">
        <v>45638</v>
      </c>
      <c r="H24" s="50">
        <v>24548.69921875</v>
      </c>
      <c r="I24" s="55">
        <f t="shared" si="1"/>
        <v>-3.7781963796591489E-3</v>
      </c>
      <c r="L24" s="70"/>
      <c r="V24" s="70"/>
      <c r="W24" s="70"/>
      <c r="X24" s="70"/>
      <c r="Y24" s="70"/>
    </row>
    <row r="25" spans="2:25" ht="15.75" thickBot="1" x14ac:dyDescent="0.3">
      <c r="B25" s="68">
        <v>45639</v>
      </c>
      <c r="C25" s="50">
        <v>6994.19091796875</v>
      </c>
      <c r="D25" s="15">
        <f t="shared" si="0"/>
        <v>-1.7468607415523918E-3</v>
      </c>
      <c r="G25" s="69">
        <v>45639</v>
      </c>
      <c r="H25" s="50">
        <v>24768.30078125</v>
      </c>
      <c r="I25" s="55">
        <f t="shared" si="1"/>
        <v>8.9455478085889162E-3</v>
      </c>
      <c r="L25" s="70"/>
      <c r="M25" t="s">
        <v>68</v>
      </c>
      <c r="V25" s="70"/>
      <c r="W25" s="70"/>
      <c r="X25" s="70"/>
      <c r="Y25" s="70"/>
    </row>
    <row r="26" spans="2:25" x14ac:dyDescent="0.25">
      <c r="B26" s="68">
        <v>45642</v>
      </c>
      <c r="C26" s="50">
        <v>6994.29052734375</v>
      </c>
      <c r="D26" s="15">
        <f t="shared" si="0"/>
        <v>1.4241729482167287E-5</v>
      </c>
      <c r="G26" s="69">
        <v>45642</v>
      </c>
      <c r="H26" s="50">
        <v>24668.25</v>
      </c>
      <c r="I26" s="55">
        <f t="shared" si="1"/>
        <v>-4.0394689217332358E-3</v>
      </c>
      <c r="L26" s="70"/>
      <c r="M26" s="58"/>
      <c r="N26" s="58" t="s">
        <v>73</v>
      </c>
      <c r="O26" s="58" t="s">
        <v>74</v>
      </c>
      <c r="P26" s="58" t="s">
        <v>75</v>
      </c>
      <c r="Q26" s="58" t="s">
        <v>76</v>
      </c>
      <c r="R26" s="58" t="s">
        <v>77</v>
      </c>
      <c r="V26" s="70"/>
      <c r="W26" s="70"/>
      <c r="X26" s="70"/>
      <c r="Y26" s="70"/>
    </row>
    <row r="27" spans="2:25" x14ac:dyDescent="0.25">
      <c r="B27" s="68">
        <v>45643</v>
      </c>
      <c r="C27" s="50">
        <v>6935.6416015625</v>
      </c>
      <c r="D27" s="15">
        <f t="shared" si="0"/>
        <v>-8.3852573112263018E-3</v>
      </c>
      <c r="G27" s="69">
        <v>45643</v>
      </c>
      <c r="H27" s="50">
        <v>24336</v>
      </c>
      <c r="I27" s="55">
        <f t="shared" si="1"/>
        <v>-1.3468730047733413E-2</v>
      </c>
      <c r="L27" s="70"/>
      <c r="M27" s="56" t="s">
        <v>69</v>
      </c>
      <c r="N27" s="56">
        <v>1</v>
      </c>
      <c r="O27" s="56">
        <v>2.9623061020413385E-2</v>
      </c>
      <c r="P27" s="56">
        <v>2.9623061020413385E-2</v>
      </c>
      <c r="Q27" s="56">
        <v>61.166252765327449</v>
      </c>
      <c r="R27" s="56">
        <v>1.5781123767351042E-13</v>
      </c>
      <c r="V27" s="70"/>
      <c r="W27" s="70"/>
      <c r="X27" s="70"/>
      <c r="Y27" s="70"/>
    </row>
    <row r="28" spans="2:25" x14ac:dyDescent="0.25">
      <c r="B28" s="68">
        <v>45644</v>
      </c>
      <c r="C28" s="50">
        <v>7107.59228515625</v>
      </c>
      <c r="D28" s="15">
        <f t="shared" si="0"/>
        <v>2.4792325421632455E-2</v>
      </c>
      <c r="G28" s="69">
        <v>45644</v>
      </c>
      <c r="H28" s="50">
        <v>24198.849609375</v>
      </c>
      <c r="I28" s="55">
        <f t="shared" si="1"/>
        <v>-5.6356998120069557E-3</v>
      </c>
      <c r="L28" s="70"/>
      <c r="M28" s="56" t="s">
        <v>70</v>
      </c>
      <c r="N28" s="56">
        <v>244</v>
      </c>
      <c r="O28" s="56">
        <v>0.1181701765630823</v>
      </c>
      <c r="P28" s="56">
        <v>4.8430400230771437E-4</v>
      </c>
      <c r="Q28" s="56"/>
      <c r="R28" s="56"/>
      <c r="V28" s="70"/>
      <c r="W28" s="70"/>
      <c r="X28" s="70"/>
      <c r="Y28" s="70"/>
    </row>
    <row r="29" spans="2:25" ht="15.75" thickBot="1" x14ac:dyDescent="0.3">
      <c r="B29" s="68">
        <v>45645</v>
      </c>
      <c r="C29" s="50">
        <v>7085.861328125</v>
      </c>
      <c r="D29" s="15">
        <f t="shared" si="0"/>
        <v>-3.0574287549715029E-3</v>
      </c>
      <c r="G29" s="69">
        <v>45645</v>
      </c>
      <c r="H29" s="50">
        <v>23951.69921875</v>
      </c>
      <c r="I29" s="55">
        <f t="shared" si="1"/>
        <v>-1.0213311567061067E-2</v>
      </c>
      <c r="L29" s="70"/>
      <c r="M29" s="57" t="s">
        <v>71</v>
      </c>
      <c r="N29" s="57">
        <v>245</v>
      </c>
      <c r="O29" s="57">
        <v>0.14779323758349569</v>
      </c>
      <c r="P29" s="57"/>
      <c r="Q29" s="57"/>
      <c r="R29" s="57"/>
      <c r="V29" s="70"/>
      <c r="W29" s="70"/>
      <c r="X29" s="70"/>
      <c r="Y29" s="70"/>
    </row>
    <row r="30" spans="2:25" ht="15.75" thickBot="1" x14ac:dyDescent="0.3">
      <c r="B30" s="68">
        <v>45646</v>
      </c>
      <c r="C30" s="50">
        <v>6825.63671875</v>
      </c>
      <c r="D30" s="15">
        <f t="shared" si="0"/>
        <v>-3.6724485186031441E-2</v>
      </c>
      <c r="G30" s="69">
        <v>45646</v>
      </c>
      <c r="H30" s="50">
        <v>23587.5</v>
      </c>
      <c r="I30" s="55">
        <f t="shared" si="1"/>
        <v>-1.520556915080562E-2</v>
      </c>
      <c r="L30" s="70"/>
      <c r="V30" s="70"/>
      <c r="W30" s="70"/>
      <c r="X30" s="70"/>
      <c r="Y30" s="70"/>
    </row>
    <row r="31" spans="2:25" x14ac:dyDescent="0.25">
      <c r="B31" s="68">
        <v>45649</v>
      </c>
      <c r="C31" s="50">
        <v>6939.98779296875</v>
      </c>
      <c r="D31" s="15">
        <f t="shared" si="0"/>
        <v>1.67531732101458E-2</v>
      </c>
      <c r="G31" s="69">
        <v>45649</v>
      </c>
      <c r="H31" s="50">
        <v>23753.44921875</v>
      </c>
      <c r="I31" s="55">
        <f t="shared" si="1"/>
        <v>7.0354729729729115E-3</v>
      </c>
      <c r="L31" s="70"/>
      <c r="M31" s="58"/>
      <c r="N31" s="58" t="s">
        <v>78</v>
      </c>
      <c r="O31" s="58" t="s">
        <v>66</v>
      </c>
      <c r="P31" s="58" t="s">
        <v>79</v>
      </c>
      <c r="Q31" s="58" t="s">
        <v>80</v>
      </c>
      <c r="R31" s="58" t="s">
        <v>81</v>
      </c>
      <c r="S31" s="58" t="s">
        <v>82</v>
      </c>
      <c r="T31" s="58" t="s">
        <v>83</v>
      </c>
      <c r="U31" s="58" t="s">
        <v>84</v>
      </c>
      <c r="V31" s="70"/>
      <c r="W31" s="70"/>
      <c r="X31" s="70"/>
      <c r="Y31" s="70"/>
    </row>
    <row r="32" spans="2:25" x14ac:dyDescent="0.25">
      <c r="B32" s="68">
        <v>45650</v>
      </c>
      <c r="C32" s="50">
        <v>7001.08447265625</v>
      </c>
      <c r="D32" s="15">
        <f t="shared" si="0"/>
        <v>8.8035716358751959E-3</v>
      </c>
      <c r="G32" s="69">
        <v>45650</v>
      </c>
      <c r="H32" s="50">
        <v>23727.650390625</v>
      </c>
      <c r="I32" s="55">
        <f t="shared" si="1"/>
        <v>-1.0861087115143775E-3</v>
      </c>
      <c r="L32" s="70"/>
      <c r="M32" s="56" t="s">
        <v>72</v>
      </c>
      <c r="N32" s="56">
        <v>-1.8267104900803036E-3</v>
      </c>
      <c r="O32" s="56">
        <v>1.405282083228715E-3</v>
      </c>
      <c r="P32" s="56">
        <v>-1.2998888350467921</v>
      </c>
      <c r="Q32" s="56">
        <v>0.19486571407399988</v>
      </c>
      <c r="R32" s="56">
        <v>-4.5947423781472485E-3</v>
      </c>
      <c r="S32" s="56">
        <v>9.4132139798664164E-4</v>
      </c>
      <c r="T32" s="56">
        <v>-4.5947423781472485E-3</v>
      </c>
      <c r="U32" s="56">
        <v>9.4132139798664164E-4</v>
      </c>
      <c r="V32" s="70"/>
      <c r="W32" s="70"/>
      <c r="X32" s="70"/>
      <c r="Y32" s="70"/>
    </row>
    <row r="33" spans="2:25" ht="15.75" thickBot="1" x14ac:dyDescent="0.3">
      <c r="B33" s="68">
        <v>45652</v>
      </c>
      <c r="C33" s="50">
        <v>7057.5859375</v>
      </c>
      <c r="D33" s="15">
        <f t="shared" si="0"/>
        <v>8.070387532735035E-3</v>
      </c>
      <c r="G33" s="69">
        <v>45652</v>
      </c>
      <c r="H33" s="50">
        <v>23750.19921875</v>
      </c>
      <c r="I33" s="55">
        <f t="shared" si="1"/>
        <v>9.5031862631911324E-4</v>
      </c>
      <c r="L33" s="70"/>
      <c r="M33" s="57" t="s">
        <v>85</v>
      </c>
      <c r="N33" s="57">
        <v>1.4029028240696859</v>
      </c>
      <c r="O33" s="57">
        <v>0.17937902203071371</v>
      </c>
      <c r="P33" s="57">
        <v>7.8208856765284267</v>
      </c>
      <c r="Q33" s="57">
        <v>1.5781123767350582E-13</v>
      </c>
      <c r="R33" s="57">
        <v>1.0495738668752128</v>
      </c>
      <c r="S33" s="57">
        <v>1.756231781264159</v>
      </c>
      <c r="T33" s="57">
        <v>1.0495738668752128</v>
      </c>
      <c r="U33" s="57">
        <v>1.756231781264159</v>
      </c>
      <c r="V33" s="70"/>
      <c r="W33" s="70"/>
      <c r="X33" s="70"/>
      <c r="Y33" s="70"/>
    </row>
    <row r="34" spans="2:25" x14ac:dyDescent="0.25">
      <c r="B34" s="68">
        <v>45653</v>
      </c>
      <c r="C34" s="50">
        <v>7112.13818359375</v>
      </c>
      <c r="D34" s="15">
        <f t="shared" si="0"/>
        <v>7.7295900576839216E-3</v>
      </c>
      <c r="G34" s="69">
        <v>45653</v>
      </c>
      <c r="H34" s="50">
        <v>23813.400390625</v>
      </c>
      <c r="I34" s="55">
        <f t="shared" si="1"/>
        <v>2.6610796521280289E-3</v>
      </c>
      <c r="L34" s="70"/>
      <c r="V34" s="70"/>
      <c r="W34" s="70"/>
      <c r="X34" s="70"/>
      <c r="Y34" s="70"/>
    </row>
    <row r="35" spans="2:25" x14ac:dyDescent="0.25">
      <c r="B35" s="68">
        <v>45656</v>
      </c>
      <c r="C35" s="50">
        <v>6948.33056640625</v>
      </c>
      <c r="D35" s="15">
        <f t="shared" si="0"/>
        <v>-2.3032119590332356E-2</v>
      </c>
      <c r="G35" s="69">
        <v>45656</v>
      </c>
      <c r="H35" s="50">
        <v>23644.900390625</v>
      </c>
      <c r="I35" s="55">
        <f t="shared" si="1"/>
        <v>-7.0758479358679072E-3</v>
      </c>
      <c r="L35" s="70"/>
      <c r="V35" s="70"/>
      <c r="W35" s="70"/>
      <c r="X35" s="70"/>
      <c r="Y35" s="70"/>
    </row>
    <row r="36" spans="2:25" x14ac:dyDescent="0.25">
      <c r="B36" s="68">
        <v>45657</v>
      </c>
      <c r="C36" s="50">
        <v>7117.18408203125</v>
      </c>
      <c r="D36" s="15">
        <f t="shared" si="0"/>
        <v>2.4301307200519817E-2</v>
      </c>
      <c r="G36" s="69">
        <v>45657</v>
      </c>
      <c r="H36" s="50">
        <v>23644.80078125</v>
      </c>
      <c r="I36" s="55">
        <f t="shared" si="1"/>
        <v>-4.2127212783737988E-6</v>
      </c>
      <c r="L36" s="70"/>
      <c r="V36" s="70"/>
      <c r="W36" s="70"/>
      <c r="X36" s="70"/>
      <c r="Y36" s="70"/>
    </row>
    <row r="37" spans="2:25" x14ac:dyDescent="0.25">
      <c r="B37" s="68">
        <v>45658</v>
      </c>
      <c r="C37" s="50">
        <v>7061.931640625</v>
      </c>
      <c r="D37" s="15">
        <f t="shared" si="0"/>
        <v>-7.7632446722497583E-3</v>
      </c>
      <c r="G37" s="69">
        <v>45658</v>
      </c>
      <c r="H37" s="50">
        <v>23742.900390625</v>
      </c>
      <c r="I37" s="55">
        <f t="shared" si="1"/>
        <v>4.1488871182535636E-3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</row>
    <row r="38" spans="2:25" x14ac:dyDescent="0.25">
      <c r="B38" s="68">
        <v>45659</v>
      </c>
      <c r="C38" s="50">
        <v>7314.6630859375</v>
      </c>
      <c r="D38" s="15">
        <f t="shared" si="0"/>
        <v>3.578786345914442E-2</v>
      </c>
      <c r="G38" s="69">
        <v>45659</v>
      </c>
      <c r="H38" s="50">
        <v>24188.650390625</v>
      </c>
      <c r="I38" s="55">
        <f t="shared" si="1"/>
        <v>1.8774033191665485E-2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</row>
    <row r="39" spans="2:25" x14ac:dyDescent="0.25">
      <c r="B39" s="68">
        <v>45660</v>
      </c>
      <c r="C39" s="50">
        <v>7301.375</v>
      </c>
      <c r="D39" s="15">
        <f t="shared" si="0"/>
        <v>-1.8166367721086374E-3</v>
      </c>
      <c r="G39" s="69">
        <v>45660</v>
      </c>
      <c r="H39" s="50">
        <v>24004.75</v>
      </c>
      <c r="I39" s="55">
        <f t="shared" si="1"/>
        <v>-7.6027553276091231E-3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</row>
    <row r="40" spans="2:25" x14ac:dyDescent="0.25">
      <c r="B40" s="68">
        <v>45663</v>
      </c>
      <c r="C40" s="50">
        <v>6992.29248046875</v>
      </c>
      <c r="D40" s="15">
        <f t="shared" si="0"/>
        <v>-4.2332097657119427E-2</v>
      </c>
      <c r="G40" s="69">
        <v>45663</v>
      </c>
      <c r="H40" s="50">
        <v>23616.05078125</v>
      </c>
      <c r="I40" s="55">
        <f t="shared" si="1"/>
        <v>-1.6192595996625703E-2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</row>
    <row r="41" spans="2:25" x14ac:dyDescent="0.25">
      <c r="B41" s="68">
        <v>45664</v>
      </c>
      <c r="C41" s="50">
        <v>6868.349609375</v>
      </c>
      <c r="D41" s="15">
        <f t="shared" si="0"/>
        <v>-1.7725641689038896E-2</v>
      </c>
      <c r="G41" s="69">
        <v>45664</v>
      </c>
      <c r="H41" s="50">
        <v>23707.900390625</v>
      </c>
      <c r="I41" s="55">
        <f t="shared" si="1"/>
        <v>3.8892874268343647E-3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</row>
    <row r="42" spans="2:25" x14ac:dyDescent="0.25">
      <c r="B42" s="68">
        <v>45665</v>
      </c>
      <c r="C42" s="50">
        <v>6693.30126953125</v>
      </c>
      <c r="D42" s="15">
        <f t="shared" si="0"/>
        <v>-2.5486230288105371E-2</v>
      </c>
      <c r="G42" s="69">
        <v>45665</v>
      </c>
      <c r="H42" s="50">
        <v>23688.94921875</v>
      </c>
      <c r="I42" s="55">
        <f t="shared" si="1"/>
        <v>-7.9936103841971029E-4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</row>
    <row r="43" spans="2:25" x14ac:dyDescent="0.25">
      <c r="B43" s="68">
        <v>45666</v>
      </c>
      <c r="C43" s="50">
        <v>6615.96875</v>
      </c>
      <c r="D43" s="15">
        <f t="shared" si="0"/>
        <v>-1.1553718623615095E-2</v>
      </c>
      <c r="G43" s="69">
        <v>45666</v>
      </c>
      <c r="H43" s="50">
        <v>23526.5</v>
      </c>
      <c r="I43" s="55">
        <f t="shared" si="1"/>
        <v>-6.8575949591475061E-3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</row>
    <row r="44" spans="2:25" x14ac:dyDescent="0.25">
      <c r="B44" s="68">
        <v>45667</v>
      </c>
      <c r="C44" s="50">
        <v>6578.40087890625</v>
      </c>
      <c r="D44" s="15">
        <f t="shared" si="0"/>
        <v>-5.6783628389643903E-3</v>
      </c>
      <c r="G44" s="69">
        <v>45667</v>
      </c>
      <c r="H44" s="50">
        <v>23431.5</v>
      </c>
      <c r="I44" s="55">
        <f t="shared" si="1"/>
        <v>-4.037999702463213E-3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</row>
    <row r="45" spans="2:25" x14ac:dyDescent="0.25">
      <c r="B45" s="68">
        <v>45670</v>
      </c>
      <c r="C45" s="50">
        <v>6219.01220703125</v>
      </c>
      <c r="D45" s="15">
        <f t="shared" si="0"/>
        <v>-5.4631616177023501E-2</v>
      </c>
      <c r="G45" s="69">
        <v>45670</v>
      </c>
      <c r="H45" s="50">
        <v>23085.94921875</v>
      </c>
      <c r="I45" s="55">
        <f t="shared" si="1"/>
        <v>-1.4747275302477436E-2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</row>
    <row r="46" spans="2:25" x14ac:dyDescent="0.25">
      <c r="B46" s="68">
        <v>45671</v>
      </c>
      <c r="C46" s="50">
        <v>6155.81689453125</v>
      </c>
      <c r="D46" s="15">
        <f t="shared" si="0"/>
        <v>-1.0161631847024011E-2</v>
      </c>
      <c r="G46" s="69">
        <v>45671</v>
      </c>
      <c r="H46" s="50">
        <v>23176.05078125</v>
      </c>
      <c r="I46" s="55">
        <f t="shared" si="1"/>
        <v>3.9028744993869768E-3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</row>
    <row r="47" spans="2:25" x14ac:dyDescent="0.25">
      <c r="B47" s="68">
        <v>45672</v>
      </c>
      <c r="C47" s="50">
        <v>6384.71875</v>
      </c>
      <c r="D47" s="15">
        <f t="shared" si="0"/>
        <v>3.7184643304141174E-2</v>
      </c>
      <c r="G47" s="69">
        <v>45672</v>
      </c>
      <c r="H47" s="50">
        <v>23213.19921875</v>
      </c>
      <c r="I47" s="55">
        <f t="shared" si="1"/>
        <v>1.6028803979861728E-3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</row>
    <row r="48" spans="2:25" x14ac:dyDescent="0.25">
      <c r="B48" s="68">
        <v>45673</v>
      </c>
      <c r="C48" s="50">
        <v>6206.17333984375</v>
      </c>
      <c r="D48" s="15">
        <f t="shared" si="0"/>
        <v>-2.7964491021041482E-2</v>
      </c>
      <c r="G48" s="69">
        <v>45673</v>
      </c>
      <c r="H48" s="50">
        <v>23311.80078125</v>
      </c>
      <c r="I48" s="55">
        <f t="shared" si="1"/>
        <v>4.2476507253836893E-3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</row>
    <row r="49" spans="2:25" x14ac:dyDescent="0.25">
      <c r="B49" s="68">
        <v>45674</v>
      </c>
      <c r="C49" s="50">
        <v>6211.1689453125</v>
      </c>
      <c r="D49" s="15">
        <f t="shared" si="0"/>
        <v>8.0494133747088803E-4</v>
      </c>
      <c r="G49" s="69">
        <v>45674</v>
      </c>
      <c r="H49" s="50">
        <v>23203.19921875</v>
      </c>
      <c r="I49" s="55">
        <f t="shared" si="1"/>
        <v>-4.6586517926727744E-3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</row>
    <row r="50" spans="2:25" x14ac:dyDescent="0.25">
      <c r="B50" s="68">
        <v>45677</v>
      </c>
      <c r="C50" s="50">
        <v>6084.728515625</v>
      </c>
      <c r="D50" s="15">
        <f t="shared" si="0"/>
        <v>-2.0356945818214012E-2</v>
      </c>
      <c r="G50" s="69">
        <v>45677</v>
      </c>
      <c r="H50" s="50">
        <v>23344.75</v>
      </c>
      <c r="I50" s="55">
        <f t="shared" si="1"/>
        <v>6.100485537167577E-3</v>
      </c>
    </row>
    <row r="51" spans="2:25" x14ac:dyDescent="0.25">
      <c r="B51" s="68">
        <v>45678</v>
      </c>
      <c r="C51" s="50">
        <v>5731.984375</v>
      </c>
      <c r="D51" s="15">
        <f t="shared" si="0"/>
        <v>-5.7972042584839567E-2</v>
      </c>
      <c r="G51" s="69">
        <v>45678</v>
      </c>
      <c r="H51" s="50">
        <v>23024.650390625</v>
      </c>
      <c r="I51" s="55">
        <f t="shared" si="1"/>
        <v>-1.3711845677293555E-2</v>
      </c>
    </row>
    <row r="52" spans="2:25" x14ac:dyDescent="0.25">
      <c r="B52" s="68">
        <v>45679</v>
      </c>
      <c r="C52" s="50">
        <v>5621.47998046875</v>
      </c>
      <c r="D52" s="15">
        <f t="shared" si="0"/>
        <v>-1.9278558227271869E-2</v>
      </c>
      <c r="G52" s="69">
        <v>45679</v>
      </c>
      <c r="H52" s="50">
        <v>23155.349609375</v>
      </c>
      <c r="I52" s="55">
        <f t="shared" si="1"/>
        <v>5.6764909144164655E-3</v>
      </c>
    </row>
    <row r="53" spans="2:25" x14ac:dyDescent="0.25">
      <c r="B53" s="68">
        <v>45680</v>
      </c>
      <c r="C53" s="50">
        <v>5728.63720703125</v>
      </c>
      <c r="D53" s="15">
        <f t="shared" si="0"/>
        <v>1.9062102317326968E-2</v>
      </c>
      <c r="G53" s="69">
        <v>45680</v>
      </c>
      <c r="H53" s="50">
        <v>23205.349609375</v>
      </c>
      <c r="I53" s="55">
        <f t="shared" si="1"/>
        <v>2.1593282262408753E-3</v>
      </c>
    </row>
    <row r="54" spans="2:25" x14ac:dyDescent="0.25">
      <c r="B54" s="68">
        <v>45681</v>
      </c>
      <c r="C54" s="50">
        <v>5485.69775390625</v>
      </c>
      <c r="D54" s="15">
        <f t="shared" si="0"/>
        <v>-4.240789638883391E-2</v>
      </c>
      <c r="G54" s="69">
        <v>45681</v>
      </c>
      <c r="H54" s="50">
        <v>23092.19921875</v>
      </c>
      <c r="I54" s="55">
        <f t="shared" si="1"/>
        <v>-4.8760476583936674E-3</v>
      </c>
    </row>
    <row r="55" spans="2:25" x14ac:dyDescent="0.25">
      <c r="B55" s="68">
        <v>45684</v>
      </c>
      <c r="C55" s="50">
        <v>5407.9150390625</v>
      </c>
      <c r="D55" s="15">
        <f t="shared" si="0"/>
        <v>-1.4179183457266209E-2</v>
      </c>
      <c r="G55" s="69">
        <v>45684</v>
      </c>
      <c r="H55" s="50">
        <v>22829.150390625</v>
      </c>
      <c r="I55" s="55">
        <f t="shared" si="1"/>
        <v>-1.1391241935562957E-2</v>
      </c>
    </row>
    <row r="56" spans="2:25" x14ac:dyDescent="0.25">
      <c r="B56" s="68">
        <v>45685</v>
      </c>
      <c r="C56" s="50">
        <v>5450.37841796875</v>
      </c>
      <c r="D56" s="15">
        <f t="shared" si="0"/>
        <v>7.8520795166951984E-3</v>
      </c>
      <c r="G56" s="69">
        <v>45685</v>
      </c>
      <c r="H56" s="50">
        <v>22957.25</v>
      </c>
      <c r="I56" s="55">
        <f t="shared" si="1"/>
        <v>5.6112298172781294E-3</v>
      </c>
    </row>
    <row r="57" spans="2:25" x14ac:dyDescent="0.25">
      <c r="B57" s="68">
        <v>45686</v>
      </c>
      <c r="C57" s="50">
        <v>5592.30517578125</v>
      </c>
      <c r="D57" s="15">
        <f t="shared" si="0"/>
        <v>2.6039798877927067E-2</v>
      </c>
      <c r="G57" s="69">
        <v>45686</v>
      </c>
      <c r="H57" s="50">
        <v>23163.099609375</v>
      </c>
      <c r="I57" s="55">
        <f t="shared" si="1"/>
        <v>8.966649288351114E-3</v>
      </c>
    </row>
    <row r="58" spans="2:25" x14ac:dyDescent="0.25">
      <c r="B58" s="68">
        <v>45687</v>
      </c>
      <c r="C58" s="50">
        <v>5506.4296875</v>
      </c>
      <c r="D58" s="15">
        <f t="shared" si="0"/>
        <v>-1.5356008941206145E-2</v>
      </c>
      <c r="G58" s="69">
        <v>45687</v>
      </c>
      <c r="H58" s="50">
        <v>23249.5</v>
      </c>
      <c r="I58" s="55">
        <f t="shared" si="1"/>
        <v>3.730087599762788E-3</v>
      </c>
    </row>
    <row r="59" spans="2:25" x14ac:dyDescent="0.25">
      <c r="B59" s="68">
        <v>45688</v>
      </c>
      <c r="C59" s="50">
        <v>5748.22021484375</v>
      </c>
      <c r="D59" s="15">
        <f t="shared" si="0"/>
        <v>4.3910581096246792E-2</v>
      </c>
      <c r="G59" s="69">
        <v>45688</v>
      </c>
      <c r="H59" s="50">
        <v>23508.400390625</v>
      </c>
      <c r="I59" s="55">
        <f t="shared" si="1"/>
        <v>1.1135740150325812E-2</v>
      </c>
    </row>
    <row r="60" spans="2:25" x14ac:dyDescent="0.25">
      <c r="B60" s="68">
        <v>45689</v>
      </c>
      <c r="C60" s="50">
        <v>6184.142578125</v>
      </c>
      <c r="D60" s="15">
        <f t="shared" si="0"/>
        <v>7.5836058290800867E-2</v>
      </c>
      <c r="G60" s="69">
        <v>45689</v>
      </c>
      <c r="H60" s="50">
        <v>23482.150390625</v>
      </c>
      <c r="I60" s="55">
        <f t="shared" si="1"/>
        <v>-1.1166221250199504E-3</v>
      </c>
    </row>
    <row r="61" spans="2:25" x14ac:dyDescent="0.25">
      <c r="B61" s="68">
        <v>45691</v>
      </c>
      <c r="C61" s="50">
        <v>6129.78955078125</v>
      </c>
      <c r="D61" s="15">
        <f t="shared" si="0"/>
        <v>-8.7890967352550753E-3</v>
      </c>
      <c r="G61" s="69">
        <v>45691</v>
      </c>
      <c r="H61" s="50">
        <v>23361.05078125</v>
      </c>
      <c r="I61" s="55">
        <f t="shared" si="1"/>
        <v>-5.1570919766934509E-3</v>
      </c>
    </row>
    <row r="62" spans="2:25" x14ac:dyDescent="0.25">
      <c r="B62" s="68">
        <v>45692</v>
      </c>
      <c r="C62" s="50">
        <v>5745.322265625</v>
      </c>
      <c r="D62" s="15">
        <f t="shared" si="0"/>
        <v>-6.2721123126853406E-2</v>
      </c>
      <c r="G62" s="69">
        <v>45692</v>
      </c>
      <c r="H62" s="50">
        <v>23739.25</v>
      </c>
      <c r="I62" s="55">
        <f t="shared" si="1"/>
        <v>1.6189306820631133E-2</v>
      </c>
    </row>
    <row r="63" spans="2:25" x14ac:dyDescent="0.25">
      <c r="B63" s="68">
        <v>45693</v>
      </c>
      <c r="C63" s="50">
        <v>5744.97314453125</v>
      </c>
      <c r="D63" s="15">
        <f t="shared" si="0"/>
        <v>-6.0766146372515095E-5</v>
      </c>
      <c r="G63" s="69">
        <v>45693</v>
      </c>
      <c r="H63" s="50">
        <v>23696.30078125</v>
      </c>
      <c r="I63" s="55">
        <f t="shared" si="1"/>
        <v>-1.809207062143936E-3</v>
      </c>
    </row>
    <row r="64" spans="2:25" x14ac:dyDescent="0.25">
      <c r="B64" s="68">
        <v>45694</v>
      </c>
      <c r="C64" s="50">
        <v>5272.5322265625</v>
      </c>
      <c r="D64" s="15">
        <f t="shared" si="0"/>
        <v>-8.2235531147517249E-2</v>
      </c>
      <c r="G64" s="69">
        <v>45694</v>
      </c>
      <c r="H64" s="50">
        <v>23603.349609375</v>
      </c>
      <c r="I64" s="55">
        <f t="shared" si="1"/>
        <v>-3.9226026346081966E-3</v>
      </c>
    </row>
    <row r="65" spans="2:9" x14ac:dyDescent="0.25">
      <c r="B65" s="68">
        <v>45695</v>
      </c>
      <c r="C65" s="50">
        <v>5449.6787109375</v>
      </c>
      <c r="D65" s="15">
        <f t="shared" si="0"/>
        <v>3.3597989877151235E-2</v>
      </c>
      <c r="G65" s="69">
        <v>45695</v>
      </c>
      <c r="H65" s="50">
        <v>23559.94921875</v>
      </c>
      <c r="I65" s="55">
        <f t="shared" si="1"/>
        <v>-1.8387386257991967E-3</v>
      </c>
    </row>
    <row r="66" spans="2:9" x14ac:dyDescent="0.25">
      <c r="B66" s="68">
        <v>45698</v>
      </c>
      <c r="C66" s="50">
        <v>5192.251953125</v>
      </c>
      <c r="D66" s="15">
        <f t="shared" si="0"/>
        <v>-4.7237052212976249E-2</v>
      </c>
      <c r="G66" s="69">
        <v>45698</v>
      </c>
      <c r="H66" s="50">
        <v>23381.599609375</v>
      </c>
      <c r="I66" s="55">
        <f t="shared" si="1"/>
        <v>-7.5700336923079092E-3</v>
      </c>
    </row>
    <row r="67" spans="2:9" x14ac:dyDescent="0.25">
      <c r="B67" s="68">
        <v>45699</v>
      </c>
      <c r="C67" s="50">
        <v>5223.82470703125</v>
      </c>
      <c r="D67" s="15">
        <f t="shared" si="0"/>
        <v>6.0807438065957342E-3</v>
      </c>
      <c r="G67" s="69">
        <v>45699</v>
      </c>
      <c r="H67" s="50">
        <v>23071.80078125</v>
      </c>
      <c r="I67" s="55">
        <f t="shared" si="1"/>
        <v>-1.3249684936046169E-2</v>
      </c>
    </row>
    <row r="68" spans="2:9" x14ac:dyDescent="0.25">
      <c r="B68" s="68">
        <v>45700</v>
      </c>
      <c r="C68" s="50">
        <v>5232.7666015625</v>
      </c>
      <c r="D68" s="15">
        <f t="shared" si="0"/>
        <v>1.7117524099179438E-3</v>
      </c>
      <c r="G68" s="69">
        <v>45700</v>
      </c>
      <c r="H68" s="50">
        <v>23045.25</v>
      </c>
      <c r="I68" s="55">
        <f t="shared" si="1"/>
        <v>-1.1507892904301098E-3</v>
      </c>
    </row>
    <row r="69" spans="2:9" x14ac:dyDescent="0.25">
      <c r="B69" s="68">
        <v>45701</v>
      </c>
      <c r="C69" s="50">
        <v>5252.24951171875</v>
      </c>
      <c r="D69" s="15">
        <f t="shared" si="0"/>
        <v>3.7232522754659936E-3</v>
      </c>
      <c r="G69" s="69">
        <v>45701</v>
      </c>
      <c r="H69" s="50">
        <v>23031.400390625</v>
      </c>
      <c r="I69" s="55">
        <f t="shared" si="1"/>
        <v>-6.0097457719054947E-4</v>
      </c>
    </row>
    <row r="70" spans="2:9" x14ac:dyDescent="0.25">
      <c r="B70" s="68">
        <v>45702</v>
      </c>
      <c r="C70" s="50">
        <v>5112.92041015625</v>
      </c>
      <c r="D70" s="15">
        <f t="shared" si="0"/>
        <v>-2.65275100224448E-2</v>
      </c>
      <c r="G70" s="69">
        <v>45702</v>
      </c>
      <c r="H70" s="50">
        <v>22929.25</v>
      </c>
      <c r="I70" s="55">
        <f t="shared" si="1"/>
        <v>-4.4352661537063742E-3</v>
      </c>
    </row>
    <row r="71" spans="2:9" x14ac:dyDescent="0.25">
      <c r="B71" s="68">
        <v>45705</v>
      </c>
      <c r="C71" s="50">
        <v>5092.03857421875</v>
      </c>
      <c r="D71" s="15">
        <f t="shared" si="0"/>
        <v>-4.0841308415481281E-3</v>
      </c>
      <c r="G71" s="69">
        <v>45705</v>
      </c>
      <c r="H71" s="50">
        <v>22959.5</v>
      </c>
      <c r="I71" s="55">
        <f t="shared" si="1"/>
        <v>1.3192755977626813E-3</v>
      </c>
    </row>
    <row r="72" spans="2:9" x14ac:dyDescent="0.25">
      <c r="B72" s="68">
        <v>45706</v>
      </c>
      <c r="C72" s="50">
        <v>4993.423828125</v>
      </c>
      <c r="D72" s="15">
        <f t="shared" si="0"/>
        <v>-1.9366457000746462E-2</v>
      </c>
      <c r="G72" s="69">
        <v>45706</v>
      </c>
      <c r="H72" s="50">
        <v>22945.30078125</v>
      </c>
      <c r="I72" s="55">
        <f t="shared" si="1"/>
        <v>-6.1844634029484258E-4</v>
      </c>
    </row>
    <row r="73" spans="2:9" x14ac:dyDescent="0.25">
      <c r="B73" s="68">
        <v>45707</v>
      </c>
      <c r="C73" s="50">
        <v>4987.1298828125</v>
      </c>
      <c r="D73" s="15">
        <f t="shared" ref="D73:D136" si="2">C73/C72-1</f>
        <v>-1.2604468455190698E-3</v>
      </c>
      <c r="G73" s="69">
        <v>45707</v>
      </c>
      <c r="H73" s="50">
        <v>22932.900390625</v>
      </c>
      <c r="I73" s="55">
        <f t="shared" si="1"/>
        <v>-5.4043269004055983E-4</v>
      </c>
    </row>
    <row r="74" spans="2:9" x14ac:dyDescent="0.25">
      <c r="B74" s="68">
        <v>45708</v>
      </c>
      <c r="C74" s="50">
        <v>5095.0859375</v>
      </c>
      <c r="D74" s="15">
        <f t="shared" si="2"/>
        <v>2.1646930644328544E-2</v>
      </c>
      <c r="G74" s="69">
        <v>45708</v>
      </c>
      <c r="H74" s="50">
        <v>22913.150390625</v>
      </c>
      <c r="I74" s="55">
        <f t="shared" ref="I74:I137" si="3">H74/H73-1</f>
        <v>-8.6120811862389068E-4</v>
      </c>
    </row>
    <row r="75" spans="2:9" x14ac:dyDescent="0.25">
      <c r="B75" s="68">
        <v>45709</v>
      </c>
      <c r="C75" s="50">
        <v>5043.83056640625</v>
      </c>
      <c r="D75" s="15">
        <f t="shared" si="2"/>
        <v>-1.0059765766953777E-2</v>
      </c>
      <c r="G75" s="69">
        <v>45709</v>
      </c>
      <c r="H75" s="50">
        <v>22795.900390625</v>
      </c>
      <c r="I75" s="55">
        <f t="shared" si="3"/>
        <v>-5.117148798882476E-3</v>
      </c>
    </row>
    <row r="76" spans="2:9" x14ac:dyDescent="0.25">
      <c r="B76" s="68">
        <v>45712</v>
      </c>
      <c r="C76" s="50">
        <v>5061.61474609375</v>
      </c>
      <c r="D76" s="15">
        <f t="shared" si="2"/>
        <v>3.5259272597198965E-3</v>
      </c>
      <c r="G76" s="69">
        <v>45712</v>
      </c>
      <c r="H76" s="50">
        <v>22553.349609375</v>
      </c>
      <c r="I76" s="55">
        <f t="shared" si="3"/>
        <v>-1.0640105330068539E-2</v>
      </c>
    </row>
    <row r="77" spans="2:9" x14ac:dyDescent="0.25">
      <c r="B77" s="68">
        <v>45713</v>
      </c>
      <c r="C77" s="50">
        <v>4955.60693359375</v>
      </c>
      <c r="D77" s="15">
        <f t="shared" si="2"/>
        <v>-2.0943477095290652E-2</v>
      </c>
      <c r="G77" s="69">
        <v>45713</v>
      </c>
      <c r="H77" s="50">
        <v>22547.55078125</v>
      </c>
      <c r="I77" s="55">
        <f t="shared" si="3"/>
        <v>-2.5711604818956513E-4</v>
      </c>
    </row>
    <row r="78" spans="2:9" x14ac:dyDescent="0.25">
      <c r="B78" s="68">
        <v>45715</v>
      </c>
      <c r="C78" s="50">
        <v>4801.140625</v>
      </c>
      <c r="D78" s="15">
        <f t="shared" si="2"/>
        <v>-3.1170008167240359E-2</v>
      </c>
      <c r="G78" s="69">
        <v>45715</v>
      </c>
      <c r="H78" s="50">
        <v>22545.05078125</v>
      </c>
      <c r="I78" s="55">
        <f t="shared" si="3"/>
        <v>-1.1087678764998277E-4</v>
      </c>
    </row>
    <row r="79" spans="2:9" x14ac:dyDescent="0.25">
      <c r="B79" s="68">
        <v>45716</v>
      </c>
      <c r="C79" s="50">
        <v>4847.3505859375</v>
      </c>
      <c r="D79" s="15">
        <f t="shared" si="2"/>
        <v>9.6247880549218401E-3</v>
      </c>
      <c r="G79" s="69">
        <v>45716</v>
      </c>
      <c r="H79" s="50">
        <v>22124.69921875</v>
      </c>
      <c r="I79" s="55">
        <f t="shared" si="3"/>
        <v>-1.8644959666695105E-2</v>
      </c>
    </row>
    <row r="80" spans="2:9" x14ac:dyDescent="0.25">
      <c r="B80" s="68">
        <v>45719</v>
      </c>
      <c r="C80" s="50">
        <v>4942.6181640625</v>
      </c>
      <c r="D80" s="15">
        <f t="shared" si="2"/>
        <v>1.9653535768874963E-2</v>
      </c>
      <c r="G80" s="69">
        <v>45719</v>
      </c>
      <c r="H80" s="50">
        <v>22119.30078125</v>
      </c>
      <c r="I80" s="55">
        <f t="shared" si="3"/>
        <v>-2.4400049223838316E-4</v>
      </c>
    </row>
    <row r="81" spans="2:9" x14ac:dyDescent="0.25">
      <c r="B81" s="68">
        <v>45720</v>
      </c>
      <c r="C81" s="50">
        <v>4995.47216796875</v>
      </c>
      <c r="D81" s="15">
        <f t="shared" si="2"/>
        <v>1.0693523584433207E-2</v>
      </c>
      <c r="G81" s="69">
        <v>45720</v>
      </c>
      <c r="H81" s="50">
        <v>22082.650390625</v>
      </c>
      <c r="I81" s="55">
        <f t="shared" si="3"/>
        <v>-1.6569416451024388E-3</v>
      </c>
    </row>
    <row r="82" spans="2:9" x14ac:dyDescent="0.25">
      <c r="B82" s="68">
        <v>45721</v>
      </c>
      <c r="C82" s="50">
        <v>5101.68017578125</v>
      </c>
      <c r="D82" s="15">
        <f t="shared" si="2"/>
        <v>2.1260854678264884E-2</v>
      </c>
      <c r="G82" s="69">
        <v>45721</v>
      </c>
      <c r="H82" s="50">
        <v>22337.30078125</v>
      </c>
      <c r="I82" s="55">
        <f t="shared" si="3"/>
        <v>1.1531695069225467E-2</v>
      </c>
    </row>
    <row r="83" spans="2:9" x14ac:dyDescent="0.25">
      <c r="B83" s="68">
        <v>45722</v>
      </c>
      <c r="C83" s="50">
        <v>5065.11181640625</v>
      </c>
      <c r="D83" s="15">
        <f t="shared" si="2"/>
        <v>-7.1679051047922604E-3</v>
      </c>
      <c r="G83" s="69">
        <v>45722</v>
      </c>
      <c r="H83" s="50">
        <v>22544.69921875</v>
      </c>
      <c r="I83" s="55">
        <f t="shared" si="3"/>
        <v>9.2848477768670001E-3</v>
      </c>
    </row>
    <row r="84" spans="2:9" x14ac:dyDescent="0.25">
      <c r="B84" s="68">
        <v>45723</v>
      </c>
      <c r="C84" s="50">
        <v>4995.5224609375</v>
      </c>
      <c r="D84" s="15">
        <f t="shared" si="2"/>
        <v>-1.3738957399389573E-2</v>
      </c>
      <c r="G84" s="69">
        <v>45723</v>
      </c>
      <c r="H84" s="50">
        <v>22552.5</v>
      </c>
      <c r="I84" s="55">
        <f t="shared" si="3"/>
        <v>3.4601398645017767E-4</v>
      </c>
    </row>
    <row r="85" spans="2:9" x14ac:dyDescent="0.25">
      <c r="B85" s="68">
        <v>45726</v>
      </c>
      <c r="C85" s="50">
        <v>4795.5458984375</v>
      </c>
      <c r="D85" s="15">
        <f t="shared" si="2"/>
        <v>-4.0031160717165615E-2</v>
      </c>
      <c r="G85" s="69">
        <v>45726</v>
      </c>
      <c r="H85" s="50">
        <v>22460.30078125</v>
      </c>
      <c r="I85" s="55">
        <f t="shared" si="3"/>
        <v>-4.0882039130917258E-3</v>
      </c>
    </row>
    <row r="86" spans="2:9" x14ac:dyDescent="0.25">
      <c r="B86" s="68">
        <v>45727</v>
      </c>
      <c r="C86" s="50">
        <v>4991.12646484375</v>
      </c>
      <c r="D86" s="15">
        <f t="shared" si="2"/>
        <v>4.0783796161762309E-2</v>
      </c>
      <c r="G86" s="69">
        <v>45727</v>
      </c>
      <c r="H86" s="50">
        <v>22497.900390625</v>
      </c>
      <c r="I86" s="55">
        <f t="shared" si="3"/>
        <v>1.6740474556060647E-3</v>
      </c>
    </row>
    <row r="87" spans="2:9" x14ac:dyDescent="0.25">
      <c r="B87" s="68">
        <v>45728</v>
      </c>
      <c r="C87" s="50">
        <v>5011.0087890625</v>
      </c>
      <c r="D87" s="15">
        <f t="shared" si="2"/>
        <v>3.9835344503482695E-3</v>
      </c>
      <c r="G87" s="69">
        <v>45728</v>
      </c>
      <c r="H87" s="50">
        <v>22470.5</v>
      </c>
      <c r="I87" s="55">
        <f t="shared" si="3"/>
        <v>-1.2179087892316698E-3</v>
      </c>
    </row>
    <row r="88" spans="2:9" x14ac:dyDescent="0.25">
      <c r="B88" s="68">
        <v>45729</v>
      </c>
      <c r="C88" s="50">
        <v>5018.052734375</v>
      </c>
      <c r="D88" s="15">
        <f t="shared" si="2"/>
        <v>1.4056940646112182E-3</v>
      </c>
      <c r="G88" s="69">
        <v>45729</v>
      </c>
      <c r="H88" s="50">
        <v>22397.19921875</v>
      </c>
      <c r="I88" s="55">
        <f t="shared" si="3"/>
        <v>-3.2620894617386709E-3</v>
      </c>
    </row>
    <row r="89" spans="2:9" x14ac:dyDescent="0.25">
      <c r="B89" s="68">
        <v>45733</v>
      </c>
      <c r="C89" s="50">
        <v>5155.083984375</v>
      </c>
      <c r="D89" s="15">
        <f t="shared" si="2"/>
        <v>2.7307654433621043E-2</v>
      </c>
      <c r="G89" s="69">
        <v>45733</v>
      </c>
      <c r="H89" s="50">
        <v>22508.75</v>
      </c>
      <c r="I89" s="55">
        <f t="shared" si="3"/>
        <v>4.980568336268254E-3</v>
      </c>
    </row>
    <row r="90" spans="2:9" x14ac:dyDescent="0.25">
      <c r="B90" s="68">
        <v>45734</v>
      </c>
      <c r="C90" s="50">
        <v>5155.083984375</v>
      </c>
      <c r="D90" s="15">
        <f t="shared" si="2"/>
        <v>0</v>
      </c>
      <c r="G90" s="69">
        <v>45734</v>
      </c>
      <c r="H90" s="50">
        <v>22834.30078125</v>
      </c>
      <c r="I90" s="55">
        <f t="shared" si="3"/>
        <v>1.446329899483545E-2</v>
      </c>
    </row>
    <row r="91" spans="2:9" x14ac:dyDescent="0.25">
      <c r="B91" s="68">
        <v>45735</v>
      </c>
      <c r="C91" s="50">
        <v>5226.322265625</v>
      </c>
      <c r="D91" s="15">
        <f t="shared" si="2"/>
        <v>1.3819034077024339E-2</v>
      </c>
      <c r="G91" s="69">
        <v>45735</v>
      </c>
      <c r="H91" s="50">
        <v>22907.599609375</v>
      </c>
      <c r="I91" s="55">
        <f t="shared" si="3"/>
        <v>3.2100316461272094E-3</v>
      </c>
    </row>
    <row r="92" spans="2:9" x14ac:dyDescent="0.25">
      <c r="B92" s="68">
        <v>45736</v>
      </c>
      <c r="C92" s="50">
        <v>5217.0302734375</v>
      </c>
      <c r="D92" s="15">
        <f t="shared" si="2"/>
        <v>-1.7779217804106962E-3</v>
      </c>
      <c r="G92" s="69">
        <v>45736</v>
      </c>
      <c r="H92" s="50">
        <v>23190.650390625</v>
      </c>
      <c r="I92" s="55">
        <f t="shared" si="3"/>
        <v>1.2356195589090069E-2</v>
      </c>
    </row>
    <row r="93" spans="2:9" x14ac:dyDescent="0.25">
      <c r="B93" s="68">
        <v>45737</v>
      </c>
      <c r="C93" s="50">
        <v>5145.591796875</v>
      </c>
      <c r="D93" s="15">
        <f t="shared" si="2"/>
        <v>-1.3693322219391568E-2</v>
      </c>
      <c r="G93" s="69">
        <v>45737</v>
      </c>
      <c r="H93" s="50">
        <v>23350.400390625</v>
      </c>
      <c r="I93" s="55">
        <f t="shared" si="3"/>
        <v>6.8885519512889015E-3</v>
      </c>
    </row>
    <row r="94" spans="2:9" x14ac:dyDescent="0.25">
      <c r="B94" s="68">
        <v>45740</v>
      </c>
      <c r="C94" s="50">
        <v>5050.3251953125</v>
      </c>
      <c r="D94" s="15">
        <f t="shared" si="2"/>
        <v>-1.8514216697165353E-2</v>
      </c>
      <c r="G94" s="69">
        <v>45740</v>
      </c>
      <c r="H94" s="50">
        <v>23658.349609375</v>
      </c>
      <c r="I94" s="55">
        <f t="shared" si="3"/>
        <v>1.3188177230298859E-2</v>
      </c>
    </row>
    <row r="95" spans="2:9" x14ac:dyDescent="0.25">
      <c r="B95" s="68">
        <v>45741</v>
      </c>
      <c r="C95" s="50">
        <v>5180.5615234375</v>
      </c>
      <c r="D95" s="15">
        <f t="shared" si="2"/>
        <v>2.5787711303398853E-2</v>
      </c>
      <c r="G95" s="69">
        <v>45741</v>
      </c>
      <c r="H95" s="50">
        <v>23668.650390625</v>
      </c>
      <c r="I95" s="55">
        <f t="shared" si="3"/>
        <v>4.3539728764163677E-4</v>
      </c>
    </row>
    <row r="96" spans="2:9" x14ac:dyDescent="0.25">
      <c r="B96" s="68">
        <v>45742</v>
      </c>
      <c r="C96" s="50">
        <v>5317.34375</v>
      </c>
      <c r="D96" s="15">
        <f t="shared" si="2"/>
        <v>2.6402973103143434E-2</v>
      </c>
      <c r="G96" s="69">
        <v>45742</v>
      </c>
      <c r="H96" s="50">
        <v>23486.849609375</v>
      </c>
      <c r="I96" s="55">
        <f t="shared" si="3"/>
        <v>-7.6810793285454482E-3</v>
      </c>
    </row>
    <row r="97" spans="2:9" x14ac:dyDescent="0.25">
      <c r="B97" s="68">
        <v>45743</v>
      </c>
      <c r="C97" s="50">
        <v>5417.6064453125</v>
      </c>
      <c r="D97" s="15">
        <f t="shared" si="2"/>
        <v>1.8855785901090272E-2</v>
      </c>
      <c r="G97" s="69">
        <v>45743</v>
      </c>
      <c r="H97" s="50">
        <v>23591.94921875</v>
      </c>
      <c r="I97" s="55">
        <f t="shared" si="3"/>
        <v>4.4748278770025962E-3</v>
      </c>
    </row>
    <row r="98" spans="2:9" x14ac:dyDescent="0.25">
      <c r="B98" s="68">
        <v>45744</v>
      </c>
      <c r="C98" s="50">
        <v>5320.54052734375</v>
      </c>
      <c r="D98" s="15">
        <f t="shared" si="2"/>
        <v>-1.7916753265223795E-2</v>
      </c>
      <c r="G98" s="69">
        <v>45744</v>
      </c>
      <c r="H98" s="50">
        <v>23519.349609375</v>
      </c>
      <c r="I98" s="55">
        <f t="shared" si="3"/>
        <v>-3.0773044101545244E-3</v>
      </c>
    </row>
    <row r="99" spans="2:9" x14ac:dyDescent="0.25">
      <c r="B99" s="68">
        <v>45748</v>
      </c>
      <c r="C99" s="50">
        <v>5571.9228515625</v>
      </c>
      <c r="D99" s="15">
        <f t="shared" si="2"/>
        <v>4.7247516098566589E-2</v>
      </c>
      <c r="G99" s="69">
        <v>45748</v>
      </c>
      <c r="H99" s="50">
        <v>23165.69921875</v>
      </c>
      <c r="I99" s="55">
        <f t="shared" si="3"/>
        <v>-1.5036571865236992E-2</v>
      </c>
    </row>
    <row r="100" spans="2:9" x14ac:dyDescent="0.25">
      <c r="B100" s="68">
        <v>45749</v>
      </c>
      <c r="C100" s="50">
        <v>5677.58154296875</v>
      </c>
      <c r="D100" s="15">
        <f t="shared" si="2"/>
        <v>1.8962698196121064E-2</v>
      </c>
      <c r="G100" s="69">
        <v>45749</v>
      </c>
      <c r="H100" s="50">
        <v>23332.349609375</v>
      </c>
      <c r="I100" s="55">
        <f t="shared" si="3"/>
        <v>7.1938424586863725E-3</v>
      </c>
    </row>
    <row r="101" spans="2:9" x14ac:dyDescent="0.25">
      <c r="B101" s="68">
        <v>45750</v>
      </c>
      <c r="C101" s="50">
        <v>5670.38720703125</v>
      </c>
      <c r="D101" s="15">
        <f t="shared" si="2"/>
        <v>-1.2671479719053025E-3</v>
      </c>
      <c r="G101" s="69">
        <v>45750</v>
      </c>
      <c r="H101" s="50">
        <v>23250.099609375</v>
      </c>
      <c r="I101" s="55">
        <f t="shared" si="3"/>
        <v>-3.5251486188494496E-3</v>
      </c>
    </row>
    <row r="102" spans="2:9" x14ac:dyDescent="0.25">
      <c r="B102" s="68">
        <v>45751</v>
      </c>
      <c r="C102" s="50">
        <v>5558.03515625</v>
      </c>
      <c r="D102" s="15">
        <f t="shared" si="2"/>
        <v>-1.9813823409084663E-2</v>
      </c>
      <c r="G102" s="69">
        <v>45751</v>
      </c>
      <c r="H102" s="50">
        <v>22904.44921875</v>
      </c>
      <c r="I102" s="55">
        <f t="shared" si="3"/>
        <v>-1.4866619775066536E-2</v>
      </c>
    </row>
    <row r="103" spans="2:9" x14ac:dyDescent="0.25">
      <c r="B103" s="68">
        <v>45754</v>
      </c>
      <c r="C103" s="50">
        <v>4736.8466796875</v>
      </c>
      <c r="D103" s="15">
        <f t="shared" si="2"/>
        <v>-0.14774798170160464</v>
      </c>
      <c r="G103" s="69">
        <v>45754</v>
      </c>
      <c r="H103" s="50">
        <v>22161.599609375</v>
      </c>
      <c r="I103" s="55">
        <f t="shared" si="3"/>
        <v>-3.2432546283055363E-2</v>
      </c>
    </row>
    <row r="104" spans="2:9" x14ac:dyDescent="0.25">
      <c r="B104" s="68">
        <v>45755</v>
      </c>
      <c r="C104" s="50">
        <v>4763.07373046875</v>
      </c>
      <c r="D104" s="15">
        <f t="shared" si="2"/>
        <v>5.5368164846281154E-3</v>
      </c>
      <c r="G104" s="69">
        <v>45755</v>
      </c>
      <c r="H104" s="50">
        <v>22535.849609375</v>
      </c>
      <c r="I104" s="55">
        <f t="shared" si="3"/>
        <v>1.6887318902814252E-2</v>
      </c>
    </row>
    <row r="105" spans="2:9" x14ac:dyDescent="0.25">
      <c r="B105" s="68">
        <v>45756</v>
      </c>
      <c r="C105" s="50">
        <v>4616.201171875</v>
      </c>
      <c r="D105" s="15">
        <f t="shared" si="2"/>
        <v>-3.0835667660197186E-2</v>
      </c>
      <c r="G105" s="69">
        <v>45756</v>
      </c>
      <c r="H105" s="50">
        <v>22399.150390625</v>
      </c>
      <c r="I105" s="55">
        <f t="shared" si="3"/>
        <v>-6.0658560080705248E-3</v>
      </c>
    </row>
    <row r="106" spans="2:9" x14ac:dyDescent="0.25">
      <c r="B106" s="68">
        <v>45758</v>
      </c>
      <c r="C106" s="50">
        <v>4776.41162109375</v>
      </c>
      <c r="D106" s="15">
        <f t="shared" si="2"/>
        <v>3.4706123770094743E-2</v>
      </c>
      <c r="G106" s="69">
        <v>45758</v>
      </c>
      <c r="H106" s="50">
        <v>22828.55078125</v>
      </c>
      <c r="I106" s="55">
        <f t="shared" si="3"/>
        <v>1.9170387409190415E-2</v>
      </c>
    </row>
    <row r="107" spans="2:9" x14ac:dyDescent="0.25">
      <c r="B107" s="68">
        <v>45762</v>
      </c>
      <c r="C107" s="50">
        <v>4872.77880859375</v>
      </c>
      <c r="D107" s="15">
        <f t="shared" si="2"/>
        <v>2.0175645472936266E-2</v>
      </c>
      <c r="G107" s="69">
        <v>45762</v>
      </c>
      <c r="H107" s="50">
        <v>23328.55078125</v>
      </c>
      <c r="I107" s="55">
        <f t="shared" si="3"/>
        <v>2.1902397782108451E-2</v>
      </c>
    </row>
    <row r="108" spans="2:9" x14ac:dyDescent="0.25">
      <c r="B108" s="68">
        <v>45763</v>
      </c>
      <c r="C108" s="50">
        <v>5031.1416015625</v>
      </c>
      <c r="D108" s="15">
        <f t="shared" si="2"/>
        <v>3.2499483188002998E-2</v>
      </c>
      <c r="G108" s="69">
        <v>45763</v>
      </c>
      <c r="H108" s="50">
        <v>23437.19921875</v>
      </c>
      <c r="I108" s="55">
        <f t="shared" si="3"/>
        <v>4.6573162010270508E-3</v>
      </c>
    </row>
    <row r="109" spans="2:9" x14ac:dyDescent="0.25">
      <c r="B109" s="68">
        <v>45764</v>
      </c>
      <c r="C109" s="50">
        <v>5126.05908203125</v>
      </c>
      <c r="D109" s="15">
        <f t="shared" si="2"/>
        <v>1.8865992648521734E-2</v>
      </c>
      <c r="G109" s="69">
        <v>45764</v>
      </c>
      <c r="H109" s="50">
        <v>23851.650390625</v>
      </c>
      <c r="I109" s="55">
        <f t="shared" si="3"/>
        <v>1.7683476937954135E-2</v>
      </c>
    </row>
    <row r="110" spans="2:9" x14ac:dyDescent="0.25">
      <c r="B110" s="68">
        <v>45768</v>
      </c>
      <c r="C110" s="50">
        <v>5355.3603515625</v>
      </c>
      <c r="D110" s="15">
        <f t="shared" si="2"/>
        <v>4.4732467156891831E-2</v>
      </c>
      <c r="G110" s="69">
        <v>45768</v>
      </c>
      <c r="H110" s="50">
        <v>24125.55078125</v>
      </c>
      <c r="I110" s="55">
        <f t="shared" si="3"/>
        <v>1.1483498464016417E-2</v>
      </c>
    </row>
    <row r="111" spans="2:9" x14ac:dyDescent="0.25">
      <c r="B111" s="68">
        <v>45769</v>
      </c>
      <c r="C111" s="50">
        <v>5318.392578125</v>
      </c>
      <c r="D111" s="15">
        <f t="shared" si="2"/>
        <v>-6.9029478897184582E-3</v>
      </c>
      <c r="G111" s="69">
        <v>45769</v>
      </c>
      <c r="H111" s="50">
        <v>24167.25</v>
      </c>
      <c r="I111" s="55">
        <f t="shared" si="3"/>
        <v>1.7284255654137493E-3</v>
      </c>
    </row>
    <row r="112" spans="2:9" x14ac:dyDescent="0.25">
      <c r="B112" s="68">
        <v>45770</v>
      </c>
      <c r="C112" s="50">
        <v>5324.38720703125</v>
      </c>
      <c r="D112" s="15">
        <f t="shared" si="2"/>
        <v>1.1271505098939816E-3</v>
      </c>
      <c r="G112" s="69">
        <v>45770</v>
      </c>
      <c r="H112" s="50">
        <v>24328.94921875</v>
      </c>
      <c r="I112" s="55">
        <f t="shared" si="3"/>
        <v>6.6908406521222208E-3</v>
      </c>
    </row>
    <row r="113" spans="2:9" x14ac:dyDescent="0.25">
      <c r="B113" s="68">
        <v>45771</v>
      </c>
      <c r="C113" s="50">
        <v>5318.89208984375</v>
      </c>
      <c r="D113" s="15">
        <f t="shared" si="2"/>
        <v>-1.0320656582307741E-3</v>
      </c>
      <c r="G113" s="69">
        <v>45771</v>
      </c>
      <c r="H113" s="50">
        <v>24246.69921875</v>
      </c>
      <c r="I113" s="55">
        <f t="shared" si="3"/>
        <v>-3.3807460922566923E-3</v>
      </c>
    </row>
    <row r="114" spans="2:9" x14ac:dyDescent="0.25">
      <c r="B114" s="68">
        <v>45772</v>
      </c>
      <c r="C114" s="50">
        <v>5140.54638671875</v>
      </c>
      <c r="D114" s="15">
        <f t="shared" si="2"/>
        <v>-3.353061128379442E-2</v>
      </c>
      <c r="G114" s="69">
        <v>45772</v>
      </c>
      <c r="H114" s="50">
        <v>24039.349609375</v>
      </c>
      <c r="I114" s="55">
        <f t="shared" si="3"/>
        <v>-8.5516633626838701E-3</v>
      </c>
    </row>
    <row r="115" spans="2:9" x14ac:dyDescent="0.25">
      <c r="B115" s="68">
        <v>45775</v>
      </c>
      <c r="C115" s="50">
        <v>5204.99072265625</v>
      </c>
      <c r="D115" s="15">
        <f t="shared" si="2"/>
        <v>1.2536475909253442E-2</v>
      </c>
      <c r="G115" s="69">
        <v>45775</v>
      </c>
      <c r="H115" s="50">
        <v>24328.5</v>
      </c>
      <c r="I115" s="55">
        <f t="shared" si="3"/>
        <v>1.2028211882747275E-2</v>
      </c>
    </row>
    <row r="116" spans="2:9" x14ac:dyDescent="0.25">
      <c r="B116" s="68">
        <v>45776</v>
      </c>
      <c r="C116" s="50">
        <v>5386.8330078125</v>
      </c>
      <c r="D116" s="15">
        <f t="shared" si="2"/>
        <v>3.4936140109669722E-2</v>
      </c>
      <c r="G116" s="69">
        <v>45776</v>
      </c>
      <c r="H116" s="50">
        <v>24335.94921875</v>
      </c>
      <c r="I116" s="55">
        <f t="shared" si="3"/>
        <v>3.0619309657398119E-4</v>
      </c>
    </row>
    <row r="117" spans="2:9" x14ac:dyDescent="0.25">
      <c r="B117" s="68">
        <v>45777</v>
      </c>
      <c r="C117" s="50">
        <v>5168.02294921875</v>
      </c>
      <c r="D117" s="15">
        <f t="shared" si="2"/>
        <v>-4.0619424859915099E-2</v>
      </c>
      <c r="G117" s="69">
        <v>45777</v>
      </c>
      <c r="H117" s="50">
        <v>24334.19921875</v>
      </c>
      <c r="I117" s="55">
        <f t="shared" si="3"/>
        <v>-7.1910077731884847E-5</v>
      </c>
    </row>
    <row r="118" spans="2:9" x14ac:dyDescent="0.25">
      <c r="B118" s="68">
        <v>45779</v>
      </c>
      <c r="C118" s="50">
        <v>5149.53857421875</v>
      </c>
      <c r="D118" s="15">
        <f t="shared" si="2"/>
        <v>-3.5766820661650156E-3</v>
      </c>
      <c r="G118" s="69">
        <v>45779</v>
      </c>
      <c r="H118" s="50">
        <v>24346.69921875</v>
      </c>
      <c r="I118" s="55">
        <f t="shared" si="3"/>
        <v>5.1368035116472477E-4</v>
      </c>
    </row>
    <row r="119" spans="2:9" x14ac:dyDescent="0.25">
      <c r="B119" s="68">
        <v>45782</v>
      </c>
      <c r="C119" s="50">
        <v>5365.8515625</v>
      </c>
      <c r="D119" s="15">
        <f t="shared" si="2"/>
        <v>4.200628564357678E-2</v>
      </c>
      <c r="G119" s="69">
        <v>45782</v>
      </c>
      <c r="H119" s="50">
        <v>24461.150390625</v>
      </c>
      <c r="I119" s="55">
        <f t="shared" si="3"/>
        <v>4.700890697612925E-3</v>
      </c>
    </row>
    <row r="120" spans="2:9" x14ac:dyDescent="0.25">
      <c r="B120" s="68">
        <v>45783</v>
      </c>
      <c r="C120" s="50">
        <v>5219.47802734375</v>
      </c>
      <c r="D120" s="15">
        <f t="shared" si="2"/>
        <v>-2.7278714934867332E-2</v>
      </c>
      <c r="G120" s="69">
        <v>45783</v>
      </c>
      <c r="H120" s="50">
        <v>24379.599609375</v>
      </c>
      <c r="I120" s="55">
        <f t="shared" si="3"/>
        <v>-3.3338898599493128E-3</v>
      </c>
    </row>
    <row r="121" spans="2:9" x14ac:dyDescent="0.25">
      <c r="B121" s="68">
        <v>45784</v>
      </c>
      <c r="C121" s="50">
        <v>5228.47021484375</v>
      </c>
      <c r="D121" s="15">
        <f t="shared" si="2"/>
        <v>1.7228135558560176E-3</v>
      </c>
      <c r="G121" s="69">
        <v>45784</v>
      </c>
      <c r="H121" s="50">
        <v>24414.400390625</v>
      </c>
      <c r="I121" s="55">
        <f t="shared" si="3"/>
        <v>1.4274549954715887E-3</v>
      </c>
    </row>
    <row r="122" spans="2:9" x14ac:dyDescent="0.25">
      <c r="B122" s="68">
        <v>45785</v>
      </c>
      <c r="C122" s="50">
        <v>5221.97607421875</v>
      </c>
      <c r="D122" s="15">
        <f t="shared" si="2"/>
        <v>-1.2420727972328738E-3</v>
      </c>
      <c r="G122" s="69">
        <v>45785</v>
      </c>
      <c r="H122" s="50">
        <v>24273.80078125</v>
      </c>
      <c r="I122" s="55">
        <f t="shared" si="3"/>
        <v>-5.7588802970967023E-3</v>
      </c>
    </row>
    <row r="123" spans="2:9" x14ac:dyDescent="0.25">
      <c r="B123" s="68">
        <v>45786</v>
      </c>
      <c r="C123" s="50">
        <v>5108.57421875</v>
      </c>
      <c r="D123" s="15">
        <f t="shared" si="2"/>
        <v>-2.1716272510060475E-2</v>
      </c>
      <c r="G123" s="69">
        <v>45786</v>
      </c>
      <c r="H123" s="50">
        <v>24008</v>
      </c>
      <c r="I123" s="55">
        <f t="shared" si="3"/>
        <v>-1.09501096942064E-2</v>
      </c>
    </row>
    <row r="124" spans="2:9" x14ac:dyDescent="0.25">
      <c r="B124" s="68">
        <v>45789</v>
      </c>
      <c r="C124" s="50">
        <v>5436.29052734375</v>
      </c>
      <c r="D124" s="15">
        <f t="shared" si="2"/>
        <v>6.4150249083380739E-2</v>
      </c>
      <c r="G124" s="69">
        <v>45789</v>
      </c>
      <c r="H124" s="50">
        <v>24924.69921875</v>
      </c>
      <c r="I124" s="55">
        <f t="shared" si="3"/>
        <v>3.8183073090219954E-2</v>
      </c>
    </row>
    <row r="125" spans="2:9" x14ac:dyDescent="0.25">
      <c r="B125" s="68">
        <v>45790</v>
      </c>
      <c r="C125" s="50">
        <v>5321.8896484375</v>
      </c>
      <c r="D125" s="15">
        <f t="shared" si="2"/>
        <v>-2.1043922934366743E-2</v>
      </c>
      <c r="G125" s="69">
        <v>45790</v>
      </c>
      <c r="H125" s="50">
        <v>24578.349609375</v>
      </c>
      <c r="I125" s="55">
        <f t="shared" si="3"/>
        <v>-1.389583907654357E-2</v>
      </c>
    </row>
    <row r="126" spans="2:9" x14ac:dyDescent="0.25">
      <c r="B126" s="68">
        <v>45791</v>
      </c>
      <c r="C126" s="50">
        <v>5357.35888671875</v>
      </c>
      <c r="D126" s="15">
        <f t="shared" si="2"/>
        <v>6.6647827415331484E-3</v>
      </c>
      <c r="G126" s="69">
        <v>45791</v>
      </c>
      <c r="H126" s="50">
        <v>24666.900390625</v>
      </c>
      <c r="I126" s="55">
        <f t="shared" si="3"/>
        <v>3.6027960647213586E-3</v>
      </c>
    </row>
    <row r="127" spans="2:9" x14ac:dyDescent="0.25">
      <c r="B127" s="68">
        <v>45792</v>
      </c>
      <c r="C127" s="50">
        <v>5572.67236328125</v>
      </c>
      <c r="D127" s="15">
        <f t="shared" si="2"/>
        <v>4.0190228266446137E-2</v>
      </c>
      <c r="G127" s="69">
        <v>45792</v>
      </c>
      <c r="H127" s="50">
        <v>25062.099609375</v>
      </c>
      <c r="I127" s="55">
        <f t="shared" si="3"/>
        <v>1.6021438141461841E-2</v>
      </c>
    </row>
    <row r="128" spans="2:9" x14ac:dyDescent="0.25">
      <c r="B128" s="68">
        <v>45793</v>
      </c>
      <c r="C128" s="50">
        <v>5578.16748046875</v>
      </c>
      <c r="D128" s="15">
        <f t="shared" si="2"/>
        <v>9.8608294715263334E-4</v>
      </c>
      <c r="G128" s="69">
        <v>45793</v>
      </c>
      <c r="H128" s="50">
        <v>25019.80078125</v>
      </c>
      <c r="I128" s="55">
        <f t="shared" si="3"/>
        <v>-1.6877607536591732E-3</v>
      </c>
    </row>
    <row r="129" spans="2:9" x14ac:dyDescent="0.25">
      <c r="B129" s="68">
        <v>45796</v>
      </c>
      <c r="C129" s="50">
        <v>5546.1953125</v>
      </c>
      <c r="D129" s="15">
        <f t="shared" si="2"/>
        <v>-5.7316615323395048E-3</v>
      </c>
      <c r="G129" s="69">
        <v>45796</v>
      </c>
      <c r="H129" s="50">
        <v>24945.44921875</v>
      </c>
      <c r="I129" s="55">
        <f t="shared" si="3"/>
        <v>-2.9717088137536374E-3</v>
      </c>
    </row>
    <row r="130" spans="2:9" x14ac:dyDescent="0.25">
      <c r="B130" s="68">
        <v>45797</v>
      </c>
      <c r="C130" s="50">
        <v>5444.783203125</v>
      </c>
      <c r="D130" s="15">
        <f t="shared" si="2"/>
        <v>-1.8284987033622468E-2</v>
      </c>
      <c r="G130" s="69">
        <v>45797</v>
      </c>
      <c r="H130" s="50">
        <v>24683.900390625</v>
      </c>
      <c r="I130" s="55">
        <f t="shared" si="3"/>
        <v>-1.0484831354666824E-2</v>
      </c>
    </row>
    <row r="131" spans="2:9" x14ac:dyDescent="0.25">
      <c r="B131" s="68">
        <v>45798</v>
      </c>
      <c r="C131" s="50">
        <v>5438.7880859375</v>
      </c>
      <c r="D131" s="15">
        <f t="shared" si="2"/>
        <v>-1.1010754632175823E-3</v>
      </c>
      <c r="G131" s="69">
        <v>45798</v>
      </c>
      <c r="H131" s="50">
        <v>24813.44921875</v>
      </c>
      <c r="I131" s="55">
        <f t="shared" si="3"/>
        <v>5.2483127088862602E-3</v>
      </c>
    </row>
    <row r="132" spans="2:9" x14ac:dyDescent="0.25">
      <c r="B132" s="68">
        <v>45799</v>
      </c>
      <c r="C132" s="50">
        <v>5337.3759765625</v>
      </c>
      <c r="D132" s="15">
        <f t="shared" si="2"/>
        <v>-1.8646085814082447E-2</v>
      </c>
      <c r="G132" s="69">
        <v>45799</v>
      </c>
      <c r="H132" s="50">
        <v>24609.69921875</v>
      </c>
      <c r="I132" s="55">
        <f t="shared" si="3"/>
        <v>-8.2112727740422109E-3</v>
      </c>
    </row>
    <row r="133" spans="2:9" x14ac:dyDescent="0.25">
      <c r="B133" s="68">
        <v>45800</v>
      </c>
      <c r="C133" s="50">
        <v>5430.794921875</v>
      </c>
      <c r="D133" s="15">
        <f t="shared" si="2"/>
        <v>1.7502785211819694E-2</v>
      </c>
      <c r="G133" s="69">
        <v>45800</v>
      </c>
      <c r="H133" s="50">
        <v>24853.150390625</v>
      </c>
      <c r="I133" s="55">
        <f t="shared" si="3"/>
        <v>9.8924887180058541E-3</v>
      </c>
    </row>
    <row r="134" spans="2:9" x14ac:dyDescent="0.25">
      <c r="B134" s="68">
        <v>45803</v>
      </c>
      <c r="C134" s="50">
        <v>5521.216796875</v>
      </c>
      <c r="D134" s="15">
        <f t="shared" si="2"/>
        <v>1.6649841561091616E-2</v>
      </c>
      <c r="G134" s="69">
        <v>45803</v>
      </c>
      <c r="H134" s="50">
        <v>25001.150390625</v>
      </c>
      <c r="I134" s="55">
        <f t="shared" si="3"/>
        <v>5.9549794562796521E-3</v>
      </c>
    </row>
    <row r="135" spans="2:9" x14ac:dyDescent="0.25">
      <c r="B135" s="68">
        <v>45804</v>
      </c>
      <c r="C135" s="50">
        <v>5568.17626953125</v>
      </c>
      <c r="D135" s="15">
        <f t="shared" si="2"/>
        <v>8.5052759896748764E-3</v>
      </c>
      <c r="G135" s="69">
        <v>45804</v>
      </c>
      <c r="H135" s="50">
        <v>24826.19921875</v>
      </c>
      <c r="I135" s="55">
        <f t="shared" si="3"/>
        <v>-6.9977248703164685E-3</v>
      </c>
    </row>
    <row r="136" spans="2:9" x14ac:dyDescent="0.25">
      <c r="B136" s="68">
        <v>45805</v>
      </c>
      <c r="C136" s="50">
        <v>5554.1884765625</v>
      </c>
      <c r="D136" s="15">
        <f t="shared" si="2"/>
        <v>-2.5120959344068217E-3</v>
      </c>
      <c r="G136" s="69">
        <v>45805</v>
      </c>
      <c r="H136" s="50">
        <v>24752.44921875</v>
      </c>
      <c r="I136" s="55">
        <f t="shared" si="3"/>
        <v>-2.9706520659956714E-3</v>
      </c>
    </row>
    <row r="137" spans="2:9" x14ac:dyDescent="0.25">
      <c r="B137" s="68">
        <v>45806</v>
      </c>
      <c r="C137" s="50">
        <v>5652.103515625</v>
      </c>
      <c r="D137" s="15">
        <f t="shared" ref="D137:D200" si="4">C137/C136-1</f>
        <v>1.7629045084746497E-2</v>
      </c>
      <c r="G137" s="69">
        <v>45806</v>
      </c>
      <c r="H137" s="50">
        <v>24833.599609375</v>
      </c>
      <c r="I137" s="55">
        <f t="shared" si="3"/>
        <v>3.2784792287758879E-3</v>
      </c>
    </row>
    <row r="138" spans="2:9" x14ac:dyDescent="0.25">
      <c r="B138" s="68">
        <v>45807</v>
      </c>
      <c r="C138" s="50">
        <v>5638.615234375</v>
      </c>
      <c r="D138" s="15">
        <f t="shared" si="4"/>
        <v>-2.3864179438172206E-3</v>
      </c>
      <c r="G138" s="69">
        <v>45807</v>
      </c>
      <c r="H138" s="50">
        <v>24750.69921875</v>
      </c>
      <c r="I138" s="55">
        <f t="shared" ref="I138:I201" si="5">H138/H137-1</f>
        <v>-3.3382349691143398E-3</v>
      </c>
    </row>
    <row r="139" spans="2:9" x14ac:dyDescent="0.25">
      <c r="B139" s="68">
        <v>45810</v>
      </c>
      <c r="C139" s="50">
        <v>5616.63427734375</v>
      </c>
      <c r="D139" s="15">
        <f t="shared" si="4"/>
        <v>-3.8982899377929536E-3</v>
      </c>
      <c r="G139" s="69">
        <v>45810</v>
      </c>
      <c r="H139" s="50">
        <v>24716.599609375</v>
      </c>
      <c r="I139" s="55">
        <f t="shared" si="5"/>
        <v>-1.3777230725331435E-3</v>
      </c>
    </row>
    <row r="140" spans="2:9" x14ac:dyDescent="0.25">
      <c r="B140" s="68">
        <v>45811</v>
      </c>
      <c r="C140" s="50">
        <v>5585.16162109375</v>
      </c>
      <c r="D140" s="15">
        <f t="shared" si="4"/>
        <v>-5.6034725951364939E-3</v>
      </c>
      <c r="G140" s="69">
        <v>45811</v>
      </c>
      <c r="H140" s="50">
        <v>24542.5</v>
      </c>
      <c r="I140" s="55">
        <f t="shared" si="5"/>
        <v>-7.0438333802584907E-3</v>
      </c>
    </row>
    <row r="141" spans="2:9" x14ac:dyDescent="0.25">
      <c r="B141" s="68">
        <v>45812</v>
      </c>
      <c r="C141" s="50">
        <v>5501.73388671875</v>
      </c>
      <c r="D141" s="15">
        <f t="shared" si="4"/>
        <v>-1.4937389467820306E-2</v>
      </c>
      <c r="G141" s="69">
        <v>45812</v>
      </c>
      <c r="H141" s="50">
        <v>24620.19921875</v>
      </c>
      <c r="I141" s="55">
        <f t="shared" si="5"/>
        <v>3.1659048079861751E-3</v>
      </c>
    </row>
    <row r="142" spans="2:9" x14ac:dyDescent="0.25">
      <c r="B142" s="68">
        <v>45813</v>
      </c>
      <c r="C142" s="50">
        <v>5668.08935546875</v>
      </c>
      <c r="D142" s="15">
        <f t="shared" si="4"/>
        <v>3.0236916611249498E-2</v>
      </c>
      <c r="G142" s="69">
        <v>45813</v>
      </c>
      <c r="H142" s="50">
        <v>24750.900390625</v>
      </c>
      <c r="I142" s="55">
        <f t="shared" si="5"/>
        <v>5.3086967621067682E-3</v>
      </c>
    </row>
    <row r="143" spans="2:9" x14ac:dyDescent="0.25">
      <c r="B143" s="68">
        <v>45814</v>
      </c>
      <c r="C143" s="50">
        <v>5771.99951171875</v>
      </c>
      <c r="D143" s="15">
        <f t="shared" si="4"/>
        <v>1.8332483793634058E-2</v>
      </c>
      <c r="G143" s="69">
        <v>45814</v>
      </c>
      <c r="H143" s="50">
        <v>25003.05078125</v>
      </c>
      <c r="I143" s="55">
        <f t="shared" si="5"/>
        <v>1.018752395450262E-2</v>
      </c>
    </row>
    <row r="144" spans="2:9" x14ac:dyDescent="0.25">
      <c r="B144" s="68">
        <v>45817</v>
      </c>
      <c r="C144" s="50">
        <v>5908.38134765625</v>
      </c>
      <c r="D144" s="15">
        <f t="shared" si="4"/>
        <v>2.36281787031698E-2</v>
      </c>
      <c r="G144" s="69">
        <v>45817</v>
      </c>
      <c r="H144" s="50">
        <v>25103.19921875</v>
      </c>
      <c r="I144" s="55">
        <f t="shared" si="5"/>
        <v>4.0054487100871228E-3</v>
      </c>
    </row>
    <row r="145" spans="2:9" x14ac:dyDescent="0.25">
      <c r="B145" s="68">
        <v>45818</v>
      </c>
      <c r="C145" s="50">
        <v>5808.96728515625</v>
      </c>
      <c r="D145" s="15">
        <f t="shared" si="4"/>
        <v>-1.6825938721683142E-2</v>
      </c>
      <c r="G145" s="69">
        <v>45818</v>
      </c>
      <c r="H145" s="50">
        <v>25104.25</v>
      </c>
      <c r="I145" s="55">
        <f t="shared" si="5"/>
        <v>4.1858459586929797E-5</v>
      </c>
    </row>
    <row r="146" spans="2:9" x14ac:dyDescent="0.25">
      <c r="B146" s="68">
        <v>45819</v>
      </c>
      <c r="C146" s="50">
        <v>5771.5</v>
      </c>
      <c r="D146" s="15">
        <f t="shared" si="4"/>
        <v>-6.4499046589555631E-3</v>
      </c>
      <c r="G146" s="69">
        <v>45819</v>
      </c>
      <c r="H146" s="50">
        <v>25141.400390625</v>
      </c>
      <c r="I146" s="55">
        <f t="shared" si="5"/>
        <v>1.4798446727146697E-3</v>
      </c>
    </row>
    <row r="147" spans="2:9" x14ac:dyDescent="0.25">
      <c r="B147" s="68">
        <v>45820</v>
      </c>
      <c r="C147" s="50">
        <v>5627.5</v>
      </c>
      <c r="D147" s="15">
        <f t="shared" si="4"/>
        <v>-2.4950186260071061E-2</v>
      </c>
      <c r="G147" s="69">
        <v>45820</v>
      </c>
      <c r="H147" s="50">
        <v>24888.19921875</v>
      </c>
      <c r="I147" s="55">
        <f t="shared" si="5"/>
        <v>-1.0071084662786611E-2</v>
      </c>
    </row>
    <row r="148" spans="2:9" x14ac:dyDescent="0.25">
      <c r="B148" s="68">
        <v>45821</v>
      </c>
      <c r="C148" s="50">
        <v>5590</v>
      </c>
      <c r="D148" s="15">
        <f t="shared" si="4"/>
        <v>-6.6637050199911396E-3</v>
      </c>
      <c r="G148" s="69">
        <v>45821</v>
      </c>
      <c r="H148" s="50">
        <v>24718.599609375</v>
      </c>
      <c r="I148" s="55">
        <f t="shared" si="5"/>
        <v>-6.8144588479197576E-3</v>
      </c>
    </row>
    <row r="149" spans="2:9" x14ac:dyDescent="0.25">
      <c r="B149" s="68">
        <v>45824</v>
      </c>
      <c r="C149" s="50">
        <v>5679.5</v>
      </c>
      <c r="D149" s="15">
        <f t="shared" si="4"/>
        <v>1.6010733452593851E-2</v>
      </c>
      <c r="G149" s="69">
        <v>45824</v>
      </c>
      <c r="H149" s="50">
        <v>24946.5</v>
      </c>
      <c r="I149" s="55">
        <f t="shared" si="5"/>
        <v>9.2197937677085395E-3</v>
      </c>
    </row>
    <row r="150" spans="2:9" x14ac:dyDescent="0.25">
      <c r="B150" s="68">
        <v>45825</v>
      </c>
      <c r="C150" s="50">
        <v>5626.5</v>
      </c>
      <c r="D150" s="15">
        <f t="shared" si="4"/>
        <v>-9.3318073774100174E-3</v>
      </c>
      <c r="G150" s="69">
        <v>45825</v>
      </c>
      <c r="H150" s="50">
        <v>24853.400390625</v>
      </c>
      <c r="I150" s="55">
        <f t="shared" si="5"/>
        <v>-3.7319707924959866E-3</v>
      </c>
    </row>
    <row r="151" spans="2:9" x14ac:dyDescent="0.25">
      <c r="B151" s="68">
        <v>45826</v>
      </c>
      <c r="C151" s="50">
        <v>5735</v>
      </c>
      <c r="D151" s="15">
        <f t="shared" si="4"/>
        <v>1.9283746556473913E-2</v>
      </c>
      <c r="G151" s="69">
        <v>45826</v>
      </c>
      <c r="H151" s="50">
        <v>24812.05078125</v>
      </c>
      <c r="I151" s="55">
        <f t="shared" si="5"/>
        <v>-1.6637405234334324E-3</v>
      </c>
    </row>
    <row r="152" spans="2:9" x14ac:dyDescent="0.25">
      <c r="B152" s="68">
        <v>45827</v>
      </c>
      <c r="C152" s="50">
        <v>5723.5</v>
      </c>
      <c r="D152" s="15">
        <f t="shared" si="4"/>
        <v>-2.0052310374890636E-3</v>
      </c>
      <c r="G152" s="69">
        <v>45827</v>
      </c>
      <c r="H152" s="50">
        <v>24793.25</v>
      </c>
      <c r="I152" s="55">
        <f t="shared" si="5"/>
        <v>-7.5772782410266082E-4</v>
      </c>
    </row>
    <row r="153" spans="2:9" x14ac:dyDescent="0.25">
      <c r="B153" s="68">
        <v>45828</v>
      </c>
      <c r="C153" s="50">
        <v>5897.5</v>
      </c>
      <c r="D153" s="15">
        <f t="shared" si="4"/>
        <v>3.0400978422294056E-2</v>
      </c>
      <c r="G153" s="69">
        <v>45828</v>
      </c>
      <c r="H153" s="50">
        <v>25112.400390625</v>
      </c>
      <c r="I153" s="55">
        <f t="shared" si="5"/>
        <v>1.287247095983779E-2</v>
      </c>
    </row>
    <row r="154" spans="2:9" x14ac:dyDescent="0.25">
      <c r="B154" s="68">
        <v>45831</v>
      </c>
      <c r="C154" s="50">
        <v>6120</v>
      </c>
      <c r="D154" s="15">
        <f t="shared" si="4"/>
        <v>3.7727850784230688E-2</v>
      </c>
      <c r="G154" s="69">
        <v>45831</v>
      </c>
      <c r="H154" s="50">
        <v>24971.900390625</v>
      </c>
      <c r="I154" s="55">
        <f t="shared" si="5"/>
        <v>-5.5948454872697395E-3</v>
      </c>
    </row>
    <row r="155" spans="2:9" x14ac:dyDescent="0.25">
      <c r="B155" s="68">
        <v>45832</v>
      </c>
      <c r="C155" s="50">
        <v>6057.5</v>
      </c>
      <c r="D155" s="15">
        <f t="shared" si="4"/>
        <v>-1.0212418300653558E-2</v>
      </c>
      <c r="G155" s="69">
        <v>45832</v>
      </c>
      <c r="H155" s="50">
        <v>25044.349609375</v>
      </c>
      <c r="I155" s="55">
        <f t="shared" si="5"/>
        <v>2.9012296868362597E-3</v>
      </c>
    </row>
    <row r="156" spans="2:9" x14ac:dyDescent="0.25">
      <c r="B156" s="68">
        <v>45833</v>
      </c>
      <c r="C156" s="50">
        <v>6124.5</v>
      </c>
      <c r="D156" s="15">
        <f t="shared" si="4"/>
        <v>1.1060668592653755E-2</v>
      </c>
      <c r="G156" s="69">
        <v>45833</v>
      </c>
      <c r="H156" s="50">
        <v>25244.75</v>
      </c>
      <c r="I156" s="55">
        <f t="shared" si="5"/>
        <v>8.0018205204253068E-3</v>
      </c>
    </row>
    <row r="157" spans="2:9" x14ac:dyDescent="0.25">
      <c r="B157" s="68">
        <v>45834</v>
      </c>
      <c r="C157" s="50">
        <v>6107</v>
      </c>
      <c r="D157" s="15">
        <f t="shared" si="4"/>
        <v>-2.8573761123357189E-3</v>
      </c>
      <c r="G157" s="69">
        <v>45834</v>
      </c>
      <c r="H157" s="50">
        <v>25549</v>
      </c>
      <c r="I157" s="55">
        <f t="shared" si="5"/>
        <v>1.2052010814129765E-2</v>
      </c>
    </row>
    <row r="158" spans="2:9" x14ac:dyDescent="0.25">
      <c r="B158" s="68">
        <v>45835</v>
      </c>
      <c r="C158" s="50">
        <v>6019.5</v>
      </c>
      <c r="D158" s="15">
        <f t="shared" si="4"/>
        <v>-1.4327820533813651E-2</v>
      </c>
      <c r="G158" s="69">
        <v>45835</v>
      </c>
      <c r="H158" s="50">
        <v>25637.80078125</v>
      </c>
      <c r="I158" s="55">
        <f t="shared" si="5"/>
        <v>3.4757047731810431E-3</v>
      </c>
    </row>
    <row r="159" spans="2:9" x14ac:dyDescent="0.25">
      <c r="B159" s="68">
        <v>45838</v>
      </c>
      <c r="C159" s="50">
        <v>6217.5</v>
      </c>
      <c r="D159" s="15">
        <f t="shared" si="4"/>
        <v>3.2893097433341678E-2</v>
      </c>
      <c r="G159" s="69">
        <v>45838</v>
      </c>
      <c r="H159" s="50">
        <v>25517.05078125</v>
      </c>
      <c r="I159" s="55">
        <f t="shared" si="5"/>
        <v>-4.7098423546652057E-3</v>
      </c>
    </row>
    <row r="160" spans="2:9" x14ac:dyDescent="0.25">
      <c r="B160" s="68">
        <v>45839</v>
      </c>
      <c r="C160" s="50">
        <v>6144</v>
      </c>
      <c r="D160" s="15">
        <f t="shared" si="4"/>
        <v>-1.1821471652593507E-2</v>
      </c>
      <c r="G160" s="69">
        <v>45839</v>
      </c>
      <c r="H160" s="50">
        <v>25541.80078125</v>
      </c>
      <c r="I160" s="55">
        <f t="shared" si="5"/>
        <v>9.6993967728375985E-4</v>
      </c>
    </row>
    <row r="161" spans="2:9" x14ac:dyDescent="0.25">
      <c r="B161" s="68">
        <v>45840</v>
      </c>
      <c r="C161" s="50">
        <v>6222.5</v>
      </c>
      <c r="D161" s="15">
        <f t="shared" si="4"/>
        <v>1.2776692708333259E-2</v>
      </c>
      <c r="G161" s="69">
        <v>45840</v>
      </c>
      <c r="H161" s="50">
        <v>25453.400390625</v>
      </c>
      <c r="I161" s="55">
        <f t="shared" si="5"/>
        <v>-3.4610085397696055E-3</v>
      </c>
    </row>
    <row r="162" spans="2:9" x14ac:dyDescent="0.25">
      <c r="B162" s="68">
        <v>45841</v>
      </c>
      <c r="C162" s="50">
        <v>6191</v>
      </c>
      <c r="D162" s="15">
        <f t="shared" si="4"/>
        <v>-5.0622740056247562E-3</v>
      </c>
      <c r="G162" s="69">
        <v>45841</v>
      </c>
      <c r="H162" s="50">
        <v>25405.30078125</v>
      </c>
      <c r="I162" s="55">
        <f t="shared" si="5"/>
        <v>-1.8897125192245401E-3</v>
      </c>
    </row>
    <row r="163" spans="2:9" x14ac:dyDescent="0.25">
      <c r="B163" s="68">
        <v>45842</v>
      </c>
      <c r="C163" s="50">
        <v>5456</v>
      </c>
      <c r="D163" s="15">
        <f t="shared" si="4"/>
        <v>-0.11872072363107733</v>
      </c>
      <c r="G163" s="69">
        <v>45842</v>
      </c>
      <c r="H163" s="50">
        <v>25461</v>
      </c>
      <c r="I163" s="55">
        <f t="shared" si="5"/>
        <v>2.1924250859925998E-3</v>
      </c>
    </row>
    <row r="164" spans="2:9" x14ac:dyDescent="0.25">
      <c r="B164" s="68">
        <v>45845</v>
      </c>
      <c r="C164" s="50">
        <v>5499</v>
      </c>
      <c r="D164" s="15">
        <f t="shared" si="4"/>
        <v>7.8812316715541897E-3</v>
      </c>
      <c r="G164" s="69">
        <v>45845</v>
      </c>
      <c r="H164" s="50">
        <v>25461.30078125</v>
      </c>
      <c r="I164" s="55">
        <f t="shared" si="5"/>
        <v>1.1813410706551508E-5</v>
      </c>
    </row>
    <row r="165" spans="2:9" x14ac:dyDescent="0.25">
      <c r="B165" s="68">
        <v>45846</v>
      </c>
      <c r="C165" s="50">
        <v>5440</v>
      </c>
      <c r="D165" s="15">
        <f t="shared" si="4"/>
        <v>-1.0729223495180906E-2</v>
      </c>
      <c r="G165" s="69">
        <v>45846</v>
      </c>
      <c r="H165" s="50">
        <v>25522.5</v>
      </c>
      <c r="I165" s="55">
        <f t="shared" si="5"/>
        <v>2.4036171315751087E-3</v>
      </c>
    </row>
    <row r="166" spans="2:9" x14ac:dyDescent="0.25">
      <c r="B166" s="68">
        <v>45847</v>
      </c>
      <c r="C166" s="50">
        <v>5408</v>
      </c>
      <c r="D166" s="15">
        <f t="shared" si="4"/>
        <v>-5.8823529411764497E-3</v>
      </c>
      <c r="G166" s="69">
        <v>45847</v>
      </c>
      <c r="H166" s="50">
        <v>25476.099609375</v>
      </c>
      <c r="I166" s="55">
        <f t="shared" si="5"/>
        <v>-1.8180190273288099E-3</v>
      </c>
    </row>
    <row r="167" spans="2:9" x14ac:dyDescent="0.25">
      <c r="B167" s="68">
        <v>45848</v>
      </c>
      <c r="C167" s="50">
        <v>5431</v>
      </c>
      <c r="D167" s="15">
        <f t="shared" si="4"/>
        <v>4.2529585798816161E-3</v>
      </c>
      <c r="G167" s="69">
        <v>45848</v>
      </c>
      <c r="H167" s="50">
        <v>25355.25</v>
      </c>
      <c r="I167" s="55">
        <f t="shared" si="5"/>
        <v>-4.7436464461980687E-3</v>
      </c>
    </row>
    <row r="168" spans="2:9" x14ac:dyDescent="0.25">
      <c r="B168" s="68">
        <v>45849</v>
      </c>
      <c r="C168" s="50">
        <v>5364</v>
      </c>
      <c r="D168" s="15">
        <f t="shared" si="4"/>
        <v>-1.2336586264039773E-2</v>
      </c>
      <c r="G168" s="69">
        <v>45849</v>
      </c>
      <c r="H168" s="50">
        <v>25149.849609375</v>
      </c>
      <c r="I168" s="55">
        <f t="shared" si="5"/>
        <v>-8.1009018102760066E-3</v>
      </c>
    </row>
    <row r="169" spans="2:9" x14ac:dyDescent="0.25">
      <c r="B169" s="68">
        <v>45852</v>
      </c>
      <c r="C169" s="50">
        <v>5314.5</v>
      </c>
      <c r="D169" s="15">
        <f t="shared" si="4"/>
        <v>-9.2281879194631156E-3</v>
      </c>
      <c r="G169" s="69">
        <v>45852</v>
      </c>
      <c r="H169" s="50">
        <v>25082.30078125</v>
      </c>
      <c r="I169" s="55">
        <f t="shared" si="5"/>
        <v>-2.685854157148504E-3</v>
      </c>
    </row>
    <row r="170" spans="2:9" x14ac:dyDescent="0.25">
      <c r="B170" s="68">
        <v>45853</v>
      </c>
      <c r="C170" s="50">
        <v>5390</v>
      </c>
      <c r="D170" s="15">
        <f t="shared" si="4"/>
        <v>1.4206416407940514E-2</v>
      </c>
      <c r="G170" s="69">
        <v>45853</v>
      </c>
      <c r="H170" s="50">
        <v>25195.80078125</v>
      </c>
      <c r="I170" s="55">
        <f t="shared" si="5"/>
        <v>4.5251032187942908E-3</v>
      </c>
    </row>
    <row r="171" spans="2:9" x14ac:dyDescent="0.25">
      <c r="B171" s="68">
        <v>45854</v>
      </c>
      <c r="C171" s="50">
        <v>5382</v>
      </c>
      <c r="D171" s="15">
        <f t="shared" si="4"/>
        <v>-1.4842300556586752E-3</v>
      </c>
      <c r="G171" s="69">
        <v>45854</v>
      </c>
      <c r="H171" s="50">
        <v>25212.05078125</v>
      </c>
      <c r="I171" s="55">
        <f t="shared" si="5"/>
        <v>6.4494874130338609E-4</v>
      </c>
    </row>
    <row r="172" spans="2:9" x14ac:dyDescent="0.25">
      <c r="B172" s="68">
        <v>45855</v>
      </c>
      <c r="C172" s="50">
        <v>5417.5</v>
      </c>
      <c r="D172" s="15">
        <f t="shared" si="4"/>
        <v>6.5960609438870943E-3</v>
      </c>
      <c r="G172" s="69">
        <v>45855</v>
      </c>
      <c r="H172" s="50">
        <v>25111.44921875</v>
      </c>
      <c r="I172" s="55">
        <f t="shared" si="5"/>
        <v>-3.9902173517283313E-3</v>
      </c>
    </row>
    <row r="173" spans="2:9" x14ac:dyDescent="0.25">
      <c r="B173" s="68">
        <v>45856</v>
      </c>
      <c r="C173" s="50">
        <v>5375</v>
      </c>
      <c r="D173" s="15">
        <f t="shared" si="4"/>
        <v>-7.8449469312413811E-3</v>
      </c>
      <c r="G173" s="69">
        <v>45856</v>
      </c>
      <c r="H173" s="50">
        <v>24968.400390625</v>
      </c>
      <c r="I173" s="55">
        <f t="shared" si="5"/>
        <v>-5.6965580472427835E-3</v>
      </c>
    </row>
    <row r="174" spans="2:9" x14ac:dyDescent="0.25">
      <c r="B174" s="68">
        <v>45859</v>
      </c>
      <c r="C174" s="50">
        <v>5376</v>
      </c>
      <c r="D174" s="15">
        <f t="shared" si="4"/>
        <v>1.8604651162790198E-4</v>
      </c>
      <c r="G174" s="69">
        <v>45859</v>
      </c>
      <c r="H174" s="50">
        <v>25090.69921875</v>
      </c>
      <c r="I174" s="55">
        <f t="shared" si="5"/>
        <v>4.8981443028652816E-3</v>
      </c>
    </row>
    <row r="175" spans="2:9" x14ac:dyDescent="0.25">
      <c r="B175" s="68">
        <v>45860</v>
      </c>
      <c r="C175" s="50">
        <v>5360.5</v>
      </c>
      <c r="D175" s="15">
        <f t="shared" si="4"/>
        <v>-2.8831845238095344E-3</v>
      </c>
      <c r="G175" s="69">
        <v>45860</v>
      </c>
      <c r="H175" s="50">
        <v>25060.900390625</v>
      </c>
      <c r="I175" s="55">
        <f t="shared" si="5"/>
        <v>-1.1876443882732346E-3</v>
      </c>
    </row>
    <row r="176" spans="2:9" x14ac:dyDescent="0.25">
      <c r="B176" s="68">
        <v>45861</v>
      </c>
      <c r="C176" s="50">
        <v>5359</v>
      </c>
      <c r="D176" s="15">
        <f t="shared" si="4"/>
        <v>-2.798246432236251E-4</v>
      </c>
      <c r="G176" s="69">
        <v>45861</v>
      </c>
      <c r="H176" s="50">
        <v>25219.900390625</v>
      </c>
      <c r="I176" s="55">
        <f t="shared" si="5"/>
        <v>6.3445445902445829E-3</v>
      </c>
    </row>
    <row r="177" spans="2:9" x14ac:dyDescent="0.25">
      <c r="B177" s="68">
        <v>45862</v>
      </c>
      <c r="C177" s="50">
        <v>5154</v>
      </c>
      <c r="D177" s="15">
        <f t="shared" si="4"/>
        <v>-3.8253405486098124E-2</v>
      </c>
      <c r="G177" s="69">
        <v>45862</v>
      </c>
      <c r="H177" s="50">
        <v>25062.099609375</v>
      </c>
      <c r="I177" s="55">
        <f t="shared" si="5"/>
        <v>-6.2569946274910748E-3</v>
      </c>
    </row>
    <row r="178" spans="2:9" x14ac:dyDescent="0.25">
      <c r="B178" s="68">
        <v>45863</v>
      </c>
      <c r="C178" s="50">
        <v>5043</v>
      </c>
      <c r="D178" s="15">
        <f t="shared" si="4"/>
        <v>-2.1536670547147807E-2</v>
      </c>
      <c r="G178" s="69">
        <v>45863</v>
      </c>
      <c r="H178" s="50">
        <v>24837</v>
      </c>
      <c r="I178" s="55">
        <f t="shared" si="5"/>
        <v>-8.9816740370306514E-3</v>
      </c>
    </row>
    <row r="179" spans="2:9" x14ac:dyDescent="0.25">
      <c r="B179" s="68">
        <v>45866</v>
      </c>
      <c r="C179" s="50">
        <v>4994</v>
      </c>
      <c r="D179" s="15">
        <f t="shared" si="4"/>
        <v>-9.7164386278009163E-3</v>
      </c>
      <c r="G179" s="69">
        <v>45866</v>
      </c>
      <c r="H179" s="50">
        <v>24680.900390625</v>
      </c>
      <c r="I179" s="55">
        <f t="shared" si="5"/>
        <v>-6.2849623293875778E-3</v>
      </c>
    </row>
    <row r="180" spans="2:9" x14ac:dyDescent="0.25">
      <c r="B180" s="68">
        <v>45867</v>
      </c>
      <c r="C180" s="50">
        <v>5001.5</v>
      </c>
      <c r="D180" s="15">
        <f t="shared" si="4"/>
        <v>1.5018021625952116E-3</v>
      </c>
      <c r="G180" s="69">
        <v>45867</v>
      </c>
      <c r="H180" s="50">
        <v>24821.099609375</v>
      </c>
      <c r="I180" s="55">
        <f t="shared" si="5"/>
        <v>5.6804742343701253E-3</v>
      </c>
    </row>
    <row r="181" spans="2:9" x14ac:dyDescent="0.25">
      <c r="B181" s="68">
        <v>45868</v>
      </c>
      <c r="C181" s="50">
        <v>5043.5</v>
      </c>
      <c r="D181" s="15">
        <f t="shared" si="4"/>
        <v>8.397480755773179E-3</v>
      </c>
      <c r="G181" s="69">
        <v>45868</v>
      </c>
      <c r="H181" s="50">
        <v>24855.05078125</v>
      </c>
      <c r="I181" s="55">
        <f t="shared" si="5"/>
        <v>1.367835124523431E-3</v>
      </c>
    </row>
    <row r="182" spans="2:9" x14ac:dyDescent="0.25">
      <c r="B182" s="68">
        <v>45869</v>
      </c>
      <c r="C182" s="50">
        <v>5018</v>
      </c>
      <c r="D182" s="15">
        <f t="shared" si="4"/>
        <v>-5.0560126896004309E-3</v>
      </c>
      <c r="G182" s="69">
        <v>45869</v>
      </c>
      <c r="H182" s="50">
        <v>24768.349609375</v>
      </c>
      <c r="I182" s="55">
        <f t="shared" si="5"/>
        <v>-3.4882717656889994E-3</v>
      </c>
    </row>
    <row r="183" spans="2:9" x14ac:dyDescent="0.25">
      <c r="B183" s="68">
        <v>45870</v>
      </c>
      <c r="C183" s="50">
        <v>5180</v>
      </c>
      <c r="D183" s="15">
        <f t="shared" si="4"/>
        <v>3.2283778397768081E-2</v>
      </c>
      <c r="G183" s="69">
        <v>45870</v>
      </c>
      <c r="H183" s="50">
        <v>24565.349609375</v>
      </c>
      <c r="I183" s="55">
        <f t="shared" si="5"/>
        <v>-8.1959437427822079E-3</v>
      </c>
    </row>
    <row r="184" spans="2:9" x14ac:dyDescent="0.25">
      <c r="B184" s="68">
        <v>45873</v>
      </c>
      <c r="C184" s="50">
        <v>5249</v>
      </c>
      <c r="D184" s="15">
        <f t="shared" si="4"/>
        <v>1.3320463320463327E-2</v>
      </c>
      <c r="G184" s="69">
        <v>45873</v>
      </c>
      <c r="H184" s="50">
        <v>24722.75</v>
      </c>
      <c r="I184" s="55">
        <f t="shared" si="5"/>
        <v>6.4074150430544208E-3</v>
      </c>
    </row>
    <row r="185" spans="2:9" x14ac:dyDescent="0.25">
      <c r="B185" s="68">
        <v>45874</v>
      </c>
      <c r="C185" s="50">
        <v>5317.5</v>
      </c>
      <c r="D185" s="15">
        <f t="shared" si="4"/>
        <v>1.3050104781863192E-2</v>
      </c>
      <c r="G185" s="69">
        <v>45874</v>
      </c>
      <c r="H185" s="50">
        <v>24649.55078125</v>
      </c>
      <c r="I185" s="55">
        <f t="shared" si="5"/>
        <v>-2.9608040671041946E-3</v>
      </c>
    </row>
    <row r="186" spans="2:9" x14ac:dyDescent="0.25">
      <c r="B186" s="68">
        <v>45875</v>
      </c>
      <c r="C186" s="50">
        <v>5356.5</v>
      </c>
      <c r="D186" s="15">
        <f t="shared" si="4"/>
        <v>7.3342736248236395E-3</v>
      </c>
      <c r="G186" s="69">
        <v>45875</v>
      </c>
      <c r="H186" s="50">
        <v>24574.19921875</v>
      </c>
      <c r="I186" s="55">
        <f t="shared" si="5"/>
        <v>-3.0569142281212658E-3</v>
      </c>
    </row>
    <row r="187" spans="2:9" x14ac:dyDescent="0.25">
      <c r="B187" s="68">
        <v>45876</v>
      </c>
      <c r="C187" s="50">
        <v>5303.5</v>
      </c>
      <c r="D187" s="15">
        <f t="shared" si="4"/>
        <v>-9.8945206758144222E-3</v>
      </c>
      <c r="G187" s="69">
        <v>45876</v>
      </c>
      <c r="H187" s="50">
        <v>24596.150390625</v>
      </c>
      <c r="I187" s="55">
        <f t="shared" si="5"/>
        <v>8.9326092295416437E-4</v>
      </c>
    </row>
    <row r="188" spans="2:9" x14ac:dyDescent="0.25">
      <c r="B188" s="68">
        <v>45877</v>
      </c>
      <c r="C188" s="50">
        <v>5317</v>
      </c>
      <c r="D188" s="15">
        <f t="shared" si="4"/>
        <v>2.5454888281324362E-3</v>
      </c>
      <c r="G188" s="69">
        <v>45877</v>
      </c>
      <c r="H188" s="50">
        <v>24363.30078125</v>
      </c>
      <c r="I188" s="55">
        <f t="shared" si="5"/>
        <v>-9.4669127354072291E-3</v>
      </c>
    </row>
    <row r="189" spans="2:9" x14ac:dyDescent="0.25">
      <c r="B189" s="68">
        <v>45880</v>
      </c>
      <c r="C189" s="50">
        <v>5443.5</v>
      </c>
      <c r="D189" s="15">
        <f t="shared" si="4"/>
        <v>2.379161181117162E-2</v>
      </c>
      <c r="G189" s="69">
        <v>45880</v>
      </c>
      <c r="H189" s="50">
        <v>24585.05078125</v>
      </c>
      <c r="I189" s="55">
        <f t="shared" si="5"/>
        <v>9.1018044718578217E-3</v>
      </c>
    </row>
    <row r="190" spans="2:9" x14ac:dyDescent="0.25">
      <c r="B190" s="68">
        <v>45881</v>
      </c>
      <c r="C190" s="50">
        <v>5365.5</v>
      </c>
      <c r="D190" s="15">
        <f t="shared" si="4"/>
        <v>-1.4329016257922267E-2</v>
      </c>
      <c r="G190" s="69">
        <v>45881</v>
      </c>
      <c r="H190" s="50">
        <v>24487.400390625</v>
      </c>
      <c r="I190" s="55">
        <f t="shared" si="5"/>
        <v>-3.9719417907191357E-3</v>
      </c>
    </row>
    <row r="191" spans="2:9" x14ac:dyDescent="0.25">
      <c r="B191" s="68">
        <v>45882</v>
      </c>
      <c r="C191" s="50">
        <v>5398.5</v>
      </c>
      <c r="D191" s="15">
        <f t="shared" si="4"/>
        <v>6.1504053676264547E-3</v>
      </c>
      <c r="G191" s="69">
        <v>45882</v>
      </c>
      <c r="H191" s="50">
        <v>24619.349609375</v>
      </c>
      <c r="I191" s="55">
        <f t="shared" si="5"/>
        <v>5.3884535167121328E-3</v>
      </c>
    </row>
    <row r="192" spans="2:9" x14ac:dyDescent="0.25">
      <c r="B192" s="68">
        <v>45883</v>
      </c>
      <c r="C192" s="50">
        <v>5370.5</v>
      </c>
      <c r="D192" s="15">
        <f t="shared" si="4"/>
        <v>-5.1866259146059468E-3</v>
      </c>
      <c r="G192" s="69">
        <v>45883</v>
      </c>
      <c r="H192" s="50">
        <v>24631.30078125</v>
      </c>
      <c r="I192" s="55">
        <f t="shared" si="5"/>
        <v>4.8543816407109475E-4</v>
      </c>
    </row>
    <row r="193" spans="2:9" x14ac:dyDescent="0.25">
      <c r="B193" s="68">
        <v>45887</v>
      </c>
      <c r="C193" s="50">
        <v>5519</v>
      </c>
      <c r="D193" s="15">
        <f t="shared" si="4"/>
        <v>2.7651056698631438E-2</v>
      </c>
      <c r="G193" s="69">
        <v>45887</v>
      </c>
      <c r="H193" s="50">
        <v>24876.94921875</v>
      </c>
      <c r="I193" s="55">
        <f t="shared" si="5"/>
        <v>9.9730192766349646E-3</v>
      </c>
    </row>
    <row r="194" spans="2:9" x14ac:dyDescent="0.25">
      <c r="B194" s="68">
        <v>45888</v>
      </c>
      <c r="C194" s="50">
        <v>5496</v>
      </c>
      <c r="D194" s="15">
        <f t="shared" si="4"/>
        <v>-4.1674216343540182E-3</v>
      </c>
      <c r="G194" s="69">
        <v>45888</v>
      </c>
      <c r="H194" s="50">
        <v>24980.650390625</v>
      </c>
      <c r="I194" s="55">
        <f t="shared" si="5"/>
        <v>4.1685646806257637E-3</v>
      </c>
    </row>
    <row r="195" spans="2:9" x14ac:dyDescent="0.25">
      <c r="B195" s="68">
        <v>45889</v>
      </c>
      <c r="C195" s="50">
        <v>5453</v>
      </c>
      <c r="D195" s="15">
        <f t="shared" si="4"/>
        <v>-7.8238719068413065E-3</v>
      </c>
      <c r="G195" s="69">
        <v>45889</v>
      </c>
      <c r="H195" s="50">
        <v>25050.55078125</v>
      </c>
      <c r="I195" s="55">
        <f t="shared" si="5"/>
        <v>2.7981813736617234E-3</v>
      </c>
    </row>
    <row r="196" spans="2:9" x14ac:dyDescent="0.25">
      <c r="B196" s="68">
        <v>45890</v>
      </c>
      <c r="C196" s="50">
        <v>5452.5</v>
      </c>
      <c r="D196" s="15">
        <f t="shared" si="4"/>
        <v>-9.1692646249752485E-5</v>
      </c>
      <c r="G196" s="69">
        <v>45890</v>
      </c>
      <c r="H196" s="50">
        <v>25083.75</v>
      </c>
      <c r="I196" s="55">
        <f t="shared" si="5"/>
        <v>1.3252889742787488E-3</v>
      </c>
    </row>
    <row r="197" spans="2:9" x14ac:dyDescent="0.25">
      <c r="B197" s="68">
        <v>45891</v>
      </c>
      <c r="C197" s="50">
        <v>5418</v>
      </c>
      <c r="D197" s="15">
        <f t="shared" si="4"/>
        <v>-6.3273727647867872E-3</v>
      </c>
      <c r="G197" s="69">
        <v>45891</v>
      </c>
      <c r="H197" s="50">
        <v>24870.099609375</v>
      </c>
      <c r="I197" s="55">
        <f t="shared" si="5"/>
        <v>-8.5174820600987244E-3</v>
      </c>
    </row>
    <row r="198" spans="2:9" x14ac:dyDescent="0.25">
      <c r="B198" s="68">
        <v>45894</v>
      </c>
      <c r="C198" s="50">
        <v>5423</v>
      </c>
      <c r="D198" s="15">
        <f t="shared" si="4"/>
        <v>9.228497600590746E-4</v>
      </c>
      <c r="G198" s="69">
        <v>45894</v>
      </c>
      <c r="H198" s="50">
        <v>24967.75</v>
      </c>
      <c r="I198" s="55">
        <f t="shared" si="5"/>
        <v>3.9264173509054867E-3</v>
      </c>
    </row>
    <row r="199" spans="2:9" x14ac:dyDescent="0.25">
      <c r="B199" s="68">
        <v>45895</v>
      </c>
      <c r="C199" s="50">
        <v>5295</v>
      </c>
      <c r="D199" s="15">
        <f t="shared" si="4"/>
        <v>-2.3603171676193968E-2</v>
      </c>
      <c r="G199" s="69">
        <v>45895</v>
      </c>
      <c r="H199" s="50">
        <v>24712.05078125</v>
      </c>
      <c r="I199" s="55">
        <f t="shared" si="5"/>
        <v>-1.0241179872034878E-2</v>
      </c>
    </row>
    <row r="200" spans="2:9" x14ac:dyDescent="0.25">
      <c r="B200" s="68">
        <v>45897</v>
      </c>
      <c r="C200" s="50">
        <v>5235.5</v>
      </c>
      <c r="D200" s="15">
        <f t="shared" si="4"/>
        <v>-1.1237016052880078E-2</v>
      </c>
      <c r="G200" s="69">
        <v>45897</v>
      </c>
      <c r="H200" s="50">
        <v>24500.900390625</v>
      </c>
      <c r="I200" s="55">
        <f t="shared" si="5"/>
        <v>-8.5444301039235837E-3</v>
      </c>
    </row>
    <row r="201" spans="2:9" x14ac:dyDescent="0.25">
      <c r="B201" s="68">
        <v>45898</v>
      </c>
      <c r="C201" s="50">
        <v>5298</v>
      </c>
      <c r="D201" s="15">
        <f t="shared" ref="D201:D253" si="6">C201/C200-1</f>
        <v>1.1937732785789246E-2</v>
      </c>
      <c r="G201" s="69">
        <v>45898</v>
      </c>
      <c r="H201" s="50">
        <v>24426.849609375</v>
      </c>
      <c r="I201" s="55">
        <f t="shared" si="5"/>
        <v>-3.0223697933294824E-3</v>
      </c>
    </row>
    <row r="202" spans="2:9" x14ac:dyDescent="0.25">
      <c r="B202" s="68">
        <v>45901</v>
      </c>
      <c r="C202" s="50">
        <v>5450</v>
      </c>
      <c r="D202" s="15">
        <f t="shared" si="6"/>
        <v>2.8690071725179234E-2</v>
      </c>
      <c r="G202" s="69">
        <v>45901</v>
      </c>
      <c r="H202" s="50">
        <v>24625.05078125</v>
      </c>
      <c r="I202" s="55">
        <f t="shared" ref="I202:I253" si="7">H202/H201-1</f>
        <v>8.1140701746054145E-3</v>
      </c>
    </row>
    <row r="203" spans="2:9" x14ac:dyDescent="0.25">
      <c r="B203" s="68">
        <v>45902</v>
      </c>
      <c r="C203" s="50">
        <v>5412</v>
      </c>
      <c r="D203" s="15">
        <f t="shared" si="6"/>
        <v>-6.9724770642202172E-3</v>
      </c>
      <c r="G203" s="69">
        <v>45902</v>
      </c>
      <c r="H203" s="50">
        <v>24579.599609375</v>
      </c>
      <c r="I203" s="55">
        <f t="shared" si="7"/>
        <v>-1.8457290617897026E-3</v>
      </c>
    </row>
    <row r="204" spans="2:9" x14ac:dyDescent="0.25">
      <c r="B204" s="68">
        <v>45903</v>
      </c>
      <c r="C204" s="50">
        <v>5479</v>
      </c>
      <c r="D204" s="15">
        <f t="shared" si="6"/>
        <v>1.2379896526238054E-2</v>
      </c>
      <c r="G204" s="69">
        <v>45903</v>
      </c>
      <c r="H204" s="50">
        <v>24715.05078125</v>
      </c>
      <c r="I204" s="55">
        <f t="shared" si="7"/>
        <v>5.5107151470170646E-3</v>
      </c>
    </row>
    <row r="205" spans="2:9" x14ac:dyDescent="0.25">
      <c r="B205" s="68">
        <v>45904</v>
      </c>
      <c r="C205" s="50">
        <v>5529</v>
      </c>
      <c r="D205" s="15">
        <f t="shared" si="6"/>
        <v>9.1257528746122585E-3</v>
      </c>
      <c r="G205" s="69">
        <v>45904</v>
      </c>
      <c r="H205" s="50">
        <v>24734.30078125</v>
      </c>
      <c r="I205" s="55">
        <f t="shared" si="7"/>
        <v>7.7887762280481887E-4</v>
      </c>
    </row>
    <row r="206" spans="2:9" x14ac:dyDescent="0.25">
      <c r="B206" s="68">
        <v>45905</v>
      </c>
      <c r="C206" s="50">
        <v>5528.5</v>
      </c>
      <c r="D206" s="15">
        <f t="shared" si="6"/>
        <v>-9.0432266232620684E-5</v>
      </c>
      <c r="G206" s="69">
        <v>45905</v>
      </c>
      <c r="H206" s="50">
        <v>24741</v>
      </c>
      <c r="I206" s="55">
        <f t="shared" si="7"/>
        <v>2.7084730671167456E-4</v>
      </c>
    </row>
    <row r="207" spans="2:9" x14ac:dyDescent="0.25">
      <c r="B207" s="68">
        <v>45908</v>
      </c>
      <c r="C207" s="50">
        <v>5315.5</v>
      </c>
      <c r="D207" s="15">
        <f t="shared" si="6"/>
        <v>-3.852762955593747E-2</v>
      </c>
      <c r="G207" s="69">
        <v>45908</v>
      </c>
      <c r="H207" s="50">
        <v>24773.150390625</v>
      </c>
      <c r="I207" s="55">
        <f t="shared" si="7"/>
        <v>1.2994782193525012E-3</v>
      </c>
    </row>
    <row r="208" spans="2:9" x14ac:dyDescent="0.25">
      <c r="B208" s="68">
        <v>45909</v>
      </c>
      <c r="C208" s="50">
        <v>5218.5</v>
      </c>
      <c r="D208" s="15">
        <f t="shared" si="6"/>
        <v>-1.824851848367981E-2</v>
      </c>
      <c r="G208" s="69">
        <v>45909</v>
      </c>
      <c r="H208" s="50">
        <v>24868.599609375</v>
      </c>
      <c r="I208" s="55">
        <f t="shared" si="7"/>
        <v>3.852930178235292E-3</v>
      </c>
    </row>
    <row r="209" spans="2:9" x14ac:dyDescent="0.25">
      <c r="B209" s="68">
        <v>45910</v>
      </c>
      <c r="C209" s="50">
        <v>5193</v>
      </c>
      <c r="D209" s="15">
        <f t="shared" si="6"/>
        <v>-4.8864616269043148E-3</v>
      </c>
      <c r="G209" s="69">
        <v>45910</v>
      </c>
      <c r="H209" s="50">
        <v>24973.099609375</v>
      </c>
      <c r="I209" s="55">
        <f t="shared" si="7"/>
        <v>4.2020862308871365E-3</v>
      </c>
    </row>
    <row r="210" spans="2:9" x14ac:dyDescent="0.25">
      <c r="B210" s="68">
        <v>45911</v>
      </c>
      <c r="C210" s="50">
        <v>5171</v>
      </c>
      <c r="D210" s="15">
        <f t="shared" si="6"/>
        <v>-4.2364721740805189E-3</v>
      </c>
      <c r="G210" s="69">
        <v>45911</v>
      </c>
      <c r="H210" s="50">
        <v>25005.5</v>
      </c>
      <c r="I210" s="55">
        <f t="shared" si="7"/>
        <v>1.2974116602184615E-3</v>
      </c>
    </row>
    <row r="211" spans="2:9" x14ac:dyDescent="0.25">
      <c r="B211" s="68">
        <v>45912</v>
      </c>
      <c r="C211" s="50">
        <v>5130</v>
      </c>
      <c r="D211" s="15">
        <f t="shared" si="6"/>
        <v>-7.9288338812608661E-3</v>
      </c>
      <c r="G211" s="69">
        <v>45912</v>
      </c>
      <c r="H211" s="50">
        <v>25114</v>
      </c>
      <c r="I211" s="55">
        <f t="shared" si="7"/>
        <v>4.3390454100098452E-3</v>
      </c>
    </row>
    <row r="212" spans="2:9" x14ac:dyDescent="0.25">
      <c r="B212" s="68">
        <v>45915</v>
      </c>
      <c r="C212" s="50">
        <v>5133</v>
      </c>
      <c r="D212" s="15">
        <f t="shared" si="6"/>
        <v>5.847953216373547E-4</v>
      </c>
      <c r="G212" s="69">
        <v>45915</v>
      </c>
      <c r="H212" s="50">
        <v>25069.19921875</v>
      </c>
      <c r="I212" s="55">
        <f t="shared" si="7"/>
        <v>-1.7838966811339896E-3</v>
      </c>
    </row>
    <row r="213" spans="2:9" x14ac:dyDescent="0.25">
      <c r="B213" s="68">
        <v>45916</v>
      </c>
      <c r="C213" s="50">
        <v>5147.5</v>
      </c>
      <c r="D213" s="15">
        <f t="shared" si="6"/>
        <v>2.8248587570620654E-3</v>
      </c>
      <c r="G213" s="69">
        <v>45916</v>
      </c>
      <c r="H213" s="50">
        <v>25239.099609375</v>
      </c>
      <c r="I213" s="55">
        <f t="shared" si="7"/>
        <v>6.7772563910986072E-3</v>
      </c>
    </row>
    <row r="214" spans="2:9" x14ac:dyDescent="0.25">
      <c r="B214" s="68">
        <v>45917</v>
      </c>
      <c r="C214" s="50">
        <v>5197.5</v>
      </c>
      <c r="D214" s="15">
        <f t="shared" si="6"/>
        <v>9.7134531325886453E-3</v>
      </c>
      <c r="G214" s="69">
        <v>45917</v>
      </c>
      <c r="H214" s="50">
        <v>25330.25</v>
      </c>
      <c r="I214" s="55">
        <f t="shared" si="7"/>
        <v>3.6114755294653911E-3</v>
      </c>
    </row>
    <row r="215" spans="2:9" x14ac:dyDescent="0.25">
      <c r="B215" s="68">
        <v>45918</v>
      </c>
      <c r="C215" s="50">
        <v>5144</v>
      </c>
      <c r="D215" s="15">
        <f t="shared" si="6"/>
        <v>-1.0293410293410243E-2</v>
      </c>
      <c r="G215" s="69">
        <v>45918</v>
      </c>
      <c r="H215" s="50">
        <v>25423.599609375</v>
      </c>
      <c r="I215" s="55">
        <f t="shared" si="7"/>
        <v>3.6853015416349333E-3</v>
      </c>
    </row>
    <row r="216" spans="2:9" x14ac:dyDescent="0.25">
      <c r="B216" s="68">
        <v>45919</v>
      </c>
      <c r="C216" s="50">
        <v>5080</v>
      </c>
      <c r="D216" s="15">
        <f t="shared" si="6"/>
        <v>-1.244167962674958E-2</v>
      </c>
      <c r="G216" s="69">
        <v>45919</v>
      </c>
      <c r="H216" s="50">
        <v>25327.05078125</v>
      </c>
      <c r="I216" s="55">
        <f t="shared" si="7"/>
        <v>-3.7976065391384095E-3</v>
      </c>
    </row>
    <row r="217" spans="2:9" x14ac:dyDescent="0.25">
      <c r="B217" s="68">
        <v>45922</v>
      </c>
      <c r="C217" s="50">
        <v>5010.5</v>
      </c>
      <c r="D217" s="15">
        <f t="shared" si="6"/>
        <v>-1.3681102362204767E-2</v>
      </c>
      <c r="G217" s="69">
        <v>45922</v>
      </c>
      <c r="H217" s="50">
        <v>25202.349609375</v>
      </c>
      <c r="I217" s="55">
        <f t="shared" si="7"/>
        <v>-4.9236357186648316E-3</v>
      </c>
    </row>
    <row r="218" spans="2:9" x14ac:dyDescent="0.25">
      <c r="B218" s="68">
        <v>45923</v>
      </c>
      <c r="C218" s="50">
        <v>4891</v>
      </c>
      <c r="D218" s="15">
        <f t="shared" si="6"/>
        <v>-2.3849915178125958E-2</v>
      </c>
      <c r="G218" s="69">
        <v>45923</v>
      </c>
      <c r="H218" s="50">
        <v>25169.5</v>
      </c>
      <c r="I218" s="55">
        <f t="shared" si="7"/>
        <v>-1.3034343973540308E-3</v>
      </c>
    </row>
    <row r="219" spans="2:9" x14ac:dyDescent="0.25">
      <c r="B219" s="68">
        <v>45924</v>
      </c>
      <c r="C219" s="50">
        <v>4897</v>
      </c>
      <c r="D219" s="15">
        <f t="shared" si="6"/>
        <v>1.2267429973420452E-3</v>
      </c>
      <c r="G219" s="69">
        <v>45924</v>
      </c>
      <c r="H219" s="50">
        <v>25056.900390625</v>
      </c>
      <c r="I219" s="55">
        <f t="shared" si="7"/>
        <v>-4.4736530076083802E-3</v>
      </c>
    </row>
    <row r="220" spans="2:9" x14ac:dyDescent="0.25">
      <c r="B220" s="68">
        <v>45925</v>
      </c>
      <c r="C220" s="50">
        <v>4742.5</v>
      </c>
      <c r="D220" s="15">
        <f t="shared" si="6"/>
        <v>-3.1549928527670024E-2</v>
      </c>
      <c r="G220" s="69">
        <v>45925</v>
      </c>
      <c r="H220" s="50">
        <v>24890.849609375</v>
      </c>
      <c r="I220" s="55">
        <f t="shared" si="7"/>
        <v>-6.6269482123226808E-3</v>
      </c>
    </row>
    <row r="221" spans="2:9" x14ac:dyDescent="0.25">
      <c r="B221" s="68">
        <v>45926</v>
      </c>
      <c r="C221" s="50">
        <v>4679</v>
      </c>
      <c r="D221" s="15">
        <f t="shared" si="6"/>
        <v>-1.3389562467053251E-2</v>
      </c>
      <c r="G221" s="69">
        <v>45926</v>
      </c>
      <c r="H221" s="50">
        <v>24654.69921875</v>
      </c>
      <c r="I221" s="55">
        <f t="shared" si="7"/>
        <v>-9.4874379272315013E-3</v>
      </c>
    </row>
    <row r="222" spans="2:9" x14ac:dyDescent="0.25">
      <c r="B222" s="68">
        <v>45929</v>
      </c>
      <c r="C222" s="50">
        <v>4730.5</v>
      </c>
      <c r="D222" s="15">
        <f t="shared" si="6"/>
        <v>1.1006625347296461E-2</v>
      </c>
      <c r="G222" s="69">
        <v>45929</v>
      </c>
      <c r="H222" s="50">
        <v>24634.900390625</v>
      </c>
      <c r="I222" s="55">
        <f t="shared" si="7"/>
        <v>-8.0304480494097774E-4</v>
      </c>
    </row>
    <row r="223" spans="2:9" x14ac:dyDescent="0.25">
      <c r="B223" s="68">
        <v>45930</v>
      </c>
      <c r="C223" s="50">
        <v>4677.5</v>
      </c>
      <c r="D223" s="15">
        <f t="shared" si="6"/>
        <v>-1.1203889652256604E-2</v>
      </c>
      <c r="G223" s="69">
        <v>45930</v>
      </c>
      <c r="H223" s="50">
        <v>24611.099609375</v>
      </c>
      <c r="I223" s="55">
        <f t="shared" si="7"/>
        <v>-9.6614075448253622E-4</v>
      </c>
    </row>
    <row r="224" spans="2:9" x14ac:dyDescent="0.25">
      <c r="B224" s="68">
        <v>45931</v>
      </c>
      <c r="C224" s="50">
        <v>4832</v>
      </c>
      <c r="D224" s="15">
        <f t="shared" si="6"/>
        <v>3.3030464991982811E-2</v>
      </c>
      <c r="G224" s="69">
        <v>45931</v>
      </c>
      <c r="H224" s="50">
        <v>24836.30078125</v>
      </c>
      <c r="I224" s="55">
        <f t="shared" si="7"/>
        <v>9.1503904924759016E-3</v>
      </c>
    </row>
    <row r="225" spans="2:9" x14ac:dyDescent="0.25">
      <c r="B225" s="68">
        <v>45933</v>
      </c>
      <c r="C225" s="50">
        <v>4815.7001953125</v>
      </c>
      <c r="D225" s="15">
        <f t="shared" si="6"/>
        <v>-3.373303950227613E-3</v>
      </c>
      <c r="G225" s="69">
        <v>45933</v>
      </c>
      <c r="H225" s="50">
        <v>24894.25</v>
      </c>
      <c r="I225" s="55">
        <f t="shared" si="7"/>
        <v>2.3332467769816567E-3</v>
      </c>
    </row>
    <row r="226" spans="2:9" x14ac:dyDescent="0.25">
      <c r="B226" s="68">
        <v>45936</v>
      </c>
      <c r="C226" s="50">
        <v>4777.2998046875</v>
      </c>
      <c r="D226" s="15">
        <f t="shared" si="6"/>
        <v>-7.973999432601353E-3</v>
      </c>
      <c r="G226" s="69">
        <v>45936</v>
      </c>
      <c r="H226" s="50">
        <v>25077.650390625</v>
      </c>
      <c r="I226" s="55">
        <f t="shared" si="7"/>
        <v>7.3671787912872322E-3</v>
      </c>
    </row>
    <row r="227" spans="2:9" x14ac:dyDescent="0.25">
      <c r="B227" s="68">
        <v>45937</v>
      </c>
      <c r="C227" s="50">
        <v>4686</v>
      </c>
      <c r="D227" s="15">
        <f t="shared" si="6"/>
        <v>-1.9111173344807941E-2</v>
      </c>
      <c r="G227" s="69">
        <v>45937</v>
      </c>
      <c r="H227" s="50">
        <v>25108.30078125</v>
      </c>
      <c r="I227" s="55">
        <f t="shared" si="7"/>
        <v>1.2222193924698033E-3</v>
      </c>
    </row>
    <row r="228" spans="2:9" x14ac:dyDescent="0.25">
      <c r="B228" s="68">
        <v>45938</v>
      </c>
      <c r="C228" s="50">
        <v>4616.60009765625</v>
      </c>
      <c r="D228" s="15">
        <f t="shared" si="6"/>
        <v>-1.4810051716549255E-2</v>
      </c>
      <c r="G228" s="69">
        <v>45938</v>
      </c>
      <c r="H228" s="50">
        <v>25046.150390625</v>
      </c>
      <c r="I228" s="55">
        <f t="shared" si="7"/>
        <v>-2.4752925801897474E-3</v>
      </c>
    </row>
    <row r="229" spans="2:9" x14ac:dyDescent="0.25">
      <c r="B229" s="68">
        <v>45939</v>
      </c>
      <c r="C229" s="50">
        <v>4660.89990234375</v>
      </c>
      <c r="D229" s="15">
        <f t="shared" si="6"/>
        <v>9.5957639280885854E-3</v>
      </c>
      <c r="G229" s="69">
        <v>45939</v>
      </c>
      <c r="H229" s="50">
        <v>25181.80078125</v>
      </c>
      <c r="I229" s="55">
        <f t="shared" si="7"/>
        <v>5.4160175719368819E-3</v>
      </c>
    </row>
    <row r="230" spans="2:9" x14ac:dyDescent="0.25">
      <c r="B230" s="68">
        <v>45940</v>
      </c>
      <c r="C230" s="50">
        <v>4691.10009765625</v>
      </c>
      <c r="D230" s="15">
        <f t="shared" si="6"/>
        <v>6.47947734241483E-3</v>
      </c>
      <c r="G230" s="69">
        <v>45940</v>
      </c>
      <c r="H230" s="50">
        <v>25285.349609375</v>
      </c>
      <c r="I230" s="55">
        <f t="shared" si="7"/>
        <v>4.1120501676790155E-3</v>
      </c>
    </row>
    <row r="231" spans="2:9" x14ac:dyDescent="0.25">
      <c r="B231" s="68">
        <v>45943</v>
      </c>
      <c r="C231" s="50">
        <v>4681.60009765625</v>
      </c>
      <c r="D231" s="15">
        <f t="shared" si="6"/>
        <v>-2.0251113389685438E-3</v>
      </c>
      <c r="G231" s="69">
        <v>45943</v>
      </c>
      <c r="H231" s="50">
        <v>25227.349609375</v>
      </c>
      <c r="I231" s="55">
        <f t="shared" si="7"/>
        <v>-2.2938183927065925E-3</v>
      </c>
    </row>
    <row r="232" spans="2:9" x14ac:dyDescent="0.25">
      <c r="B232" s="68">
        <v>45944</v>
      </c>
      <c r="C232" s="50">
        <v>4617.2001953125</v>
      </c>
      <c r="D232" s="15">
        <f t="shared" si="6"/>
        <v>-1.3755959714711774E-2</v>
      </c>
      <c r="G232" s="69">
        <v>45944</v>
      </c>
      <c r="H232" s="50">
        <v>25145.5</v>
      </c>
      <c r="I232" s="55">
        <f t="shared" si="7"/>
        <v>-3.2444791324643951E-3</v>
      </c>
    </row>
    <row r="233" spans="2:9" x14ac:dyDescent="0.25">
      <c r="B233" s="68">
        <v>45945</v>
      </c>
      <c r="C233" s="50">
        <v>4724.2001953125</v>
      </c>
      <c r="D233" s="15">
        <f t="shared" si="6"/>
        <v>2.3174217160570443E-2</v>
      </c>
      <c r="G233" s="69">
        <v>45945</v>
      </c>
      <c r="H233" s="50">
        <v>25323.55078125</v>
      </c>
      <c r="I233" s="55">
        <f t="shared" si="7"/>
        <v>7.0808208725219313E-3</v>
      </c>
    </row>
    <row r="234" spans="2:9" x14ac:dyDescent="0.25">
      <c r="B234" s="68">
        <v>45946</v>
      </c>
      <c r="C234" s="50">
        <v>4793.39990234375</v>
      </c>
      <c r="D234" s="15">
        <f t="shared" si="6"/>
        <v>1.4647920107177637E-2</v>
      </c>
      <c r="G234" s="69">
        <v>45946</v>
      </c>
      <c r="H234" s="50">
        <v>25585.30078125</v>
      </c>
      <c r="I234" s="55">
        <f t="shared" si="7"/>
        <v>1.0336228211479837E-2</v>
      </c>
    </row>
    <row r="235" spans="2:9" x14ac:dyDescent="0.25">
      <c r="B235" s="68">
        <v>45947</v>
      </c>
      <c r="C235" s="50">
        <v>4814.39990234375</v>
      </c>
      <c r="D235" s="15">
        <f t="shared" si="6"/>
        <v>4.3810239971282527E-3</v>
      </c>
      <c r="G235" s="69">
        <v>45947</v>
      </c>
      <c r="H235" s="50">
        <v>25709.849609375</v>
      </c>
      <c r="I235" s="55">
        <f t="shared" si="7"/>
        <v>4.8679837376106594E-3</v>
      </c>
    </row>
    <row r="236" spans="2:9" x14ac:dyDescent="0.25">
      <c r="B236" s="68">
        <v>45950</v>
      </c>
      <c r="C236" s="50">
        <v>4802.2998046875</v>
      </c>
      <c r="D236" s="15">
        <f t="shared" si="6"/>
        <v>-2.5133137881544476E-3</v>
      </c>
      <c r="G236" s="69">
        <v>45950</v>
      </c>
      <c r="H236" s="50">
        <v>25843.150390625</v>
      </c>
      <c r="I236" s="55">
        <f t="shared" si="7"/>
        <v>5.184813729964155E-3</v>
      </c>
    </row>
    <row r="237" spans="2:9" x14ac:dyDescent="0.25">
      <c r="B237" s="68">
        <v>45951</v>
      </c>
      <c r="C237" s="50">
        <v>4791.10009765625</v>
      </c>
      <c r="D237" s="15">
        <f t="shared" si="6"/>
        <v>-2.332154902182082E-3</v>
      </c>
      <c r="G237" s="69">
        <v>45951</v>
      </c>
      <c r="H237" s="50">
        <v>25868.599609375</v>
      </c>
      <c r="I237" s="55">
        <f t="shared" si="7"/>
        <v>9.8475682590271063E-4</v>
      </c>
    </row>
    <row r="238" spans="2:9" x14ac:dyDescent="0.25">
      <c r="B238" s="68">
        <v>45953</v>
      </c>
      <c r="C238" s="50">
        <v>4783.2998046875</v>
      </c>
      <c r="D238" s="15">
        <f t="shared" si="6"/>
        <v>-1.6280797332048902E-3</v>
      </c>
      <c r="G238" s="69">
        <v>45953</v>
      </c>
      <c r="H238" s="50">
        <v>25891.400390625</v>
      </c>
      <c r="I238" s="55">
        <f t="shared" si="7"/>
        <v>8.8140763683774992E-4</v>
      </c>
    </row>
    <row r="239" spans="2:9" x14ac:dyDescent="0.25">
      <c r="B239" s="68">
        <v>45954</v>
      </c>
      <c r="C239" s="50">
        <v>4789.60009765625</v>
      </c>
      <c r="D239" s="15">
        <f t="shared" si="6"/>
        <v>1.3171436510368562E-3</v>
      </c>
      <c r="G239" s="69">
        <v>45954</v>
      </c>
      <c r="H239" s="50">
        <v>25795.150390625</v>
      </c>
      <c r="I239" s="55">
        <f t="shared" si="7"/>
        <v>-3.7174505259611745E-3</v>
      </c>
    </row>
    <row r="240" spans="2:9" x14ac:dyDescent="0.25">
      <c r="B240" s="68">
        <v>45957</v>
      </c>
      <c r="C240" s="50">
        <v>4798.7001953125</v>
      </c>
      <c r="D240" s="15">
        <f t="shared" si="6"/>
        <v>1.8999702419213449E-3</v>
      </c>
      <c r="G240" s="69">
        <v>45957</v>
      </c>
      <c r="H240" s="50">
        <v>25966.05078125</v>
      </c>
      <c r="I240" s="55">
        <f t="shared" si="7"/>
        <v>6.625291500029773E-3</v>
      </c>
    </row>
    <row r="241" spans="2:9" x14ac:dyDescent="0.25">
      <c r="B241" s="68">
        <v>45958</v>
      </c>
      <c r="C241" s="50">
        <v>4725.39990234375</v>
      </c>
      <c r="D241" s="15">
        <f t="shared" si="6"/>
        <v>-1.5275030734437589E-2</v>
      </c>
      <c r="G241" s="69">
        <v>45958</v>
      </c>
      <c r="H241" s="50">
        <v>25936.19921875</v>
      </c>
      <c r="I241" s="55">
        <f t="shared" si="7"/>
        <v>-1.149638146805021E-3</v>
      </c>
    </row>
    <row r="242" spans="2:9" x14ac:dyDescent="0.25">
      <c r="B242" s="68">
        <v>45959</v>
      </c>
      <c r="C242" s="50">
        <v>4780.60009765625</v>
      </c>
      <c r="D242" s="15">
        <f t="shared" si="6"/>
        <v>1.1681592342083214E-2</v>
      </c>
      <c r="G242" s="69">
        <v>45959</v>
      </c>
      <c r="H242" s="50">
        <v>26053.900390625</v>
      </c>
      <c r="I242" s="55">
        <f t="shared" si="7"/>
        <v>4.5381040946781415E-3</v>
      </c>
    </row>
    <row r="243" spans="2:9" x14ac:dyDescent="0.25">
      <c r="B243" s="68">
        <v>45960</v>
      </c>
      <c r="C243" s="50">
        <v>4744.5</v>
      </c>
      <c r="D243" s="15">
        <f t="shared" si="6"/>
        <v>-7.5513736599613912E-3</v>
      </c>
      <c r="G243" s="69">
        <v>45960</v>
      </c>
      <c r="H243" s="50">
        <v>25877.849609375</v>
      </c>
      <c r="I243" s="55">
        <f t="shared" si="7"/>
        <v>-6.7571756478100875E-3</v>
      </c>
    </row>
    <row r="244" spans="2:9" x14ac:dyDescent="0.25">
      <c r="B244" s="68">
        <v>45961</v>
      </c>
      <c r="C244" s="50">
        <v>4694.2998046875</v>
      </c>
      <c r="D244" s="15">
        <f t="shared" si="6"/>
        <v>-1.0580713523553609E-2</v>
      </c>
      <c r="G244" s="69">
        <v>45961</v>
      </c>
      <c r="H244" s="50">
        <v>25722.099609375</v>
      </c>
      <c r="I244" s="55">
        <f t="shared" si="7"/>
        <v>-6.0186608373972161E-3</v>
      </c>
    </row>
    <row r="245" spans="2:9" x14ac:dyDescent="0.25">
      <c r="B245" s="68">
        <v>45964</v>
      </c>
      <c r="C245" s="50">
        <v>4713.39990234375</v>
      </c>
      <c r="D245" s="15">
        <f t="shared" si="6"/>
        <v>4.06878521844245E-3</v>
      </c>
      <c r="G245" s="69">
        <v>45964</v>
      </c>
      <c r="H245" s="50">
        <v>25763.349609375</v>
      </c>
      <c r="I245" s="55">
        <f t="shared" si="7"/>
        <v>1.6036793506921665E-3</v>
      </c>
    </row>
    <row r="246" spans="2:9" x14ac:dyDescent="0.25">
      <c r="B246" s="68">
        <v>45965</v>
      </c>
      <c r="C246" s="50">
        <v>4660.60009765625</v>
      </c>
      <c r="D246" s="15">
        <f t="shared" si="6"/>
        <v>-1.1202063432225517E-2</v>
      </c>
      <c r="G246" s="69">
        <v>45965</v>
      </c>
      <c r="H246" s="50">
        <v>25597.650390625</v>
      </c>
      <c r="I246" s="55">
        <f t="shared" si="7"/>
        <v>-6.431586779760301E-3</v>
      </c>
    </row>
    <row r="247" spans="2:9" x14ac:dyDescent="0.25">
      <c r="B247" s="68">
        <v>45966</v>
      </c>
      <c r="C247" s="50">
        <v>4660.60009765625</v>
      </c>
      <c r="D247" s="15">
        <f t="shared" si="6"/>
        <v>0</v>
      </c>
      <c r="G247" s="69">
        <v>45967</v>
      </c>
      <c r="H247" s="50">
        <v>25509.69921875</v>
      </c>
      <c r="I247" s="55">
        <f t="shared" si="7"/>
        <v>-3.4359080045569534E-3</v>
      </c>
    </row>
    <row r="248" spans="2:9" x14ac:dyDescent="0.25">
      <c r="B248" s="68">
        <v>45967</v>
      </c>
      <c r="C248" s="50">
        <v>4679.2001953125</v>
      </c>
      <c r="D248" s="15">
        <f t="shared" si="6"/>
        <v>3.9909233288657475E-3</v>
      </c>
      <c r="G248" s="69">
        <v>45968</v>
      </c>
      <c r="H248" s="50">
        <v>25492.30078125</v>
      </c>
      <c r="I248" s="55">
        <f t="shared" si="7"/>
        <v>-6.8203224784446626E-4</v>
      </c>
    </row>
    <row r="249" spans="2:9" x14ac:dyDescent="0.25">
      <c r="B249" s="68">
        <v>45968</v>
      </c>
      <c r="C249" s="50">
        <v>4627.2998046875</v>
      </c>
      <c r="D249" s="15">
        <f t="shared" si="6"/>
        <v>-1.1091722614687938E-2</v>
      </c>
      <c r="G249" s="69">
        <v>45971</v>
      </c>
      <c r="H249" s="50">
        <v>25574.349609375</v>
      </c>
      <c r="I249" s="55">
        <f t="shared" si="7"/>
        <v>3.2185728871263475E-3</v>
      </c>
    </row>
    <row r="250" spans="2:9" x14ac:dyDescent="0.25">
      <c r="B250" s="68">
        <v>45971</v>
      </c>
      <c r="C250" s="50">
        <v>4283.7001953125</v>
      </c>
      <c r="D250" s="15">
        <f t="shared" si="6"/>
        <v>-7.4254883815163653E-2</v>
      </c>
      <c r="G250" s="69">
        <v>45972</v>
      </c>
      <c r="H250" s="50">
        <v>25694.94921875</v>
      </c>
      <c r="I250" s="55">
        <f t="shared" si="7"/>
        <v>4.7156471705849246E-3</v>
      </c>
    </row>
    <row r="251" spans="2:9" x14ac:dyDescent="0.25">
      <c r="B251" s="68">
        <v>45972</v>
      </c>
      <c r="C251" s="50">
        <v>4315.7998046875</v>
      </c>
      <c r="D251" s="15">
        <f t="shared" si="6"/>
        <v>7.493430424968972E-3</v>
      </c>
      <c r="G251" s="69">
        <v>45973</v>
      </c>
      <c r="H251" s="50">
        <v>25875.80078125</v>
      </c>
      <c r="I251" s="55">
        <f t="shared" si="7"/>
        <v>7.0384090258497345E-3</v>
      </c>
    </row>
    <row r="252" spans="2:9" x14ac:dyDescent="0.25">
      <c r="B252" s="68">
        <v>45973</v>
      </c>
      <c r="C252" s="50">
        <v>4375.7998046875</v>
      </c>
      <c r="D252" s="15">
        <f t="shared" si="6"/>
        <v>1.3902405745241486E-2</v>
      </c>
      <c r="G252" s="69">
        <v>45974</v>
      </c>
      <c r="H252" s="50">
        <v>25879.150390625</v>
      </c>
      <c r="I252" s="55">
        <f t="shared" si="7"/>
        <v>1.2944949620363744E-4</v>
      </c>
    </row>
    <row r="253" spans="2:9" x14ac:dyDescent="0.25">
      <c r="B253" s="68">
        <v>45974</v>
      </c>
      <c r="C253" s="50">
        <v>4326.39990234375</v>
      </c>
      <c r="D253" s="15">
        <f t="shared" si="6"/>
        <v>-1.1289342417089343E-2</v>
      </c>
      <c r="G253" s="69">
        <v>45975</v>
      </c>
      <c r="H253" s="50">
        <v>25910.05078125</v>
      </c>
      <c r="I253" s="55">
        <f t="shared" si="7"/>
        <v>1.194026471448284E-3</v>
      </c>
    </row>
    <row r="254" spans="2:9" x14ac:dyDescent="0.25">
      <c r="B254" s="68">
        <v>45975</v>
      </c>
      <c r="C254" s="50">
        <v>4391.2001953125</v>
      </c>
      <c r="D254" s="15"/>
    </row>
    <row r="255" spans="2:9" x14ac:dyDescent="0.25">
      <c r="B255" s="68"/>
      <c r="C255" s="67"/>
      <c r="D255" s="15"/>
    </row>
    <row r="256" spans="2:9" x14ac:dyDescent="0.25">
      <c r="B256" s="68"/>
      <c r="C256" s="67"/>
      <c r="D256" s="15"/>
    </row>
    <row r="257" spans="2:4" x14ac:dyDescent="0.25">
      <c r="B257" s="68"/>
      <c r="C257" s="67"/>
      <c r="D257" s="15"/>
    </row>
    <row r="258" spans="2:4" x14ac:dyDescent="0.25">
      <c r="B258" s="68"/>
      <c r="C258" s="67"/>
      <c r="D258" s="15"/>
    </row>
    <row r="259" spans="2:4" x14ac:dyDescent="0.25">
      <c r="B259" s="68"/>
      <c r="C259" s="67"/>
      <c r="D259" s="15"/>
    </row>
    <row r="260" spans="2:4" x14ac:dyDescent="0.25">
      <c r="B260" s="68"/>
      <c r="C260" s="50"/>
      <c r="D260" s="15"/>
    </row>
    <row r="261" spans="2:4" x14ac:dyDescent="0.25">
      <c r="B261" s="68"/>
      <c r="C261" s="50"/>
      <c r="D261" s="15"/>
    </row>
    <row r="262" spans="2:4" x14ac:dyDescent="0.25">
      <c r="B262" s="68"/>
      <c r="C262" s="50"/>
      <c r="D262" s="15"/>
    </row>
    <row r="263" spans="2:4" x14ac:dyDescent="0.25">
      <c r="B263" s="68"/>
      <c r="C263" s="50"/>
      <c r="D263" s="15"/>
    </row>
    <row r="264" spans="2:4" x14ac:dyDescent="0.25">
      <c r="B264" s="68"/>
      <c r="C264" s="50"/>
      <c r="D264" s="15"/>
    </row>
    <row r="265" spans="2:4" x14ac:dyDescent="0.25">
      <c r="B265" s="68"/>
      <c r="C265" s="50"/>
      <c r="D265" s="15"/>
    </row>
    <row r="266" spans="2:4" x14ac:dyDescent="0.25">
      <c r="B266" s="68"/>
      <c r="C266" s="50"/>
      <c r="D266" s="15"/>
    </row>
    <row r="267" spans="2:4" x14ac:dyDescent="0.25">
      <c r="B267" s="68"/>
      <c r="C267" s="50"/>
      <c r="D267" s="15"/>
    </row>
    <row r="268" spans="2:4" x14ac:dyDescent="0.25">
      <c r="B268" s="68"/>
      <c r="C268" s="50"/>
      <c r="D268" s="15"/>
    </row>
    <row r="269" spans="2:4" x14ac:dyDescent="0.25">
      <c r="B269" s="68"/>
      <c r="C269" s="50"/>
      <c r="D269" s="15"/>
    </row>
    <row r="270" spans="2:4" x14ac:dyDescent="0.25">
      <c r="B270" s="68"/>
      <c r="C270" s="50"/>
      <c r="D270" s="15"/>
    </row>
    <row r="271" spans="2:4" x14ac:dyDescent="0.25">
      <c r="B271" s="68"/>
      <c r="C271" s="50"/>
      <c r="D271" s="15"/>
    </row>
    <row r="272" spans="2:4" x14ac:dyDescent="0.25">
      <c r="B272" s="68"/>
      <c r="C272" s="50"/>
      <c r="D272" s="15"/>
    </row>
    <row r="273" spans="2:4" x14ac:dyDescent="0.25">
      <c r="B273" s="68"/>
      <c r="C273" s="50"/>
      <c r="D273" s="15"/>
    </row>
    <row r="274" spans="2:4" x14ac:dyDescent="0.25">
      <c r="B274" s="68"/>
      <c r="C274" s="50"/>
      <c r="D274" s="15"/>
    </row>
    <row r="275" spans="2:4" x14ac:dyDescent="0.25">
      <c r="B275" s="68"/>
      <c r="C275" s="50"/>
      <c r="D275" s="15"/>
    </row>
    <row r="276" spans="2:4" x14ac:dyDescent="0.25">
      <c r="B276" s="68"/>
      <c r="C276" s="50"/>
      <c r="D276" s="15"/>
    </row>
    <row r="277" spans="2:4" x14ac:dyDescent="0.25">
      <c r="B277" s="68"/>
      <c r="C277" s="50"/>
      <c r="D277" s="15"/>
    </row>
    <row r="278" spans="2:4" x14ac:dyDescent="0.25">
      <c r="B278" s="68"/>
      <c r="C278" s="50"/>
      <c r="D278" s="15"/>
    </row>
    <row r="279" spans="2:4" x14ac:dyDescent="0.25">
      <c r="B279" s="68"/>
      <c r="C279" s="50"/>
      <c r="D279" s="15"/>
    </row>
    <row r="280" spans="2:4" x14ac:dyDescent="0.25">
      <c r="B280" s="68"/>
      <c r="C280" s="50"/>
      <c r="D280" s="15"/>
    </row>
    <row r="281" spans="2:4" x14ac:dyDescent="0.25">
      <c r="B281" s="68"/>
      <c r="C281" s="50"/>
      <c r="D281" s="15"/>
    </row>
    <row r="282" spans="2:4" x14ac:dyDescent="0.25">
      <c r="B282" s="68"/>
      <c r="C282" s="50"/>
      <c r="D282" s="15"/>
    </row>
    <row r="283" spans="2:4" x14ac:dyDescent="0.25">
      <c r="B283" s="68"/>
      <c r="C283" s="50"/>
      <c r="D283" s="15"/>
    </row>
    <row r="284" spans="2:4" x14ac:dyDescent="0.25">
      <c r="B284" s="68"/>
      <c r="C284" s="50"/>
      <c r="D284" s="15"/>
    </row>
    <row r="285" spans="2:4" x14ac:dyDescent="0.25">
      <c r="B285" s="68"/>
      <c r="C285" s="50"/>
      <c r="D285" s="15"/>
    </row>
    <row r="286" spans="2:4" x14ac:dyDescent="0.25">
      <c r="B286" s="68"/>
      <c r="C286" s="50"/>
      <c r="D286" s="15"/>
    </row>
    <row r="287" spans="2:4" x14ac:dyDescent="0.25">
      <c r="B287" s="68"/>
      <c r="C287" s="50"/>
      <c r="D287" s="15"/>
    </row>
    <row r="288" spans="2:4" x14ac:dyDescent="0.25">
      <c r="B288" s="68"/>
      <c r="C288" s="50"/>
      <c r="D288" s="15"/>
    </row>
    <row r="289" spans="2:4" x14ac:dyDescent="0.25">
      <c r="B289" s="68"/>
      <c r="C289" s="50"/>
      <c r="D289" s="15"/>
    </row>
    <row r="290" spans="2:4" x14ac:dyDescent="0.25">
      <c r="B290" s="68"/>
      <c r="C290" s="50"/>
      <c r="D290" s="15"/>
    </row>
    <row r="291" spans="2:4" x14ac:dyDescent="0.25">
      <c r="B291" s="68"/>
      <c r="C291" s="50"/>
      <c r="D291" s="15"/>
    </row>
    <row r="292" spans="2:4" x14ac:dyDescent="0.25">
      <c r="B292" s="68"/>
      <c r="C292" s="50"/>
      <c r="D292" s="15"/>
    </row>
    <row r="293" spans="2:4" x14ac:dyDescent="0.25">
      <c r="B293" s="68"/>
      <c r="C293" s="50"/>
      <c r="D293" s="15"/>
    </row>
    <row r="294" spans="2:4" x14ac:dyDescent="0.25">
      <c r="B294" s="68"/>
      <c r="C294" s="50"/>
      <c r="D294" s="15"/>
    </row>
    <row r="295" spans="2:4" x14ac:dyDescent="0.25">
      <c r="B295" s="68"/>
      <c r="C295" s="50"/>
      <c r="D295" s="15"/>
    </row>
    <row r="296" spans="2:4" x14ac:dyDescent="0.25">
      <c r="B296" s="68"/>
      <c r="C296" s="50"/>
      <c r="D296" s="15"/>
    </row>
    <row r="297" spans="2:4" x14ac:dyDescent="0.25">
      <c r="B297" s="68"/>
      <c r="C297" s="50"/>
      <c r="D297" s="15"/>
    </row>
    <row r="298" spans="2:4" x14ac:dyDescent="0.25">
      <c r="B298" s="68"/>
      <c r="C298" s="50"/>
      <c r="D298" s="15"/>
    </row>
    <row r="299" spans="2:4" x14ac:dyDescent="0.25">
      <c r="B299" s="68"/>
      <c r="C299" s="50"/>
      <c r="D299" s="15"/>
    </row>
    <row r="300" spans="2:4" x14ac:dyDescent="0.25">
      <c r="B300" s="68"/>
      <c r="C300" s="50"/>
      <c r="D300" s="15"/>
    </row>
    <row r="301" spans="2:4" x14ac:dyDescent="0.25">
      <c r="B301" s="68"/>
      <c r="C301" s="50"/>
      <c r="D301" s="15"/>
    </row>
    <row r="302" spans="2:4" x14ac:dyDescent="0.25">
      <c r="B302" s="68"/>
      <c r="C302" s="50"/>
      <c r="D302" s="15"/>
    </row>
    <row r="303" spans="2:4" x14ac:dyDescent="0.25">
      <c r="B303" s="68"/>
      <c r="C303" s="50"/>
      <c r="D303" s="15"/>
    </row>
    <row r="304" spans="2:4" x14ac:dyDescent="0.25">
      <c r="B304" s="68"/>
      <c r="C304" s="50"/>
      <c r="D304" s="15"/>
    </row>
    <row r="305" spans="2:4" x14ac:dyDescent="0.25">
      <c r="B305" s="68"/>
      <c r="C305" s="50"/>
      <c r="D305" s="15"/>
    </row>
    <row r="306" spans="2:4" x14ac:dyDescent="0.25">
      <c r="B306" s="68"/>
      <c r="C306" s="50"/>
      <c r="D306" s="15"/>
    </row>
    <row r="307" spans="2:4" x14ac:dyDescent="0.25">
      <c r="B307" s="68"/>
      <c r="C307" s="50"/>
      <c r="D307" s="15"/>
    </row>
    <row r="308" spans="2:4" x14ac:dyDescent="0.25">
      <c r="B308" s="68"/>
      <c r="C308" s="50"/>
      <c r="D308" s="15"/>
    </row>
    <row r="309" spans="2:4" x14ac:dyDescent="0.25">
      <c r="B309" s="68"/>
      <c r="C309" s="50"/>
      <c r="D309" s="15"/>
    </row>
    <row r="310" spans="2:4" x14ac:dyDescent="0.25">
      <c r="B310" s="68"/>
      <c r="C310" s="50"/>
      <c r="D310" s="15"/>
    </row>
    <row r="311" spans="2:4" x14ac:dyDescent="0.25">
      <c r="B311" s="68"/>
      <c r="C311" s="50"/>
      <c r="D311" s="15"/>
    </row>
    <row r="312" spans="2:4" x14ac:dyDescent="0.25">
      <c r="B312" s="68"/>
      <c r="C312" s="50"/>
      <c r="D312" s="15"/>
    </row>
    <row r="313" spans="2:4" x14ac:dyDescent="0.25">
      <c r="B313" s="68"/>
      <c r="C313" s="50"/>
      <c r="D313" s="15"/>
    </row>
    <row r="314" spans="2:4" x14ac:dyDescent="0.25">
      <c r="B314" s="68"/>
      <c r="C314" s="50"/>
      <c r="D314" s="15"/>
    </row>
    <row r="315" spans="2:4" x14ac:dyDescent="0.25">
      <c r="B315" s="68"/>
      <c r="C315" s="50"/>
      <c r="D315" s="15"/>
    </row>
    <row r="316" spans="2:4" x14ac:dyDescent="0.25">
      <c r="B316" s="68"/>
      <c r="C316" s="50"/>
      <c r="D316" s="15"/>
    </row>
    <row r="317" spans="2:4" x14ac:dyDescent="0.25">
      <c r="B317" s="68"/>
      <c r="C317" s="50"/>
      <c r="D317" s="15"/>
    </row>
    <row r="318" spans="2:4" x14ac:dyDescent="0.25">
      <c r="B318" s="68"/>
      <c r="C318" s="50"/>
      <c r="D318" s="15"/>
    </row>
    <row r="319" spans="2:4" x14ac:dyDescent="0.25">
      <c r="B319" s="68"/>
      <c r="C319" s="50"/>
      <c r="D319" s="15"/>
    </row>
    <row r="320" spans="2:4" x14ac:dyDescent="0.25">
      <c r="B320" s="68"/>
      <c r="C320" s="50"/>
      <c r="D320" s="15"/>
    </row>
    <row r="321" spans="2:4" x14ac:dyDescent="0.25">
      <c r="B321" s="68"/>
      <c r="C321" s="50"/>
      <c r="D321" s="15"/>
    </row>
    <row r="322" spans="2:4" x14ac:dyDescent="0.25">
      <c r="B322" s="68"/>
      <c r="C322" s="50"/>
      <c r="D322" s="15"/>
    </row>
    <row r="323" spans="2:4" x14ac:dyDescent="0.25">
      <c r="B323" s="68"/>
      <c r="C323" s="50"/>
      <c r="D323" s="15"/>
    </row>
    <row r="324" spans="2:4" x14ac:dyDescent="0.25">
      <c r="B324" s="68"/>
      <c r="C324" s="50"/>
      <c r="D324" s="15"/>
    </row>
    <row r="325" spans="2:4" x14ac:dyDescent="0.25">
      <c r="B325" s="68"/>
      <c r="C325" s="50"/>
      <c r="D325" s="15"/>
    </row>
    <row r="326" spans="2:4" x14ac:dyDescent="0.25">
      <c r="B326" s="68"/>
      <c r="C326" s="50"/>
      <c r="D326" s="15"/>
    </row>
    <row r="327" spans="2:4" x14ac:dyDescent="0.25">
      <c r="B327" s="68"/>
      <c r="C327" s="50"/>
      <c r="D327" s="15"/>
    </row>
    <row r="328" spans="2:4" x14ac:dyDescent="0.25">
      <c r="B328" s="68"/>
      <c r="C328" s="50"/>
      <c r="D328" s="15"/>
    </row>
    <row r="329" spans="2:4" x14ac:dyDescent="0.25">
      <c r="B329" s="68"/>
      <c r="C329" s="50"/>
      <c r="D329" s="15"/>
    </row>
    <row r="330" spans="2:4" x14ac:dyDescent="0.25">
      <c r="B330" s="68"/>
      <c r="C330" s="50"/>
      <c r="D330" s="15"/>
    </row>
    <row r="331" spans="2:4" x14ac:dyDescent="0.25">
      <c r="B331" s="68"/>
      <c r="C331" s="50"/>
      <c r="D331" s="15"/>
    </row>
    <row r="332" spans="2:4" x14ac:dyDescent="0.25">
      <c r="B332" s="68"/>
      <c r="C332" s="50"/>
      <c r="D332" s="15"/>
    </row>
    <row r="333" spans="2:4" x14ac:dyDescent="0.25">
      <c r="B333" s="68"/>
      <c r="C333" s="50"/>
      <c r="D333" s="15"/>
    </row>
    <row r="334" spans="2:4" x14ac:dyDescent="0.25">
      <c r="B334" s="68"/>
      <c r="C334" s="50"/>
      <c r="D334" s="15"/>
    </row>
    <row r="335" spans="2:4" x14ac:dyDescent="0.25">
      <c r="B335" s="68"/>
      <c r="C335" s="50"/>
      <c r="D335" s="15"/>
    </row>
    <row r="336" spans="2:4" x14ac:dyDescent="0.25">
      <c r="B336" s="68"/>
      <c r="C336" s="50"/>
      <c r="D336" s="15"/>
    </row>
    <row r="337" spans="2:4" x14ac:dyDescent="0.25">
      <c r="B337" s="68"/>
      <c r="C337" s="50"/>
      <c r="D337" s="15"/>
    </row>
    <row r="338" spans="2:4" x14ac:dyDescent="0.25">
      <c r="B338" s="68"/>
      <c r="C338" s="50"/>
      <c r="D338" s="15"/>
    </row>
    <row r="339" spans="2:4" x14ac:dyDescent="0.25">
      <c r="B339" s="68"/>
      <c r="C339" s="50"/>
      <c r="D339" s="15"/>
    </row>
    <row r="340" spans="2:4" x14ac:dyDescent="0.25">
      <c r="B340" s="68"/>
      <c r="C340" s="50"/>
      <c r="D340" s="15"/>
    </row>
    <row r="341" spans="2:4" x14ac:dyDescent="0.25">
      <c r="B341" s="68"/>
      <c r="C341" s="50"/>
      <c r="D341" s="15"/>
    </row>
    <row r="342" spans="2:4" x14ac:dyDescent="0.25">
      <c r="B342" s="68"/>
      <c r="C342" s="50"/>
      <c r="D342" s="15"/>
    </row>
    <row r="343" spans="2:4" x14ac:dyDescent="0.25">
      <c r="B343" s="68"/>
      <c r="C343" s="50"/>
      <c r="D343" s="15"/>
    </row>
    <row r="344" spans="2:4" x14ac:dyDescent="0.25">
      <c r="B344" s="68"/>
      <c r="C344" s="50"/>
      <c r="D344" s="15"/>
    </row>
    <row r="345" spans="2:4" x14ac:dyDescent="0.25">
      <c r="B345" s="68"/>
      <c r="C345" s="50"/>
      <c r="D345" s="15"/>
    </row>
    <row r="346" spans="2:4" x14ac:dyDescent="0.25">
      <c r="B346" s="68"/>
      <c r="C346" s="50"/>
      <c r="D346" s="15"/>
    </row>
    <row r="347" spans="2:4" x14ac:dyDescent="0.25">
      <c r="B347" s="68"/>
      <c r="C347" s="50"/>
      <c r="D347" s="15"/>
    </row>
    <row r="348" spans="2:4" x14ac:dyDescent="0.25">
      <c r="B348" s="68"/>
      <c r="C348" s="50"/>
      <c r="D348" s="15"/>
    </row>
    <row r="349" spans="2:4" x14ac:dyDescent="0.25">
      <c r="B349" s="68"/>
      <c r="C349" s="50"/>
      <c r="D349" s="15"/>
    </row>
    <row r="350" spans="2:4" x14ac:dyDescent="0.25">
      <c r="B350" s="68"/>
      <c r="C350" s="50"/>
      <c r="D350" s="15"/>
    </row>
    <row r="351" spans="2:4" x14ac:dyDescent="0.25">
      <c r="B351" s="68"/>
      <c r="C351" s="50"/>
      <c r="D351" s="15"/>
    </row>
    <row r="352" spans="2:4" x14ac:dyDescent="0.25">
      <c r="B352" s="68"/>
      <c r="C352" s="50"/>
      <c r="D352" s="15"/>
    </row>
    <row r="353" spans="2:4" x14ac:dyDescent="0.25">
      <c r="B353" s="68"/>
      <c r="C353" s="50"/>
      <c r="D353" s="15"/>
    </row>
    <row r="354" spans="2:4" x14ac:dyDescent="0.25">
      <c r="B354" s="68"/>
      <c r="C354" s="50"/>
      <c r="D354" s="15"/>
    </row>
    <row r="355" spans="2:4" x14ac:dyDescent="0.25">
      <c r="B355" s="68"/>
      <c r="C355" s="50"/>
      <c r="D355" s="15"/>
    </row>
    <row r="356" spans="2:4" x14ac:dyDescent="0.25">
      <c r="B356" s="68"/>
      <c r="C356" s="50"/>
      <c r="D356" s="15"/>
    </row>
    <row r="357" spans="2:4" x14ac:dyDescent="0.25">
      <c r="B357" s="68"/>
      <c r="C357" s="50"/>
      <c r="D357" s="15"/>
    </row>
    <row r="358" spans="2:4" x14ac:dyDescent="0.25">
      <c r="B358" s="68"/>
      <c r="C358" s="50"/>
      <c r="D358" s="15"/>
    </row>
    <row r="359" spans="2:4" x14ac:dyDescent="0.25">
      <c r="B359" s="68"/>
      <c r="C359" s="50"/>
      <c r="D359" s="15"/>
    </row>
    <row r="360" spans="2:4" x14ac:dyDescent="0.25">
      <c r="B360" s="68"/>
      <c r="C360" s="50"/>
      <c r="D360" s="15"/>
    </row>
    <row r="361" spans="2:4" x14ac:dyDescent="0.25">
      <c r="B361" s="68"/>
      <c r="C361" s="50"/>
      <c r="D361" s="15"/>
    </row>
    <row r="362" spans="2:4" x14ac:dyDescent="0.25">
      <c r="B362" s="68"/>
      <c r="C362" s="50"/>
      <c r="D362" s="15"/>
    </row>
    <row r="363" spans="2:4" x14ac:dyDescent="0.25">
      <c r="B363" s="68"/>
      <c r="C363" s="50"/>
      <c r="D363" s="15"/>
    </row>
    <row r="364" spans="2:4" x14ac:dyDescent="0.25">
      <c r="B364" s="68"/>
      <c r="C364" s="50"/>
      <c r="D364" s="15"/>
    </row>
    <row r="365" spans="2:4" x14ac:dyDescent="0.25">
      <c r="B365" s="68"/>
      <c r="C365" s="50"/>
      <c r="D365" s="15"/>
    </row>
    <row r="366" spans="2:4" x14ac:dyDescent="0.25">
      <c r="B366" s="68"/>
      <c r="C366" s="50"/>
      <c r="D366" s="15"/>
    </row>
    <row r="367" spans="2:4" x14ac:dyDescent="0.25">
      <c r="B367" s="68"/>
      <c r="C367" s="50"/>
      <c r="D367" s="15"/>
    </row>
    <row r="368" spans="2:4" x14ac:dyDescent="0.25">
      <c r="B368" s="68"/>
      <c r="C368" s="50"/>
      <c r="D368" s="15"/>
    </row>
    <row r="369" spans="2:4" x14ac:dyDescent="0.25">
      <c r="B369" s="68"/>
      <c r="C369" s="50"/>
      <c r="D369" s="15"/>
    </row>
    <row r="370" spans="2:4" x14ac:dyDescent="0.25">
      <c r="B370" s="68"/>
      <c r="C370" s="50"/>
      <c r="D370" s="15"/>
    </row>
    <row r="371" spans="2:4" x14ac:dyDescent="0.25">
      <c r="B371" s="68"/>
      <c r="C371" s="50"/>
      <c r="D371" s="15"/>
    </row>
    <row r="372" spans="2:4" x14ac:dyDescent="0.25">
      <c r="B372" s="68"/>
      <c r="C372" s="50"/>
      <c r="D372" s="15"/>
    </row>
    <row r="373" spans="2:4" x14ac:dyDescent="0.25">
      <c r="B373" s="68"/>
      <c r="C373" s="50"/>
      <c r="D373" s="15"/>
    </row>
    <row r="374" spans="2:4" x14ac:dyDescent="0.25">
      <c r="B374" s="68"/>
      <c r="C374" s="50"/>
      <c r="D374" s="15"/>
    </row>
    <row r="375" spans="2:4" x14ac:dyDescent="0.25">
      <c r="B375" s="68"/>
      <c r="C375" s="50"/>
      <c r="D375" s="15"/>
    </row>
    <row r="376" spans="2:4" x14ac:dyDescent="0.25">
      <c r="B376" s="68"/>
      <c r="C376" s="50"/>
      <c r="D376" s="15"/>
    </row>
    <row r="377" spans="2:4" x14ac:dyDescent="0.25">
      <c r="B377" s="68"/>
      <c r="C377" s="50"/>
      <c r="D377" s="15"/>
    </row>
    <row r="378" spans="2:4" x14ac:dyDescent="0.25">
      <c r="B378" s="68"/>
      <c r="C378" s="50"/>
      <c r="D378" s="15"/>
    </row>
    <row r="379" spans="2:4" x14ac:dyDescent="0.25">
      <c r="B379" s="68"/>
      <c r="C379" s="50"/>
      <c r="D379" s="15"/>
    </row>
    <row r="380" spans="2:4" x14ac:dyDescent="0.25">
      <c r="B380" s="68"/>
      <c r="C380" s="50"/>
      <c r="D380" s="15"/>
    </row>
    <row r="381" spans="2:4" x14ac:dyDescent="0.25">
      <c r="B381" s="68"/>
      <c r="C381" s="50"/>
      <c r="D381" s="15"/>
    </row>
    <row r="382" spans="2:4" x14ac:dyDescent="0.25">
      <c r="B382" s="68"/>
      <c r="C382" s="50"/>
      <c r="D382" s="15"/>
    </row>
    <row r="383" spans="2:4" x14ac:dyDescent="0.25">
      <c r="B383" s="68"/>
      <c r="C383" s="50"/>
      <c r="D383" s="15"/>
    </row>
    <row r="384" spans="2:4" x14ac:dyDescent="0.25">
      <c r="B384" s="68"/>
      <c r="C384" s="50"/>
      <c r="D384" s="15"/>
    </row>
    <row r="385" spans="2:4" x14ac:dyDescent="0.25">
      <c r="B385" s="68"/>
      <c r="C385" s="50"/>
      <c r="D385" s="15"/>
    </row>
    <row r="386" spans="2:4" x14ac:dyDescent="0.25">
      <c r="B386" s="68"/>
      <c r="C386" s="50"/>
      <c r="D386" s="15"/>
    </row>
    <row r="387" spans="2:4" x14ac:dyDescent="0.25">
      <c r="B387" s="68"/>
      <c r="C387" s="50"/>
      <c r="D387" s="15"/>
    </row>
    <row r="388" spans="2:4" x14ac:dyDescent="0.25">
      <c r="B388" s="68"/>
      <c r="C388" s="50"/>
      <c r="D388" s="15"/>
    </row>
    <row r="389" spans="2:4" x14ac:dyDescent="0.25">
      <c r="B389" s="68"/>
      <c r="C389" s="50"/>
      <c r="D389" s="15"/>
    </row>
    <row r="390" spans="2:4" x14ac:dyDescent="0.25">
      <c r="B390" s="68"/>
      <c r="C390" s="50"/>
      <c r="D390" s="15"/>
    </row>
    <row r="391" spans="2:4" x14ac:dyDescent="0.25">
      <c r="B391" s="68"/>
      <c r="C391" s="50"/>
      <c r="D391" s="15"/>
    </row>
    <row r="392" spans="2:4" x14ac:dyDescent="0.25">
      <c r="B392" s="68"/>
      <c r="C392" s="50"/>
      <c r="D392" s="15"/>
    </row>
    <row r="393" spans="2:4" x14ac:dyDescent="0.25">
      <c r="B393" s="68"/>
      <c r="C393" s="50"/>
      <c r="D393" s="15"/>
    </row>
    <row r="394" spans="2:4" x14ac:dyDescent="0.25">
      <c r="B394" s="68"/>
      <c r="C394" s="50"/>
      <c r="D394" s="15"/>
    </row>
    <row r="395" spans="2:4" x14ac:dyDescent="0.25">
      <c r="B395" s="68"/>
      <c r="C395" s="50"/>
      <c r="D395" s="15"/>
    </row>
    <row r="396" spans="2:4" x14ac:dyDescent="0.25">
      <c r="B396" s="68"/>
      <c r="C396" s="50"/>
      <c r="D396" s="15"/>
    </row>
    <row r="397" spans="2:4" x14ac:dyDescent="0.25">
      <c r="B397" s="68"/>
      <c r="C397" s="50"/>
      <c r="D397" s="15"/>
    </row>
    <row r="398" spans="2:4" x14ac:dyDescent="0.25">
      <c r="B398" s="68"/>
      <c r="C398" s="50"/>
      <c r="D398" s="15"/>
    </row>
    <row r="399" spans="2:4" x14ac:dyDescent="0.25">
      <c r="B399" s="68"/>
      <c r="C399" s="50"/>
      <c r="D399" s="15"/>
    </row>
    <row r="400" spans="2:4" x14ac:dyDescent="0.25">
      <c r="B400" s="68"/>
      <c r="C400" s="50"/>
      <c r="D400" s="15"/>
    </row>
    <row r="401" spans="2:4" x14ac:dyDescent="0.25">
      <c r="B401" s="68"/>
      <c r="C401" s="50"/>
      <c r="D401" s="15"/>
    </row>
    <row r="402" spans="2:4" x14ac:dyDescent="0.25">
      <c r="B402" s="68"/>
      <c r="C402" s="50"/>
      <c r="D402" s="15"/>
    </row>
    <row r="403" spans="2:4" x14ac:dyDescent="0.25">
      <c r="B403" s="68"/>
      <c r="C403" s="50"/>
      <c r="D403" s="15"/>
    </row>
    <row r="404" spans="2:4" x14ac:dyDescent="0.25">
      <c r="B404" s="68"/>
      <c r="C404" s="50"/>
      <c r="D404" s="15"/>
    </row>
    <row r="405" spans="2:4" x14ac:dyDescent="0.25">
      <c r="B405" s="68"/>
      <c r="C405" s="50"/>
      <c r="D405" s="15"/>
    </row>
    <row r="406" spans="2:4" x14ac:dyDescent="0.25">
      <c r="B406" s="68"/>
      <c r="C406" s="50"/>
      <c r="D406" s="15"/>
    </row>
    <row r="407" spans="2:4" x14ac:dyDescent="0.25">
      <c r="B407" s="68"/>
      <c r="C407" s="50"/>
      <c r="D407" s="15"/>
    </row>
    <row r="408" spans="2:4" x14ac:dyDescent="0.25">
      <c r="B408" s="68"/>
      <c r="C408" s="50"/>
      <c r="D408" s="15"/>
    </row>
    <row r="409" spans="2:4" x14ac:dyDescent="0.25">
      <c r="B409" s="68"/>
      <c r="C409" s="50"/>
      <c r="D409" s="15"/>
    </row>
    <row r="410" spans="2:4" x14ac:dyDescent="0.25">
      <c r="B410" s="68"/>
      <c r="C410" s="50"/>
      <c r="D410" s="15"/>
    </row>
    <row r="411" spans="2:4" x14ac:dyDescent="0.25">
      <c r="B411" s="68"/>
      <c r="C411" s="50"/>
      <c r="D411" s="15"/>
    </row>
    <row r="412" spans="2:4" x14ac:dyDescent="0.25">
      <c r="B412" s="68"/>
      <c r="C412" s="50"/>
      <c r="D412" s="15"/>
    </row>
    <row r="413" spans="2:4" x14ac:dyDescent="0.25">
      <c r="B413" s="68"/>
      <c r="C413" s="50"/>
      <c r="D413" s="15"/>
    </row>
    <row r="414" spans="2:4" x14ac:dyDescent="0.25">
      <c r="B414" s="68"/>
      <c r="C414" s="50"/>
      <c r="D414" s="15"/>
    </row>
    <row r="415" spans="2:4" x14ac:dyDescent="0.25">
      <c r="B415" s="68"/>
      <c r="C415" s="50"/>
      <c r="D415" s="15"/>
    </row>
    <row r="416" spans="2:4" x14ac:dyDescent="0.25">
      <c r="B416" s="68"/>
      <c r="C416" s="50"/>
      <c r="D416" s="15"/>
    </row>
    <row r="417" spans="2:4" x14ac:dyDescent="0.25">
      <c r="B417" s="68"/>
      <c r="C417" s="50"/>
      <c r="D417" s="15"/>
    </row>
    <row r="418" spans="2:4" x14ac:dyDescent="0.25">
      <c r="B418" s="68"/>
      <c r="C418" s="50"/>
      <c r="D418" s="15"/>
    </row>
    <row r="419" spans="2:4" x14ac:dyDescent="0.25">
      <c r="B419" s="68"/>
      <c r="C419" s="50"/>
      <c r="D419" s="15"/>
    </row>
    <row r="420" spans="2:4" x14ac:dyDescent="0.25">
      <c r="B420" s="68"/>
      <c r="C420" s="50"/>
      <c r="D420" s="15"/>
    </row>
    <row r="421" spans="2:4" x14ac:dyDescent="0.25">
      <c r="B421" s="68"/>
      <c r="C421" s="50"/>
      <c r="D421" s="15"/>
    </row>
    <row r="422" spans="2:4" x14ac:dyDescent="0.25">
      <c r="B422" s="68"/>
      <c r="C422" s="50"/>
      <c r="D422" s="15"/>
    </row>
    <row r="423" spans="2:4" x14ac:dyDescent="0.25">
      <c r="B423" s="68"/>
      <c r="C423" s="50"/>
      <c r="D423" s="15"/>
    </row>
    <row r="424" spans="2:4" x14ac:dyDescent="0.25">
      <c r="B424" s="68"/>
      <c r="C424" s="50"/>
      <c r="D424" s="15"/>
    </row>
    <row r="425" spans="2:4" x14ac:dyDescent="0.25">
      <c r="B425" s="68"/>
      <c r="C425" s="50"/>
      <c r="D425" s="15"/>
    </row>
    <row r="426" spans="2:4" x14ac:dyDescent="0.25">
      <c r="B426" s="68"/>
      <c r="C426" s="50"/>
      <c r="D426" s="15"/>
    </row>
    <row r="427" spans="2:4" x14ac:dyDescent="0.25">
      <c r="B427" s="68"/>
      <c r="C427" s="50"/>
      <c r="D427" s="15"/>
    </row>
    <row r="428" spans="2:4" x14ac:dyDescent="0.25">
      <c r="B428" s="68"/>
      <c r="C428" s="50"/>
      <c r="D428" s="15"/>
    </row>
    <row r="429" spans="2:4" x14ac:dyDescent="0.25">
      <c r="B429" s="68"/>
      <c r="C429" s="50"/>
      <c r="D429" s="15"/>
    </row>
    <row r="430" spans="2:4" x14ac:dyDescent="0.25">
      <c r="B430" s="68"/>
      <c r="C430" s="50"/>
      <c r="D430" s="15"/>
    </row>
    <row r="431" spans="2:4" x14ac:dyDescent="0.25">
      <c r="B431" s="68"/>
      <c r="C431" s="50"/>
      <c r="D431" s="15"/>
    </row>
    <row r="432" spans="2:4" x14ac:dyDescent="0.25">
      <c r="B432" s="68"/>
      <c r="C432" s="50"/>
      <c r="D432" s="15"/>
    </row>
    <row r="433" spans="2:4" x14ac:dyDescent="0.25">
      <c r="B433" s="68"/>
      <c r="C433" s="50"/>
      <c r="D433" s="15"/>
    </row>
    <row r="434" spans="2:4" x14ac:dyDescent="0.25">
      <c r="B434" s="68"/>
      <c r="C434" s="50"/>
      <c r="D434" s="15"/>
    </row>
    <row r="435" spans="2:4" x14ac:dyDescent="0.25">
      <c r="B435" s="68"/>
      <c r="C435" s="50"/>
      <c r="D435" s="15"/>
    </row>
    <row r="436" spans="2:4" x14ac:dyDescent="0.25">
      <c r="B436" s="68"/>
      <c r="C436" s="50"/>
      <c r="D436" s="15"/>
    </row>
    <row r="437" spans="2:4" x14ac:dyDescent="0.25">
      <c r="B437" s="68"/>
      <c r="C437" s="50"/>
      <c r="D437" s="15"/>
    </row>
    <row r="438" spans="2:4" x14ac:dyDescent="0.25">
      <c r="B438" s="68"/>
      <c r="C438" s="50"/>
      <c r="D438" s="15"/>
    </row>
    <row r="439" spans="2:4" x14ac:dyDescent="0.25">
      <c r="B439" s="68"/>
      <c r="C439" s="50"/>
      <c r="D439" s="15"/>
    </row>
    <row r="440" spans="2:4" x14ac:dyDescent="0.25">
      <c r="B440" s="68"/>
      <c r="C440" s="50"/>
      <c r="D440" s="15"/>
    </row>
    <row r="441" spans="2:4" x14ac:dyDescent="0.25">
      <c r="B441" s="68"/>
      <c r="C441" s="50"/>
      <c r="D441" s="15"/>
    </row>
    <row r="442" spans="2:4" x14ac:dyDescent="0.25">
      <c r="B442" s="68"/>
      <c r="C442" s="50"/>
      <c r="D442" s="15"/>
    </row>
    <row r="443" spans="2:4" x14ac:dyDescent="0.25">
      <c r="B443" s="68"/>
      <c r="C443" s="50"/>
      <c r="D443" s="15"/>
    </row>
    <row r="444" spans="2:4" x14ac:dyDescent="0.25">
      <c r="B444" s="68"/>
      <c r="C444" s="50"/>
      <c r="D444" s="15"/>
    </row>
    <row r="445" spans="2:4" x14ac:dyDescent="0.25">
      <c r="B445" s="68"/>
      <c r="C445" s="50"/>
      <c r="D445" s="15"/>
    </row>
    <row r="446" spans="2:4" x14ac:dyDescent="0.25">
      <c r="B446" s="68"/>
      <c r="C446" s="50"/>
      <c r="D446" s="15"/>
    </row>
    <row r="447" spans="2:4" x14ac:dyDescent="0.25">
      <c r="B447" s="68"/>
      <c r="C447" s="50"/>
      <c r="D447" s="15"/>
    </row>
    <row r="448" spans="2:4" x14ac:dyDescent="0.25">
      <c r="B448" s="68"/>
      <c r="C448" s="50"/>
      <c r="D448" s="15"/>
    </row>
    <row r="449" spans="2:4" x14ac:dyDescent="0.25">
      <c r="B449" s="68"/>
      <c r="C449" s="50"/>
      <c r="D449" s="15"/>
    </row>
    <row r="450" spans="2:4" x14ac:dyDescent="0.25">
      <c r="B450" s="68"/>
      <c r="C450" s="50"/>
      <c r="D450" s="15"/>
    </row>
    <row r="451" spans="2:4" x14ac:dyDescent="0.25">
      <c r="B451" s="68"/>
      <c r="C451" s="50"/>
      <c r="D451" s="15"/>
    </row>
    <row r="452" spans="2:4" x14ac:dyDescent="0.25">
      <c r="B452" s="68"/>
      <c r="C452" s="50"/>
      <c r="D452" s="15"/>
    </row>
    <row r="453" spans="2:4" x14ac:dyDescent="0.25">
      <c r="B453" s="68"/>
      <c r="C453" s="50"/>
      <c r="D453" s="15"/>
    </row>
    <row r="454" spans="2:4" x14ac:dyDescent="0.25">
      <c r="B454" s="68"/>
      <c r="C454" s="50"/>
      <c r="D454" s="15"/>
    </row>
    <row r="455" spans="2:4" x14ac:dyDescent="0.25">
      <c r="B455" s="68"/>
      <c r="C455" s="50"/>
      <c r="D455" s="15"/>
    </row>
    <row r="456" spans="2:4" x14ac:dyDescent="0.25">
      <c r="B456" s="68"/>
      <c r="C456" s="50"/>
      <c r="D456" s="15"/>
    </row>
    <row r="457" spans="2:4" x14ac:dyDescent="0.25">
      <c r="B457" s="68"/>
      <c r="C457" s="50"/>
      <c r="D457" s="15"/>
    </row>
    <row r="458" spans="2:4" x14ac:dyDescent="0.25">
      <c r="B458" s="68"/>
      <c r="C458" s="50"/>
      <c r="D458" s="15"/>
    </row>
    <row r="459" spans="2:4" x14ac:dyDescent="0.25">
      <c r="B459" s="68"/>
      <c r="C459" s="50"/>
      <c r="D459" s="15"/>
    </row>
    <row r="460" spans="2:4" x14ac:dyDescent="0.25">
      <c r="B460" s="68"/>
      <c r="C460" s="50"/>
      <c r="D460" s="15"/>
    </row>
    <row r="461" spans="2:4" x14ac:dyDescent="0.25">
      <c r="B461" s="68"/>
      <c r="C461" s="50"/>
      <c r="D461" s="15"/>
    </row>
    <row r="462" spans="2:4" x14ac:dyDescent="0.25">
      <c r="B462" s="68"/>
      <c r="C462" s="50"/>
      <c r="D462" s="15"/>
    </row>
    <row r="463" spans="2:4" x14ac:dyDescent="0.25">
      <c r="B463" s="68"/>
      <c r="C463" s="50"/>
      <c r="D463" s="15"/>
    </row>
    <row r="464" spans="2:4" x14ac:dyDescent="0.25">
      <c r="B464" s="68"/>
      <c r="C464" s="50"/>
      <c r="D464" s="15"/>
    </row>
    <row r="465" spans="2:4" x14ac:dyDescent="0.25">
      <c r="B465" s="68"/>
      <c r="C465" s="50"/>
      <c r="D465" s="15"/>
    </row>
    <row r="466" spans="2:4" x14ac:dyDescent="0.25">
      <c r="B466" s="68"/>
      <c r="C466" s="50"/>
      <c r="D466" s="15"/>
    </row>
    <row r="467" spans="2:4" x14ac:dyDescent="0.25">
      <c r="B467" s="68"/>
      <c r="C467" s="50"/>
      <c r="D467" s="15"/>
    </row>
    <row r="468" spans="2:4" x14ac:dyDescent="0.25">
      <c r="B468" s="68"/>
      <c r="C468" s="50"/>
      <c r="D468" s="15"/>
    </row>
    <row r="469" spans="2:4" x14ac:dyDescent="0.25">
      <c r="B469" s="68"/>
      <c r="C469" s="50"/>
      <c r="D469" s="15"/>
    </row>
    <row r="470" spans="2:4" x14ac:dyDescent="0.25">
      <c r="B470" s="68"/>
      <c r="C470" s="50"/>
      <c r="D470" s="15"/>
    </row>
    <row r="471" spans="2:4" x14ac:dyDescent="0.25">
      <c r="B471" s="68"/>
      <c r="C471" s="50"/>
      <c r="D471" s="15"/>
    </row>
    <row r="472" spans="2:4" x14ac:dyDescent="0.25">
      <c r="B472" s="68"/>
      <c r="C472" s="50"/>
      <c r="D472" s="15"/>
    </row>
    <row r="473" spans="2:4" x14ac:dyDescent="0.25">
      <c r="B473" s="68"/>
      <c r="C473" s="50"/>
      <c r="D473" s="15"/>
    </row>
    <row r="474" spans="2:4" x14ac:dyDescent="0.25">
      <c r="B474" s="68"/>
      <c r="C474" s="50"/>
      <c r="D474" s="15"/>
    </row>
    <row r="475" spans="2:4" x14ac:dyDescent="0.25">
      <c r="B475" s="68"/>
      <c r="C475" s="50"/>
      <c r="D475" s="15"/>
    </row>
    <row r="476" spans="2:4" x14ac:dyDescent="0.25">
      <c r="B476" s="68"/>
      <c r="C476" s="50"/>
      <c r="D476" s="15"/>
    </row>
    <row r="477" spans="2:4" x14ac:dyDescent="0.25">
      <c r="B477" s="68"/>
      <c r="C477" s="50"/>
      <c r="D477" s="15"/>
    </row>
    <row r="478" spans="2:4" x14ac:dyDescent="0.25">
      <c r="B478" s="68"/>
      <c r="C478" s="50"/>
      <c r="D478" s="15"/>
    </row>
    <row r="479" spans="2:4" x14ac:dyDescent="0.25">
      <c r="B479" s="68"/>
      <c r="C479" s="50"/>
      <c r="D479" s="15"/>
    </row>
    <row r="480" spans="2:4" x14ac:dyDescent="0.25">
      <c r="B480" s="68"/>
      <c r="C480" s="50"/>
      <c r="D480" s="15"/>
    </row>
    <row r="481" spans="2:4" x14ac:dyDescent="0.25">
      <c r="B481" s="68"/>
      <c r="C481" s="50"/>
      <c r="D481" s="15"/>
    </row>
    <row r="482" spans="2:4" x14ac:dyDescent="0.25">
      <c r="B482" s="68"/>
      <c r="C482" s="50"/>
      <c r="D482" s="15"/>
    </row>
    <row r="483" spans="2:4" x14ac:dyDescent="0.25">
      <c r="B483" s="68"/>
      <c r="C483" s="50"/>
      <c r="D483" s="15"/>
    </row>
    <row r="484" spans="2:4" x14ac:dyDescent="0.25">
      <c r="B484" s="68"/>
      <c r="C484" s="50"/>
      <c r="D484" s="15"/>
    </row>
    <row r="485" spans="2:4" x14ac:dyDescent="0.25">
      <c r="B485" s="68"/>
      <c r="C485" s="50"/>
      <c r="D485" s="15"/>
    </row>
    <row r="486" spans="2:4" x14ac:dyDescent="0.25">
      <c r="B486" s="68"/>
      <c r="C486" s="50"/>
      <c r="D486" s="15"/>
    </row>
    <row r="487" spans="2:4" x14ac:dyDescent="0.25">
      <c r="B487" s="68"/>
      <c r="C487" s="50"/>
      <c r="D487" s="15"/>
    </row>
    <row r="488" spans="2:4" x14ac:dyDescent="0.25">
      <c r="B488" s="68"/>
      <c r="C488" s="50"/>
      <c r="D488" s="15"/>
    </row>
    <row r="489" spans="2:4" x14ac:dyDescent="0.25">
      <c r="B489" s="68"/>
      <c r="C489" s="50"/>
      <c r="D489" s="15"/>
    </row>
    <row r="490" spans="2:4" x14ac:dyDescent="0.25">
      <c r="B490" s="68"/>
      <c r="C490" s="50"/>
      <c r="D490" s="15"/>
    </row>
    <row r="491" spans="2:4" x14ac:dyDescent="0.25">
      <c r="B491" s="68"/>
      <c r="C491" s="50"/>
      <c r="D491" s="15"/>
    </row>
    <row r="492" spans="2:4" x14ac:dyDescent="0.25">
      <c r="B492" s="68"/>
      <c r="C492" s="50"/>
      <c r="D492" s="15"/>
    </row>
    <row r="493" spans="2:4" x14ac:dyDescent="0.25">
      <c r="B493" s="68"/>
      <c r="C493" s="50"/>
      <c r="D493" s="15"/>
    </row>
    <row r="494" spans="2:4" x14ac:dyDescent="0.25">
      <c r="B494" s="68"/>
      <c r="C494" s="50"/>
      <c r="D494" s="15"/>
    </row>
    <row r="495" spans="2:4" x14ac:dyDescent="0.25">
      <c r="B495" s="68"/>
      <c r="C495" s="50"/>
      <c r="D495" s="15"/>
    </row>
    <row r="496" spans="2:4" x14ac:dyDescent="0.25">
      <c r="B496" s="68"/>
      <c r="C496" s="50"/>
      <c r="D496" s="15"/>
    </row>
    <row r="497" spans="2:4" x14ac:dyDescent="0.25">
      <c r="B497" s="68"/>
      <c r="C497" s="50"/>
      <c r="D497" s="15"/>
    </row>
    <row r="498" spans="2:4" x14ac:dyDescent="0.25">
      <c r="B498" s="68"/>
      <c r="C498" s="50"/>
      <c r="D498" s="15"/>
    </row>
    <row r="499" spans="2:4" x14ac:dyDescent="0.25">
      <c r="B499" s="68"/>
      <c r="C499" s="50"/>
      <c r="D499" s="15"/>
    </row>
    <row r="500" spans="2:4" x14ac:dyDescent="0.25">
      <c r="B500" s="68"/>
      <c r="C500" s="50"/>
      <c r="D500" s="15"/>
    </row>
    <row r="501" spans="2:4" x14ac:dyDescent="0.25">
      <c r="B501" s="68"/>
      <c r="C501" s="50"/>
      <c r="D501" s="15"/>
    </row>
    <row r="502" spans="2:4" x14ac:dyDescent="0.25">
      <c r="B502" s="68"/>
      <c r="C502" s="50"/>
      <c r="D502" s="15"/>
    </row>
    <row r="503" spans="2:4" x14ac:dyDescent="0.25">
      <c r="B503" s="68"/>
      <c r="C503" s="50"/>
      <c r="D503" s="15"/>
    </row>
    <row r="504" spans="2:4" x14ac:dyDescent="0.25">
      <c r="B504" s="68"/>
      <c r="C504" s="50"/>
      <c r="D504" s="15"/>
    </row>
    <row r="505" spans="2:4" x14ac:dyDescent="0.25">
      <c r="B505" s="68"/>
      <c r="C505" s="50"/>
      <c r="D505" s="15"/>
    </row>
    <row r="506" spans="2:4" x14ac:dyDescent="0.25">
      <c r="B506" s="68"/>
      <c r="C506" s="50"/>
      <c r="D506" s="15"/>
    </row>
    <row r="507" spans="2:4" x14ac:dyDescent="0.25">
      <c r="B507" s="68"/>
      <c r="C507" s="50"/>
      <c r="D507" s="15"/>
    </row>
    <row r="508" spans="2:4" x14ac:dyDescent="0.25">
      <c r="B508" s="68"/>
      <c r="C508" s="50"/>
      <c r="D508" s="15"/>
    </row>
    <row r="509" spans="2:4" x14ac:dyDescent="0.25">
      <c r="B509" s="68"/>
      <c r="C509" s="50"/>
      <c r="D509" s="15"/>
    </row>
    <row r="510" spans="2:4" x14ac:dyDescent="0.25">
      <c r="B510" s="68"/>
      <c r="C510" s="50"/>
      <c r="D510" s="15"/>
    </row>
    <row r="511" spans="2:4" x14ac:dyDescent="0.25">
      <c r="B511" s="68"/>
      <c r="C511" s="50"/>
      <c r="D511" s="15"/>
    </row>
    <row r="512" spans="2:4" x14ac:dyDescent="0.25">
      <c r="B512" s="68"/>
      <c r="C512" s="50"/>
      <c r="D512" s="15"/>
    </row>
    <row r="513" spans="2:4" x14ac:dyDescent="0.25">
      <c r="B513" s="68"/>
      <c r="C513" s="50"/>
      <c r="D513" s="15"/>
    </row>
    <row r="514" spans="2:4" x14ac:dyDescent="0.25">
      <c r="B514" s="68"/>
      <c r="C514" s="50"/>
      <c r="D514" s="15"/>
    </row>
    <row r="515" spans="2:4" x14ac:dyDescent="0.25">
      <c r="B515" s="68"/>
      <c r="C515" s="50"/>
      <c r="D515" s="15"/>
    </row>
    <row r="516" spans="2:4" x14ac:dyDescent="0.25">
      <c r="B516" s="68"/>
      <c r="C516" s="50"/>
      <c r="D516" s="15"/>
    </row>
    <row r="517" spans="2:4" x14ac:dyDescent="0.25">
      <c r="B517" s="68"/>
      <c r="C517" s="50"/>
      <c r="D517" s="15"/>
    </row>
    <row r="518" spans="2:4" x14ac:dyDescent="0.25">
      <c r="B518" s="68"/>
      <c r="C518" s="50"/>
      <c r="D518" s="15"/>
    </row>
    <row r="519" spans="2:4" x14ac:dyDescent="0.25">
      <c r="B519" s="68"/>
      <c r="C519" s="50"/>
      <c r="D519" s="15"/>
    </row>
    <row r="520" spans="2:4" x14ac:dyDescent="0.25">
      <c r="B520" s="68"/>
      <c r="C520" s="50"/>
      <c r="D520" s="15"/>
    </row>
    <row r="521" spans="2:4" x14ac:dyDescent="0.25">
      <c r="B521" s="68"/>
      <c r="C521" s="50"/>
      <c r="D521" s="15"/>
    </row>
    <row r="522" spans="2:4" x14ac:dyDescent="0.25">
      <c r="B522" s="68"/>
      <c r="C522" s="50"/>
      <c r="D522" s="15"/>
    </row>
    <row r="523" spans="2:4" x14ac:dyDescent="0.25">
      <c r="B523" s="68"/>
      <c r="C523" s="50"/>
      <c r="D523" s="15"/>
    </row>
    <row r="524" spans="2:4" x14ac:dyDescent="0.25">
      <c r="B524" s="68"/>
      <c r="C524" s="50"/>
      <c r="D524" s="15"/>
    </row>
    <row r="525" spans="2:4" x14ac:dyDescent="0.25">
      <c r="B525" s="68"/>
      <c r="C525" s="50"/>
      <c r="D525" s="15"/>
    </row>
    <row r="526" spans="2:4" x14ac:dyDescent="0.25">
      <c r="B526" s="68"/>
      <c r="C526" s="50"/>
      <c r="D526" s="15"/>
    </row>
    <row r="527" spans="2:4" x14ac:dyDescent="0.25">
      <c r="B527" s="68"/>
      <c r="C527" s="50"/>
      <c r="D527" s="15"/>
    </row>
    <row r="528" spans="2:4" x14ac:dyDescent="0.25">
      <c r="B528" s="68"/>
      <c r="C528" s="50"/>
      <c r="D528" s="15"/>
    </row>
    <row r="529" spans="2:4" x14ac:dyDescent="0.25">
      <c r="B529" s="68"/>
      <c r="C529" s="50"/>
      <c r="D529" s="15"/>
    </row>
    <row r="530" spans="2:4" x14ac:dyDescent="0.25">
      <c r="B530" s="68"/>
      <c r="C530" s="50"/>
      <c r="D530" s="15"/>
    </row>
    <row r="531" spans="2:4" x14ac:dyDescent="0.25">
      <c r="B531" s="68"/>
      <c r="C531" s="50"/>
      <c r="D531" s="15"/>
    </row>
    <row r="532" spans="2:4" x14ac:dyDescent="0.25">
      <c r="B532" s="68"/>
      <c r="C532" s="50"/>
      <c r="D532" s="15"/>
    </row>
    <row r="533" spans="2:4" x14ac:dyDescent="0.25">
      <c r="B533" s="68"/>
      <c r="C533" s="50"/>
      <c r="D533" s="15"/>
    </row>
    <row r="534" spans="2:4" x14ac:dyDescent="0.25">
      <c r="B534" s="68"/>
      <c r="C534" s="50"/>
      <c r="D534" s="15"/>
    </row>
    <row r="535" spans="2:4" x14ac:dyDescent="0.25">
      <c r="B535" s="68"/>
      <c r="C535" s="50"/>
      <c r="D535" s="15"/>
    </row>
    <row r="536" spans="2:4" x14ac:dyDescent="0.25">
      <c r="B536" s="68"/>
      <c r="C536" s="50"/>
      <c r="D536" s="15"/>
    </row>
    <row r="537" spans="2:4" x14ac:dyDescent="0.25">
      <c r="B537" s="68"/>
      <c r="C537" s="50"/>
      <c r="D537" s="15"/>
    </row>
    <row r="538" spans="2:4" x14ac:dyDescent="0.25">
      <c r="B538" s="68"/>
      <c r="C538" s="50"/>
      <c r="D538" s="15"/>
    </row>
    <row r="539" spans="2:4" x14ac:dyDescent="0.25">
      <c r="B539" s="68"/>
      <c r="C539" s="50"/>
      <c r="D539" s="15"/>
    </row>
    <row r="540" spans="2:4" x14ac:dyDescent="0.25">
      <c r="B540" s="68"/>
      <c r="C540" s="50"/>
      <c r="D540" s="15"/>
    </row>
    <row r="541" spans="2:4" x14ac:dyDescent="0.25">
      <c r="B541" s="68"/>
      <c r="C541" s="50"/>
      <c r="D541" s="15"/>
    </row>
    <row r="542" spans="2:4" x14ac:dyDescent="0.25">
      <c r="B542" s="68"/>
      <c r="C542" s="50"/>
      <c r="D542" s="15"/>
    </row>
    <row r="543" spans="2:4" x14ac:dyDescent="0.25">
      <c r="B543" s="68"/>
      <c r="C543" s="50"/>
      <c r="D543" s="15"/>
    </row>
    <row r="544" spans="2:4" x14ac:dyDescent="0.25">
      <c r="B544" s="68"/>
      <c r="C544" s="50"/>
      <c r="D544" s="15"/>
    </row>
    <row r="545" spans="2:4" x14ac:dyDescent="0.25">
      <c r="B545" s="68"/>
      <c r="C545" s="50"/>
      <c r="D545" s="15"/>
    </row>
    <row r="546" spans="2:4" x14ac:dyDescent="0.25">
      <c r="B546" s="68"/>
      <c r="C546" s="50"/>
      <c r="D546" s="15"/>
    </row>
    <row r="547" spans="2:4" x14ac:dyDescent="0.25">
      <c r="B547" s="68"/>
      <c r="C547" s="50"/>
      <c r="D547" s="15"/>
    </row>
    <row r="548" spans="2:4" x14ac:dyDescent="0.25">
      <c r="B548" s="68"/>
      <c r="C548" s="50"/>
      <c r="D548" s="15"/>
    </row>
    <row r="549" spans="2:4" x14ac:dyDescent="0.25">
      <c r="B549" s="68"/>
      <c r="C549" s="50"/>
      <c r="D549" s="15"/>
    </row>
    <row r="550" spans="2:4" x14ac:dyDescent="0.25">
      <c r="B550" s="68"/>
      <c r="C550" s="50"/>
      <c r="D550" s="15"/>
    </row>
    <row r="551" spans="2:4" x14ac:dyDescent="0.25">
      <c r="B551" s="68"/>
      <c r="C551" s="50"/>
      <c r="D551" s="15"/>
    </row>
    <row r="552" spans="2:4" x14ac:dyDescent="0.25">
      <c r="B552" s="68"/>
      <c r="C552" s="50"/>
      <c r="D552" s="15"/>
    </row>
    <row r="553" spans="2:4" x14ac:dyDescent="0.25">
      <c r="B553" s="68"/>
      <c r="C553" s="50"/>
      <c r="D553" s="15"/>
    </row>
    <row r="554" spans="2:4" x14ac:dyDescent="0.25">
      <c r="B554" s="68"/>
      <c r="C554" s="50"/>
      <c r="D554" s="15"/>
    </row>
    <row r="555" spans="2:4" x14ac:dyDescent="0.25">
      <c r="B555" s="68"/>
      <c r="C555" s="50"/>
      <c r="D555" s="15"/>
    </row>
    <row r="556" spans="2:4" x14ac:dyDescent="0.25">
      <c r="B556" s="68"/>
      <c r="C556" s="50"/>
      <c r="D556" s="15"/>
    </row>
    <row r="557" spans="2:4" x14ac:dyDescent="0.25">
      <c r="B557" s="68"/>
      <c r="C557" s="50"/>
      <c r="D557" s="15"/>
    </row>
    <row r="558" spans="2:4" x14ac:dyDescent="0.25">
      <c r="B558" s="68"/>
      <c r="C558" s="50"/>
      <c r="D558" s="15"/>
    </row>
    <row r="559" spans="2:4" x14ac:dyDescent="0.25">
      <c r="B559" s="68"/>
      <c r="C559" s="50"/>
      <c r="D559" s="15"/>
    </row>
    <row r="560" spans="2:4" x14ac:dyDescent="0.25">
      <c r="B560" s="68"/>
      <c r="C560" s="50"/>
      <c r="D560" s="15"/>
    </row>
    <row r="561" spans="2:4" x14ac:dyDescent="0.25">
      <c r="B561" s="68"/>
      <c r="C561" s="50"/>
      <c r="D561" s="15"/>
    </row>
    <row r="562" spans="2:4" x14ac:dyDescent="0.25">
      <c r="B562" s="68"/>
      <c r="C562" s="50"/>
      <c r="D562" s="15"/>
    </row>
    <row r="563" spans="2:4" x14ac:dyDescent="0.25">
      <c r="B563" s="68"/>
      <c r="C563" s="50"/>
      <c r="D563" s="15"/>
    </row>
    <row r="564" spans="2:4" x14ac:dyDescent="0.25">
      <c r="B564" s="68"/>
      <c r="C564" s="50"/>
      <c r="D564" s="15"/>
    </row>
    <row r="565" spans="2:4" x14ac:dyDescent="0.25">
      <c r="B565" s="68"/>
      <c r="C565" s="50"/>
      <c r="D565" s="15"/>
    </row>
    <row r="566" spans="2:4" x14ac:dyDescent="0.25">
      <c r="B566" s="68"/>
      <c r="C566" s="50"/>
      <c r="D566" s="15"/>
    </row>
    <row r="567" spans="2:4" x14ac:dyDescent="0.25">
      <c r="B567" s="68"/>
      <c r="C567" s="50"/>
      <c r="D567" s="15"/>
    </row>
    <row r="568" spans="2:4" x14ac:dyDescent="0.25">
      <c r="B568" s="68"/>
      <c r="C568" s="50"/>
      <c r="D568" s="15"/>
    </row>
    <row r="569" spans="2:4" x14ac:dyDescent="0.25">
      <c r="B569" s="68"/>
      <c r="C569" s="50"/>
      <c r="D569" s="15"/>
    </row>
    <row r="570" spans="2:4" x14ac:dyDescent="0.25">
      <c r="B570" s="68"/>
      <c r="C570" s="50"/>
      <c r="D570" s="15"/>
    </row>
    <row r="571" spans="2:4" x14ac:dyDescent="0.25">
      <c r="B571" s="68"/>
      <c r="C571" s="50"/>
      <c r="D571" s="15"/>
    </row>
    <row r="572" spans="2:4" x14ac:dyDescent="0.25">
      <c r="B572" s="68"/>
      <c r="C572" s="50"/>
      <c r="D572" s="15"/>
    </row>
    <row r="573" spans="2:4" x14ac:dyDescent="0.25">
      <c r="B573" s="68"/>
      <c r="C573" s="50"/>
      <c r="D573" s="15"/>
    </row>
    <row r="574" spans="2:4" x14ac:dyDescent="0.25">
      <c r="B574" s="68"/>
      <c r="C574" s="50"/>
      <c r="D574" s="15"/>
    </row>
    <row r="575" spans="2:4" x14ac:dyDescent="0.25">
      <c r="B575" s="68"/>
      <c r="C575" s="50"/>
      <c r="D575" s="15"/>
    </row>
    <row r="576" spans="2:4" x14ac:dyDescent="0.25">
      <c r="B576" s="68"/>
      <c r="C576" s="50"/>
      <c r="D576" s="15"/>
    </row>
    <row r="577" spans="2:4" x14ac:dyDescent="0.25">
      <c r="B577" s="68"/>
      <c r="C577" s="50"/>
      <c r="D577" s="15"/>
    </row>
    <row r="578" spans="2:4" x14ac:dyDescent="0.25">
      <c r="B578" s="68"/>
      <c r="C578" s="50"/>
      <c r="D578" s="15"/>
    </row>
    <row r="579" spans="2:4" x14ac:dyDescent="0.25">
      <c r="B579" s="68"/>
      <c r="C579" s="50"/>
      <c r="D579" s="15"/>
    </row>
    <row r="580" spans="2:4" x14ac:dyDescent="0.25">
      <c r="B580" s="68"/>
      <c r="C580" s="50"/>
      <c r="D580" s="15"/>
    </row>
    <row r="581" spans="2:4" x14ac:dyDescent="0.25">
      <c r="B581" s="68"/>
      <c r="C581" s="50"/>
      <c r="D581" s="15"/>
    </row>
    <row r="582" spans="2:4" x14ac:dyDescent="0.25">
      <c r="B582" s="68"/>
      <c r="C582" s="50"/>
      <c r="D582" s="15"/>
    </row>
    <row r="583" spans="2:4" x14ac:dyDescent="0.25">
      <c r="B583" s="68"/>
      <c r="C583" s="50"/>
      <c r="D583" s="15"/>
    </row>
    <row r="584" spans="2:4" x14ac:dyDescent="0.25">
      <c r="B584" s="68"/>
      <c r="C584" s="50"/>
      <c r="D584" s="15"/>
    </row>
    <row r="585" spans="2:4" x14ac:dyDescent="0.25">
      <c r="B585" s="68"/>
      <c r="C585" s="50"/>
      <c r="D585" s="15"/>
    </row>
    <row r="586" spans="2:4" x14ac:dyDescent="0.25">
      <c r="B586" s="68"/>
      <c r="C586" s="50"/>
      <c r="D586" s="15"/>
    </row>
    <row r="587" spans="2:4" x14ac:dyDescent="0.25">
      <c r="B587" s="68"/>
      <c r="C587" s="50"/>
      <c r="D587" s="15"/>
    </row>
    <row r="588" spans="2:4" x14ac:dyDescent="0.25">
      <c r="B588" s="68"/>
      <c r="C588" s="50"/>
      <c r="D588" s="15"/>
    </row>
    <row r="589" spans="2:4" x14ac:dyDescent="0.25">
      <c r="B589" s="68"/>
      <c r="C589" s="50"/>
      <c r="D589" s="15"/>
    </row>
    <row r="590" spans="2:4" x14ac:dyDescent="0.25">
      <c r="B590" s="68"/>
      <c r="C590" s="50"/>
      <c r="D590" s="15"/>
    </row>
    <row r="591" spans="2:4" x14ac:dyDescent="0.25">
      <c r="B591" s="68"/>
      <c r="C591" s="50"/>
      <c r="D591" s="15"/>
    </row>
    <row r="592" spans="2:4" x14ac:dyDescent="0.25">
      <c r="B592" s="68"/>
      <c r="C592" s="50"/>
      <c r="D592" s="15"/>
    </row>
    <row r="593" spans="2:4" x14ac:dyDescent="0.25">
      <c r="B593" s="68"/>
      <c r="C593" s="50"/>
      <c r="D593" s="15"/>
    </row>
    <row r="594" spans="2:4" x14ac:dyDescent="0.25">
      <c r="B594" s="68"/>
      <c r="C594" s="50"/>
      <c r="D594" s="15"/>
    </row>
    <row r="595" spans="2:4" x14ac:dyDescent="0.25">
      <c r="B595" s="68"/>
      <c r="C595" s="50"/>
      <c r="D595" s="15"/>
    </row>
    <row r="596" spans="2:4" x14ac:dyDescent="0.25">
      <c r="B596" s="68"/>
      <c r="C596" s="50"/>
      <c r="D596" s="15"/>
    </row>
    <row r="597" spans="2:4" x14ac:dyDescent="0.25">
      <c r="B597" s="68"/>
      <c r="C597" s="50"/>
      <c r="D597" s="15"/>
    </row>
    <row r="598" spans="2:4" x14ac:dyDescent="0.25">
      <c r="B598" s="68"/>
      <c r="C598" s="50"/>
      <c r="D598" s="15"/>
    </row>
    <row r="599" spans="2:4" x14ac:dyDescent="0.25">
      <c r="B599" s="68"/>
      <c r="C599" s="50"/>
      <c r="D599" s="15"/>
    </row>
    <row r="600" spans="2:4" x14ac:dyDescent="0.25">
      <c r="B600" s="68"/>
      <c r="C600" s="50"/>
      <c r="D600" s="15"/>
    </row>
    <row r="601" spans="2:4" x14ac:dyDescent="0.25">
      <c r="B601" s="68"/>
      <c r="C601" s="50"/>
      <c r="D601" s="15"/>
    </row>
    <row r="602" spans="2:4" x14ac:dyDescent="0.25">
      <c r="B602" s="68"/>
      <c r="C602" s="50"/>
      <c r="D602" s="15"/>
    </row>
    <row r="603" spans="2:4" x14ac:dyDescent="0.25">
      <c r="B603" s="68"/>
      <c r="C603" s="50"/>
      <c r="D603" s="15"/>
    </row>
    <row r="604" spans="2:4" x14ac:dyDescent="0.25">
      <c r="B604" s="68"/>
      <c r="C604" s="50"/>
      <c r="D604" s="15"/>
    </row>
    <row r="605" spans="2:4" x14ac:dyDescent="0.25">
      <c r="B605" s="68"/>
      <c r="C605" s="50"/>
      <c r="D605" s="15"/>
    </row>
    <row r="606" spans="2:4" x14ac:dyDescent="0.25">
      <c r="B606" s="68"/>
      <c r="C606" s="50"/>
      <c r="D606" s="15"/>
    </row>
    <row r="607" spans="2:4" x14ac:dyDescent="0.25">
      <c r="B607" s="68"/>
      <c r="C607" s="50"/>
      <c r="D607" s="15"/>
    </row>
    <row r="608" spans="2:4" x14ac:dyDescent="0.25">
      <c r="B608" s="68"/>
      <c r="C608" s="50"/>
      <c r="D608" s="15"/>
    </row>
    <row r="609" spans="2:4" x14ac:dyDescent="0.25">
      <c r="B609" s="68"/>
      <c r="C609" s="50"/>
      <c r="D609" s="15"/>
    </row>
    <row r="610" spans="2:4" x14ac:dyDescent="0.25">
      <c r="B610" s="68"/>
      <c r="C610" s="50"/>
      <c r="D610" s="15"/>
    </row>
    <row r="611" spans="2:4" x14ac:dyDescent="0.25">
      <c r="B611" s="68"/>
      <c r="C611" s="50"/>
      <c r="D611" s="15"/>
    </row>
    <row r="612" spans="2:4" x14ac:dyDescent="0.25">
      <c r="B612" s="68"/>
      <c r="C612" s="50"/>
      <c r="D612" s="15"/>
    </row>
    <row r="613" spans="2:4" x14ac:dyDescent="0.25">
      <c r="B613" s="68"/>
      <c r="C613" s="50"/>
      <c r="D613" s="15"/>
    </row>
    <row r="614" spans="2:4" x14ac:dyDescent="0.25">
      <c r="B614" s="68"/>
      <c r="C614" s="50"/>
      <c r="D614" s="15"/>
    </row>
    <row r="615" spans="2:4" x14ac:dyDescent="0.25">
      <c r="B615" s="68"/>
      <c r="C615" s="50"/>
      <c r="D615" s="15"/>
    </row>
    <row r="616" spans="2:4" x14ac:dyDescent="0.25">
      <c r="B616" s="68"/>
      <c r="C616" s="50"/>
      <c r="D616" s="15"/>
    </row>
    <row r="617" spans="2:4" x14ac:dyDescent="0.25">
      <c r="B617" s="68"/>
      <c r="C617" s="50"/>
      <c r="D617" s="15"/>
    </row>
    <row r="618" spans="2:4" x14ac:dyDescent="0.25">
      <c r="B618" s="68"/>
      <c r="C618" s="50"/>
      <c r="D618" s="15"/>
    </row>
    <row r="619" spans="2:4" x14ac:dyDescent="0.25">
      <c r="B619" s="68"/>
      <c r="C619" s="50"/>
      <c r="D619" s="15"/>
    </row>
    <row r="620" spans="2:4" x14ac:dyDescent="0.25">
      <c r="B620" s="68"/>
      <c r="C620" s="50"/>
      <c r="D620" s="15"/>
    </row>
    <row r="621" spans="2:4" x14ac:dyDescent="0.25">
      <c r="B621" s="68"/>
      <c r="C621" s="50"/>
      <c r="D621" s="15"/>
    </row>
    <row r="622" spans="2:4" x14ac:dyDescent="0.25">
      <c r="B622" s="68"/>
      <c r="C622" s="50"/>
      <c r="D622" s="15"/>
    </row>
    <row r="623" spans="2:4" x14ac:dyDescent="0.25">
      <c r="B623" s="68"/>
      <c r="C623" s="50"/>
      <c r="D623" s="15"/>
    </row>
    <row r="624" spans="2:4" x14ac:dyDescent="0.25">
      <c r="B624" s="68"/>
      <c r="C624" s="50"/>
      <c r="D624" s="15"/>
    </row>
    <row r="625" spans="2:4" x14ac:dyDescent="0.25">
      <c r="B625" s="68"/>
      <c r="C625" s="50"/>
      <c r="D625" s="15"/>
    </row>
    <row r="626" spans="2:4" x14ac:dyDescent="0.25">
      <c r="B626" s="68"/>
      <c r="C626" s="50"/>
      <c r="D626" s="15"/>
    </row>
    <row r="627" spans="2:4" x14ac:dyDescent="0.25">
      <c r="B627" s="68"/>
      <c r="C627" s="50"/>
      <c r="D627" s="15"/>
    </row>
    <row r="628" spans="2:4" x14ac:dyDescent="0.25">
      <c r="B628" s="68"/>
      <c r="C628" s="50"/>
      <c r="D628" s="15"/>
    </row>
    <row r="629" spans="2:4" x14ac:dyDescent="0.25">
      <c r="B629" s="68"/>
      <c r="C629" s="50"/>
      <c r="D629" s="15"/>
    </row>
    <row r="630" spans="2:4" x14ac:dyDescent="0.25">
      <c r="B630" s="68"/>
      <c r="C630" s="50"/>
      <c r="D630" s="15"/>
    </row>
    <row r="631" spans="2:4" x14ac:dyDescent="0.25">
      <c r="B631" s="68"/>
      <c r="C631" s="50"/>
      <c r="D631" s="15"/>
    </row>
    <row r="632" spans="2:4" x14ac:dyDescent="0.25">
      <c r="B632" s="68"/>
      <c r="C632" s="50"/>
      <c r="D632" s="15"/>
    </row>
    <row r="633" spans="2:4" x14ac:dyDescent="0.25">
      <c r="B633" s="68"/>
      <c r="C633" s="50"/>
      <c r="D633" s="15"/>
    </row>
    <row r="634" spans="2:4" x14ac:dyDescent="0.25">
      <c r="B634" s="68"/>
      <c r="C634" s="50"/>
      <c r="D634" s="15"/>
    </row>
    <row r="635" spans="2:4" x14ac:dyDescent="0.25">
      <c r="B635" s="68"/>
      <c r="C635" s="50"/>
      <c r="D635" s="15"/>
    </row>
    <row r="636" spans="2:4" x14ac:dyDescent="0.25">
      <c r="B636" s="68"/>
      <c r="C636" s="50"/>
      <c r="D636" s="15"/>
    </row>
    <row r="637" spans="2:4" x14ac:dyDescent="0.25">
      <c r="B637" s="68"/>
      <c r="C637" s="50"/>
      <c r="D637" s="15"/>
    </row>
    <row r="638" spans="2:4" x14ac:dyDescent="0.25">
      <c r="B638" s="68"/>
      <c r="C638" s="50"/>
      <c r="D638" s="15"/>
    </row>
    <row r="639" spans="2:4" x14ac:dyDescent="0.25">
      <c r="B639" s="68"/>
      <c r="C639" s="50"/>
      <c r="D639" s="15"/>
    </row>
    <row r="640" spans="2:4" x14ac:dyDescent="0.25">
      <c r="B640" s="68"/>
      <c r="C640" s="50"/>
      <c r="D640" s="15"/>
    </row>
    <row r="641" spans="2:4" x14ac:dyDescent="0.25">
      <c r="B641" s="68"/>
      <c r="C641" s="50"/>
      <c r="D641" s="15"/>
    </row>
    <row r="642" spans="2:4" x14ac:dyDescent="0.25">
      <c r="B642" s="68"/>
      <c r="C642" s="50"/>
      <c r="D642" s="15"/>
    </row>
    <row r="643" spans="2:4" x14ac:dyDescent="0.25">
      <c r="B643" s="68"/>
      <c r="C643" s="50"/>
      <c r="D643" s="15"/>
    </row>
    <row r="644" spans="2:4" x14ac:dyDescent="0.25">
      <c r="B644" s="68"/>
      <c r="C644" s="50"/>
      <c r="D644" s="15"/>
    </row>
    <row r="645" spans="2:4" x14ac:dyDescent="0.25">
      <c r="B645" s="68"/>
      <c r="C645" s="50"/>
      <c r="D645" s="15"/>
    </row>
    <row r="646" spans="2:4" x14ac:dyDescent="0.25">
      <c r="B646" s="68"/>
      <c r="C646" s="50"/>
      <c r="D646" s="15"/>
    </row>
    <row r="647" spans="2:4" x14ac:dyDescent="0.25">
      <c r="B647" s="68"/>
      <c r="C647" s="50"/>
      <c r="D647" s="15"/>
    </row>
    <row r="648" spans="2:4" x14ac:dyDescent="0.25">
      <c r="B648" s="68"/>
      <c r="C648" s="50"/>
      <c r="D648" s="15"/>
    </row>
    <row r="649" spans="2:4" x14ac:dyDescent="0.25">
      <c r="B649" s="68"/>
      <c r="C649" s="50"/>
      <c r="D649" s="15"/>
    </row>
    <row r="650" spans="2:4" x14ac:dyDescent="0.25">
      <c r="B650" s="68"/>
      <c r="C650" s="50"/>
      <c r="D650" s="15"/>
    </row>
    <row r="651" spans="2:4" x14ac:dyDescent="0.25">
      <c r="B651" s="68"/>
      <c r="C651" s="50"/>
      <c r="D651" s="15"/>
    </row>
    <row r="652" spans="2:4" x14ac:dyDescent="0.25">
      <c r="B652" s="68"/>
      <c r="C652" s="50"/>
      <c r="D652" s="15"/>
    </row>
    <row r="653" spans="2:4" x14ac:dyDescent="0.25">
      <c r="B653" s="68"/>
      <c r="C653" s="50"/>
      <c r="D653" s="15"/>
    </row>
    <row r="654" spans="2:4" x14ac:dyDescent="0.25">
      <c r="B654" s="68"/>
      <c r="C654" s="50"/>
      <c r="D654" s="15"/>
    </row>
    <row r="655" spans="2:4" x14ac:dyDescent="0.25">
      <c r="B655" s="68"/>
      <c r="C655" s="50"/>
      <c r="D655" s="15"/>
    </row>
    <row r="656" spans="2:4" x14ac:dyDescent="0.25">
      <c r="B656" s="68"/>
      <c r="C656" s="50"/>
      <c r="D656" s="15"/>
    </row>
    <row r="657" spans="2:4" x14ac:dyDescent="0.25">
      <c r="B657" s="68"/>
      <c r="C657" s="50"/>
      <c r="D657" s="15"/>
    </row>
    <row r="658" spans="2:4" x14ac:dyDescent="0.25">
      <c r="B658" s="68"/>
      <c r="C658" s="50"/>
      <c r="D658" s="15"/>
    </row>
    <row r="659" spans="2:4" x14ac:dyDescent="0.25">
      <c r="B659" s="68"/>
      <c r="C659" s="50"/>
      <c r="D659" s="15"/>
    </row>
    <row r="660" spans="2:4" x14ac:dyDescent="0.25">
      <c r="B660" s="68"/>
      <c r="C660" s="50"/>
      <c r="D660" s="15"/>
    </row>
    <row r="661" spans="2:4" x14ac:dyDescent="0.25">
      <c r="B661" s="68"/>
      <c r="C661" s="50"/>
      <c r="D661" s="15"/>
    </row>
    <row r="662" spans="2:4" x14ac:dyDescent="0.25">
      <c r="B662" s="68"/>
      <c r="C662" s="50"/>
      <c r="D662" s="15"/>
    </row>
    <row r="663" spans="2:4" x14ac:dyDescent="0.25">
      <c r="B663" s="68"/>
      <c r="C663" s="50"/>
      <c r="D663" s="15"/>
    </row>
    <row r="664" spans="2:4" x14ac:dyDescent="0.25">
      <c r="B664" s="68"/>
      <c r="C664" s="50"/>
      <c r="D664" s="15"/>
    </row>
    <row r="665" spans="2:4" x14ac:dyDescent="0.25">
      <c r="B665" s="68"/>
      <c r="C665" s="50"/>
      <c r="D665" s="15"/>
    </row>
    <row r="666" spans="2:4" x14ac:dyDescent="0.25">
      <c r="B666" s="68"/>
      <c r="C666" s="50"/>
      <c r="D666" s="15"/>
    </row>
    <row r="667" spans="2:4" x14ac:dyDescent="0.25">
      <c r="B667" s="68"/>
      <c r="C667" s="50"/>
      <c r="D667" s="15"/>
    </row>
    <row r="668" spans="2:4" x14ac:dyDescent="0.25">
      <c r="B668" s="68"/>
      <c r="C668" s="50"/>
      <c r="D668" s="15"/>
    </row>
    <row r="669" spans="2:4" x14ac:dyDescent="0.25">
      <c r="B669" s="68"/>
      <c r="C669" s="50"/>
      <c r="D669" s="15"/>
    </row>
    <row r="670" spans="2:4" x14ac:dyDescent="0.25">
      <c r="B670" s="68"/>
      <c r="C670" s="50"/>
      <c r="D670" s="15"/>
    </row>
    <row r="671" spans="2:4" x14ac:dyDescent="0.25">
      <c r="B671" s="68"/>
      <c r="C671" s="50"/>
      <c r="D671" s="15"/>
    </row>
    <row r="672" spans="2:4" x14ac:dyDescent="0.25">
      <c r="B672" s="68"/>
      <c r="C672" s="50"/>
      <c r="D672" s="15"/>
    </row>
    <row r="673" spans="2:4" x14ac:dyDescent="0.25">
      <c r="B673" s="68"/>
      <c r="C673" s="50"/>
      <c r="D673" s="15"/>
    </row>
    <row r="674" spans="2:4" x14ac:dyDescent="0.25">
      <c r="B674" s="68"/>
      <c r="C674" s="50"/>
      <c r="D674" s="15"/>
    </row>
    <row r="675" spans="2:4" x14ac:dyDescent="0.25">
      <c r="B675" s="68"/>
      <c r="C675" s="50"/>
      <c r="D675" s="15"/>
    </row>
    <row r="676" spans="2:4" x14ac:dyDescent="0.25">
      <c r="B676" s="68"/>
      <c r="C676" s="50"/>
      <c r="D676" s="15"/>
    </row>
    <row r="677" spans="2:4" x14ac:dyDescent="0.25">
      <c r="B677" s="68"/>
      <c r="C677" s="50"/>
      <c r="D677" s="15"/>
    </row>
    <row r="678" spans="2:4" x14ac:dyDescent="0.25">
      <c r="B678" s="68"/>
      <c r="C678" s="50"/>
      <c r="D678" s="15"/>
    </row>
    <row r="679" spans="2:4" x14ac:dyDescent="0.25">
      <c r="B679" s="68"/>
      <c r="C679" s="50"/>
      <c r="D679" s="15"/>
    </row>
    <row r="680" spans="2:4" x14ac:dyDescent="0.25">
      <c r="B680" s="68"/>
      <c r="C680" s="50"/>
      <c r="D680" s="15"/>
    </row>
    <row r="681" spans="2:4" x14ac:dyDescent="0.25">
      <c r="B681" s="68"/>
      <c r="C681" s="50"/>
      <c r="D681" s="15"/>
    </row>
    <row r="682" spans="2:4" x14ac:dyDescent="0.25">
      <c r="B682" s="68"/>
      <c r="C682" s="50"/>
      <c r="D682" s="15"/>
    </row>
    <row r="683" spans="2:4" x14ac:dyDescent="0.25">
      <c r="B683" s="68"/>
      <c r="C683" s="50"/>
      <c r="D683" s="15"/>
    </row>
    <row r="684" spans="2:4" x14ac:dyDescent="0.25">
      <c r="B684" s="68"/>
      <c r="C684" s="50"/>
      <c r="D684" s="15"/>
    </row>
    <row r="685" spans="2:4" x14ac:dyDescent="0.25">
      <c r="B685" s="68"/>
      <c r="C685" s="50"/>
      <c r="D685" s="15"/>
    </row>
    <row r="686" spans="2:4" x14ac:dyDescent="0.25">
      <c r="B686" s="68"/>
      <c r="C686" s="50"/>
      <c r="D686" s="15"/>
    </row>
    <row r="687" spans="2:4" x14ac:dyDescent="0.25">
      <c r="B687" s="68"/>
      <c r="C687" s="50"/>
      <c r="D687" s="15"/>
    </row>
    <row r="688" spans="2:4" x14ac:dyDescent="0.25">
      <c r="B688" s="68"/>
      <c r="C688" s="50"/>
      <c r="D688" s="15"/>
    </row>
    <row r="689" spans="2:4" x14ac:dyDescent="0.25">
      <c r="B689" s="68"/>
      <c r="C689" s="50"/>
      <c r="D689" s="15"/>
    </row>
    <row r="690" spans="2:4" x14ac:dyDescent="0.25">
      <c r="B690" s="68"/>
      <c r="C690" s="50"/>
      <c r="D690" s="15"/>
    </row>
    <row r="691" spans="2:4" x14ac:dyDescent="0.25">
      <c r="B691" s="68"/>
      <c r="C691" s="50"/>
      <c r="D691" s="15"/>
    </row>
    <row r="692" spans="2:4" x14ac:dyDescent="0.25">
      <c r="B692" s="68"/>
      <c r="C692" s="50"/>
      <c r="D692" s="15"/>
    </row>
    <row r="693" spans="2:4" x14ac:dyDescent="0.25">
      <c r="B693" s="68"/>
      <c r="C693" s="50"/>
      <c r="D693" s="15"/>
    </row>
    <row r="694" spans="2:4" x14ac:dyDescent="0.25">
      <c r="B694" s="68"/>
      <c r="C694" s="50"/>
      <c r="D694" s="15"/>
    </row>
    <row r="695" spans="2:4" x14ac:dyDescent="0.25">
      <c r="B695" s="68"/>
      <c r="C695" s="50"/>
      <c r="D695" s="15"/>
    </row>
    <row r="696" spans="2:4" x14ac:dyDescent="0.25">
      <c r="B696" s="68"/>
      <c r="C696" s="50"/>
      <c r="D696" s="15"/>
    </row>
    <row r="697" spans="2:4" x14ac:dyDescent="0.25">
      <c r="B697" s="68"/>
      <c r="C697" s="50"/>
      <c r="D697" s="15"/>
    </row>
    <row r="698" spans="2:4" x14ac:dyDescent="0.25">
      <c r="B698" s="68"/>
      <c r="C698" s="50"/>
      <c r="D698" s="15"/>
    </row>
    <row r="699" spans="2:4" x14ac:dyDescent="0.25">
      <c r="B699" s="68"/>
      <c r="C699" s="50"/>
      <c r="D699" s="15"/>
    </row>
    <row r="700" spans="2:4" x14ac:dyDescent="0.25">
      <c r="B700" s="68"/>
      <c r="C700" s="50"/>
      <c r="D700" s="15"/>
    </row>
    <row r="701" spans="2:4" x14ac:dyDescent="0.25">
      <c r="B701" s="68"/>
      <c r="C701" s="50"/>
      <c r="D701" s="15"/>
    </row>
    <row r="702" spans="2:4" x14ac:dyDescent="0.25">
      <c r="B702" s="68"/>
      <c r="C702" s="50"/>
      <c r="D702" s="15"/>
    </row>
    <row r="703" spans="2:4" x14ac:dyDescent="0.25">
      <c r="B703" s="68"/>
      <c r="C703" s="50"/>
      <c r="D703" s="15"/>
    </row>
    <row r="704" spans="2:4" x14ac:dyDescent="0.25">
      <c r="B704" s="68"/>
      <c r="C704" s="50"/>
      <c r="D704" s="15"/>
    </row>
    <row r="705" spans="2:4" x14ac:dyDescent="0.25">
      <c r="B705" s="68"/>
      <c r="C705" s="50"/>
      <c r="D705" s="15"/>
    </row>
    <row r="706" spans="2:4" x14ac:dyDescent="0.25">
      <c r="B706" s="68"/>
      <c r="C706" s="50"/>
      <c r="D706" s="15"/>
    </row>
    <row r="707" spans="2:4" x14ac:dyDescent="0.25">
      <c r="B707" s="68"/>
      <c r="C707" s="50"/>
      <c r="D707" s="15"/>
    </row>
    <row r="708" spans="2:4" x14ac:dyDescent="0.25">
      <c r="B708" s="68"/>
      <c r="C708" s="50"/>
      <c r="D708" s="15"/>
    </row>
    <row r="709" spans="2:4" x14ac:dyDescent="0.25">
      <c r="B709" s="68"/>
      <c r="C709" s="50"/>
      <c r="D709" s="15"/>
    </row>
    <row r="710" spans="2:4" x14ac:dyDescent="0.25">
      <c r="B710" s="68"/>
      <c r="C710" s="50"/>
      <c r="D710" s="15"/>
    </row>
    <row r="711" spans="2:4" x14ac:dyDescent="0.25">
      <c r="B711" s="68"/>
      <c r="C711" s="50"/>
      <c r="D711" s="15"/>
    </row>
    <row r="712" spans="2:4" x14ac:dyDescent="0.25">
      <c r="B712" s="68"/>
      <c r="C712" s="50"/>
      <c r="D712" s="15"/>
    </row>
    <row r="713" spans="2:4" x14ac:dyDescent="0.25">
      <c r="B713" s="68"/>
      <c r="C713" s="50"/>
      <c r="D713" s="15"/>
    </row>
    <row r="714" spans="2:4" x14ac:dyDescent="0.25">
      <c r="B714" s="68"/>
      <c r="C714" s="50"/>
      <c r="D714" s="15"/>
    </row>
    <row r="715" spans="2:4" x14ac:dyDescent="0.25">
      <c r="B715" s="68"/>
      <c r="C715" s="50"/>
      <c r="D715" s="15"/>
    </row>
    <row r="716" spans="2:4" x14ac:dyDescent="0.25">
      <c r="B716" s="68"/>
      <c r="C716" s="50"/>
      <c r="D716" s="15"/>
    </row>
    <row r="717" spans="2:4" x14ac:dyDescent="0.25">
      <c r="B717" s="68"/>
      <c r="C717" s="50"/>
      <c r="D717" s="15"/>
    </row>
    <row r="718" spans="2:4" x14ac:dyDescent="0.25">
      <c r="B718" s="68"/>
      <c r="C718" s="50"/>
      <c r="D718" s="15"/>
    </row>
    <row r="719" spans="2:4" x14ac:dyDescent="0.25">
      <c r="B719" s="68"/>
      <c r="C719" s="50"/>
      <c r="D719" s="15"/>
    </row>
    <row r="720" spans="2:4" x14ac:dyDescent="0.25">
      <c r="B720" s="68"/>
      <c r="C720" s="50"/>
      <c r="D720" s="15"/>
    </row>
    <row r="721" spans="2:4" x14ac:dyDescent="0.25">
      <c r="B721" s="68"/>
      <c r="C721" s="50"/>
      <c r="D721" s="15"/>
    </row>
    <row r="722" spans="2:4" x14ac:dyDescent="0.25">
      <c r="B722" s="68"/>
      <c r="C722" s="50"/>
      <c r="D722" s="15"/>
    </row>
    <row r="723" spans="2:4" x14ac:dyDescent="0.25">
      <c r="B723" s="68"/>
      <c r="C723" s="50"/>
      <c r="D723" s="15"/>
    </row>
    <row r="724" spans="2:4" x14ac:dyDescent="0.25">
      <c r="B724" s="68"/>
      <c r="C724" s="50"/>
      <c r="D724" s="15"/>
    </row>
    <row r="725" spans="2:4" x14ac:dyDescent="0.25">
      <c r="B725" s="68"/>
      <c r="C725" s="50"/>
      <c r="D725" s="15"/>
    </row>
    <row r="726" spans="2:4" x14ac:dyDescent="0.25">
      <c r="B726" s="68"/>
      <c r="C726" s="50"/>
      <c r="D726" s="15"/>
    </row>
    <row r="727" spans="2:4" x14ac:dyDescent="0.25">
      <c r="B727" s="68"/>
      <c r="C727" s="50"/>
      <c r="D727" s="15"/>
    </row>
    <row r="728" spans="2:4" x14ac:dyDescent="0.25">
      <c r="B728" s="68"/>
      <c r="C728" s="50"/>
      <c r="D728" s="15"/>
    </row>
    <row r="729" spans="2:4" x14ac:dyDescent="0.25">
      <c r="B729" s="68"/>
      <c r="C729" s="50"/>
      <c r="D729" s="15"/>
    </row>
    <row r="730" spans="2:4" x14ac:dyDescent="0.25">
      <c r="B730" s="68"/>
      <c r="C730" s="50"/>
      <c r="D730" s="15"/>
    </row>
    <row r="731" spans="2:4" x14ac:dyDescent="0.25">
      <c r="B731" s="68"/>
      <c r="C731" s="50"/>
      <c r="D731" s="15"/>
    </row>
    <row r="732" spans="2:4" x14ac:dyDescent="0.25">
      <c r="B732" s="68"/>
      <c r="C732" s="50"/>
      <c r="D732" s="15"/>
    </row>
    <row r="733" spans="2:4" x14ac:dyDescent="0.25">
      <c r="B733" s="68"/>
      <c r="C733" s="50"/>
      <c r="D733" s="15"/>
    </row>
    <row r="734" spans="2:4" x14ac:dyDescent="0.25">
      <c r="B734" s="68"/>
      <c r="C734" s="50"/>
      <c r="D734" s="15"/>
    </row>
    <row r="735" spans="2:4" x14ac:dyDescent="0.25">
      <c r="B735" s="68"/>
      <c r="C735" s="50"/>
      <c r="D735" s="15"/>
    </row>
    <row r="736" spans="2:4" x14ac:dyDescent="0.25">
      <c r="B736" s="68"/>
      <c r="C736" s="50"/>
      <c r="D736" s="15"/>
    </row>
    <row r="737" spans="2:4" x14ac:dyDescent="0.25">
      <c r="B737" s="68"/>
      <c r="C737" s="50"/>
      <c r="D737" s="15"/>
    </row>
    <row r="738" spans="2:4" x14ac:dyDescent="0.25">
      <c r="B738" s="68"/>
      <c r="C738" s="50"/>
      <c r="D738" s="15"/>
    </row>
    <row r="739" spans="2:4" x14ac:dyDescent="0.25">
      <c r="B739" s="68"/>
      <c r="C739" s="50"/>
      <c r="D739" s="15"/>
    </row>
    <row r="740" spans="2:4" x14ac:dyDescent="0.25">
      <c r="B740" s="68"/>
      <c r="C740" s="50"/>
      <c r="D740" s="15"/>
    </row>
    <row r="741" spans="2:4" x14ac:dyDescent="0.25">
      <c r="B741" s="68"/>
      <c r="C741" s="50"/>
      <c r="D741" s="15"/>
    </row>
    <row r="742" spans="2:4" x14ac:dyDescent="0.25">
      <c r="B742" s="68"/>
      <c r="C742" s="50"/>
      <c r="D742" s="15"/>
    </row>
    <row r="743" spans="2:4" x14ac:dyDescent="0.25">
      <c r="B743" s="68"/>
      <c r="C743" s="50"/>
      <c r="D743" s="15"/>
    </row>
    <row r="744" spans="2:4" x14ac:dyDescent="0.25">
      <c r="B744" s="68"/>
      <c r="C744" s="50"/>
      <c r="D744" s="15"/>
    </row>
    <row r="745" spans="2:4" x14ac:dyDescent="0.25">
      <c r="B745" s="68"/>
      <c r="C745" s="50"/>
      <c r="D745" s="15"/>
    </row>
    <row r="746" spans="2:4" x14ac:dyDescent="0.25">
      <c r="B746" s="68"/>
      <c r="C746" s="50"/>
      <c r="D746" s="15"/>
    </row>
    <row r="747" spans="2:4" x14ac:dyDescent="0.25">
      <c r="B747" s="68"/>
      <c r="C747" s="50"/>
      <c r="D747" s="15"/>
    </row>
    <row r="748" spans="2:4" x14ac:dyDescent="0.25">
      <c r="B748" s="68"/>
      <c r="C748" s="50"/>
      <c r="D748" s="15"/>
    </row>
    <row r="749" spans="2:4" x14ac:dyDescent="0.25">
      <c r="B749" s="68"/>
      <c r="C749" s="50"/>
      <c r="D749" s="15"/>
    </row>
    <row r="750" spans="2:4" x14ac:dyDescent="0.25">
      <c r="B750" s="68"/>
      <c r="C750" s="50"/>
      <c r="D750" s="15"/>
    </row>
    <row r="751" spans="2:4" x14ac:dyDescent="0.25">
      <c r="B751" s="68"/>
      <c r="C751" s="50"/>
      <c r="D751" s="15"/>
    </row>
    <row r="752" spans="2:4" x14ac:dyDescent="0.25">
      <c r="B752" s="68"/>
      <c r="C752" s="50"/>
      <c r="D752" s="15"/>
    </row>
    <row r="753" spans="2:4" x14ac:dyDescent="0.25">
      <c r="B753" s="68"/>
      <c r="C753" s="50"/>
      <c r="D753" s="15"/>
    </row>
    <row r="754" spans="2:4" x14ac:dyDescent="0.25">
      <c r="B754" s="68"/>
      <c r="C754" s="50"/>
      <c r="D754" s="15"/>
    </row>
    <row r="755" spans="2:4" x14ac:dyDescent="0.25">
      <c r="B755" s="68"/>
      <c r="C755" s="50"/>
      <c r="D755" s="15"/>
    </row>
    <row r="756" spans="2:4" x14ac:dyDescent="0.25">
      <c r="B756" s="68"/>
      <c r="C756" s="50"/>
      <c r="D756" s="15"/>
    </row>
    <row r="757" spans="2:4" x14ac:dyDescent="0.25">
      <c r="B757" s="68"/>
      <c r="C757" s="50"/>
      <c r="D757" s="15"/>
    </row>
    <row r="758" spans="2:4" x14ac:dyDescent="0.25">
      <c r="B758" s="68"/>
      <c r="C758" s="50"/>
      <c r="D758" s="15"/>
    </row>
    <row r="759" spans="2:4" x14ac:dyDescent="0.25">
      <c r="B759" s="68"/>
      <c r="C759" s="50"/>
      <c r="D759" s="15"/>
    </row>
    <row r="760" spans="2:4" x14ac:dyDescent="0.25">
      <c r="B760" s="68"/>
      <c r="C760" s="50"/>
      <c r="D760" s="15"/>
    </row>
    <row r="761" spans="2:4" x14ac:dyDescent="0.25">
      <c r="B761" s="68"/>
      <c r="C761" s="50"/>
      <c r="D761" s="15"/>
    </row>
    <row r="762" spans="2:4" x14ac:dyDescent="0.25">
      <c r="B762" s="68"/>
      <c r="C762" s="50"/>
      <c r="D762" s="15"/>
    </row>
    <row r="763" spans="2:4" x14ac:dyDescent="0.25">
      <c r="B763" s="68"/>
      <c r="C763" s="50"/>
      <c r="D763" s="15"/>
    </row>
    <row r="764" spans="2:4" x14ac:dyDescent="0.25">
      <c r="B764" s="68"/>
      <c r="C764" s="50"/>
      <c r="D764" s="15"/>
    </row>
    <row r="765" spans="2:4" x14ac:dyDescent="0.25">
      <c r="B765" s="68"/>
      <c r="C765" s="50"/>
      <c r="D765" s="15"/>
    </row>
    <row r="766" spans="2:4" x14ac:dyDescent="0.25">
      <c r="B766" s="68"/>
      <c r="C766" s="50"/>
      <c r="D766" s="15"/>
    </row>
    <row r="767" spans="2:4" x14ac:dyDescent="0.25">
      <c r="B767" s="68"/>
      <c r="C767" s="50"/>
      <c r="D767" s="15"/>
    </row>
    <row r="768" spans="2:4" x14ac:dyDescent="0.25">
      <c r="B768" s="68"/>
      <c r="C768" s="50"/>
      <c r="D768" s="15"/>
    </row>
    <row r="769" spans="2:4" x14ac:dyDescent="0.25">
      <c r="B769" s="68"/>
      <c r="C769" s="50"/>
      <c r="D769" s="15"/>
    </row>
    <row r="770" spans="2:4" x14ac:dyDescent="0.25">
      <c r="B770" s="68"/>
      <c r="C770" s="50"/>
      <c r="D770" s="15"/>
    </row>
    <row r="771" spans="2:4" x14ac:dyDescent="0.25">
      <c r="B771" s="68"/>
      <c r="C771" s="50"/>
      <c r="D771" s="15"/>
    </row>
    <row r="772" spans="2:4" x14ac:dyDescent="0.25">
      <c r="B772" s="68"/>
      <c r="C772" s="50"/>
      <c r="D772" s="15"/>
    </row>
    <row r="773" spans="2:4" x14ac:dyDescent="0.25">
      <c r="B773" s="68"/>
      <c r="C773" s="50"/>
      <c r="D773" s="15"/>
    </row>
    <row r="774" spans="2:4" x14ac:dyDescent="0.25">
      <c r="B774" s="68"/>
      <c r="C774" s="50"/>
      <c r="D774" s="15"/>
    </row>
    <row r="775" spans="2:4" x14ac:dyDescent="0.25">
      <c r="B775" s="68"/>
      <c r="C775" s="50"/>
      <c r="D775" s="15"/>
    </row>
    <row r="776" spans="2:4" x14ac:dyDescent="0.25">
      <c r="B776" s="68"/>
      <c r="C776" s="50"/>
      <c r="D776" s="15"/>
    </row>
    <row r="777" spans="2:4" x14ac:dyDescent="0.25">
      <c r="B777" s="68"/>
      <c r="C777" s="50"/>
      <c r="D777" s="15"/>
    </row>
    <row r="778" spans="2:4" x14ac:dyDescent="0.25">
      <c r="B778" s="68"/>
      <c r="C778" s="50"/>
      <c r="D778" s="15"/>
    </row>
    <row r="779" spans="2:4" x14ac:dyDescent="0.25">
      <c r="B779" s="68"/>
      <c r="C779" s="50"/>
      <c r="D779" s="15"/>
    </row>
    <row r="780" spans="2:4" x14ac:dyDescent="0.25">
      <c r="B780" s="68"/>
      <c r="C780" s="50"/>
      <c r="D780" s="15"/>
    </row>
    <row r="781" spans="2:4" x14ac:dyDescent="0.25">
      <c r="B781" s="68"/>
      <c r="C781" s="50"/>
      <c r="D781" s="15"/>
    </row>
    <row r="782" spans="2:4" x14ac:dyDescent="0.25">
      <c r="B782" s="68"/>
      <c r="C782" s="50"/>
      <c r="D782" s="15"/>
    </row>
    <row r="783" spans="2:4" x14ac:dyDescent="0.25">
      <c r="B783" s="68"/>
      <c r="C783" s="50"/>
      <c r="D783" s="15"/>
    </row>
    <row r="784" spans="2:4" x14ac:dyDescent="0.25">
      <c r="B784" s="68"/>
      <c r="C784" s="50"/>
      <c r="D784" s="15"/>
    </row>
    <row r="785" spans="2:4" x14ac:dyDescent="0.25">
      <c r="B785" s="68"/>
      <c r="C785" s="50"/>
      <c r="D785" s="15"/>
    </row>
    <row r="786" spans="2:4" x14ac:dyDescent="0.25">
      <c r="B786" s="68"/>
      <c r="C786" s="50"/>
      <c r="D786" s="15"/>
    </row>
    <row r="787" spans="2:4" x14ac:dyDescent="0.25">
      <c r="B787" s="68"/>
      <c r="C787" s="50"/>
      <c r="D787" s="15"/>
    </row>
    <row r="788" spans="2:4" x14ac:dyDescent="0.25">
      <c r="B788" s="68"/>
      <c r="C788" s="50"/>
      <c r="D788" s="15"/>
    </row>
    <row r="789" spans="2:4" x14ac:dyDescent="0.25">
      <c r="B789" s="68"/>
      <c r="C789" s="50"/>
      <c r="D789" s="15"/>
    </row>
    <row r="790" spans="2:4" x14ac:dyDescent="0.25">
      <c r="B790" s="68"/>
      <c r="C790" s="50"/>
      <c r="D790" s="15"/>
    </row>
    <row r="791" spans="2:4" x14ac:dyDescent="0.25">
      <c r="B791" s="68"/>
      <c r="C791" s="50"/>
      <c r="D791" s="15"/>
    </row>
    <row r="792" spans="2:4" x14ac:dyDescent="0.25">
      <c r="B792" s="68"/>
      <c r="C792" s="50"/>
      <c r="D792" s="15"/>
    </row>
    <row r="793" spans="2:4" x14ac:dyDescent="0.25">
      <c r="B793" s="68"/>
      <c r="C793" s="50"/>
      <c r="D793" s="15"/>
    </row>
    <row r="794" spans="2:4" x14ac:dyDescent="0.25">
      <c r="B794" s="68"/>
      <c r="C794" s="50"/>
      <c r="D794" s="15"/>
    </row>
    <row r="795" spans="2:4" x14ac:dyDescent="0.25">
      <c r="B795" s="68"/>
      <c r="C795" s="50"/>
      <c r="D795" s="15"/>
    </row>
    <row r="796" spans="2:4" x14ac:dyDescent="0.25">
      <c r="B796" s="68"/>
      <c r="C796" s="50"/>
      <c r="D796" s="15"/>
    </row>
    <row r="797" spans="2:4" x14ac:dyDescent="0.25">
      <c r="B797" s="68"/>
      <c r="C797" s="50"/>
      <c r="D797" s="15"/>
    </row>
    <row r="798" spans="2:4" x14ac:dyDescent="0.25">
      <c r="B798" s="68"/>
      <c r="C798" s="50"/>
      <c r="D798" s="15"/>
    </row>
    <row r="799" spans="2:4" x14ac:dyDescent="0.25">
      <c r="B799" s="68"/>
      <c r="C799" s="50"/>
      <c r="D799" s="15"/>
    </row>
    <row r="800" spans="2:4" x14ac:dyDescent="0.25">
      <c r="B800" s="68"/>
      <c r="C800" s="50"/>
      <c r="D800" s="15"/>
    </row>
    <row r="801" spans="2:4" x14ac:dyDescent="0.25">
      <c r="B801" s="68"/>
      <c r="C801" s="50"/>
      <c r="D801" s="15"/>
    </row>
    <row r="802" spans="2:4" x14ac:dyDescent="0.25">
      <c r="B802" s="68"/>
      <c r="C802" s="50"/>
      <c r="D802" s="15"/>
    </row>
    <row r="803" spans="2:4" x14ac:dyDescent="0.25">
      <c r="B803" s="68"/>
      <c r="C803" s="50"/>
      <c r="D803" s="15"/>
    </row>
    <row r="804" spans="2:4" x14ac:dyDescent="0.25">
      <c r="B804" s="68"/>
      <c r="C804" s="50"/>
      <c r="D804" s="15"/>
    </row>
    <row r="805" spans="2:4" x14ac:dyDescent="0.25">
      <c r="B805" s="68"/>
      <c r="C805" s="50"/>
      <c r="D805" s="15"/>
    </row>
    <row r="806" spans="2:4" x14ac:dyDescent="0.25">
      <c r="B806" s="68"/>
      <c r="C806" s="50"/>
      <c r="D806" s="15"/>
    </row>
    <row r="807" spans="2:4" x14ac:dyDescent="0.25">
      <c r="B807" s="68"/>
      <c r="C807" s="50"/>
      <c r="D807" s="15"/>
    </row>
    <row r="808" spans="2:4" x14ac:dyDescent="0.25">
      <c r="B808" s="68"/>
      <c r="C808" s="50"/>
      <c r="D808" s="15"/>
    </row>
    <row r="809" spans="2:4" x14ac:dyDescent="0.25">
      <c r="B809" s="68"/>
      <c r="C809" s="50"/>
      <c r="D809" s="15"/>
    </row>
    <row r="810" spans="2:4" x14ac:dyDescent="0.25">
      <c r="B810" s="68"/>
      <c r="C810" s="50"/>
      <c r="D810" s="15"/>
    </row>
    <row r="811" spans="2:4" x14ac:dyDescent="0.25">
      <c r="B811" s="68"/>
      <c r="C811" s="50"/>
      <c r="D811" s="15"/>
    </row>
    <row r="812" spans="2:4" x14ac:dyDescent="0.25">
      <c r="B812" s="68"/>
      <c r="C812" s="50"/>
      <c r="D812" s="15"/>
    </row>
    <row r="813" spans="2:4" x14ac:dyDescent="0.25">
      <c r="B813" s="68"/>
      <c r="C813" s="50"/>
      <c r="D813" s="15"/>
    </row>
    <row r="814" spans="2:4" x14ac:dyDescent="0.25">
      <c r="B814" s="68"/>
      <c r="C814" s="50"/>
      <c r="D814" s="15"/>
    </row>
    <row r="815" spans="2:4" x14ac:dyDescent="0.25">
      <c r="B815" s="68"/>
      <c r="C815" s="50"/>
      <c r="D815" s="15"/>
    </row>
    <row r="816" spans="2:4" x14ac:dyDescent="0.25">
      <c r="B816" s="68"/>
      <c r="C816" s="50"/>
      <c r="D816" s="15"/>
    </row>
    <row r="817" spans="2:4" x14ac:dyDescent="0.25">
      <c r="B817" s="68"/>
      <c r="C817" s="50"/>
      <c r="D817" s="15"/>
    </row>
    <row r="818" spans="2:4" x14ac:dyDescent="0.25">
      <c r="B818" s="68"/>
      <c r="C818" s="50"/>
      <c r="D818" s="15"/>
    </row>
    <row r="819" spans="2:4" x14ac:dyDescent="0.25">
      <c r="B819" s="68"/>
      <c r="C819" s="50"/>
      <c r="D819" s="15"/>
    </row>
    <row r="820" spans="2:4" x14ac:dyDescent="0.25">
      <c r="B820" s="68"/>
      <c r="C820" s="50"/>
      <c r="D820" s="15"/>
    </row>
    <row r="821" spans="2:4" x14ac:dyDescent="0.25">
      <c r="B821" s="68"/>
      <c r="C821" s="50"/>
      <c r="D821" s="15"/>
    </row>
    <row r="822" spans="2:4" x14ac:dyDescent="0.25">
      <c r="B822" s="68"/>
      <c r="C822" s="50"/>
      <c r="D822" s="15"/>
    </row>
    <row r="823" spans="2:4" x14ac:dyDescent="0.25">
      <c r="B823" s="68"/>
      <c r="C823" s="50"/>
      <c r="D823" s="15"/>
    </row>
    <row r="824" spans="2:4" x14ac:dyDescent="0.25">
      <c r="B824" s="68"/>
      <c r="C824" s="50"/>
      <c r="D824" s="15"/>
    </row>
    <row r="825" spans="2:4" x14ac:dyDescent="0.25">
      <c r="B825" s="68"/>
      <c r="C825" s="50"/>
      <c r="D825" s="15"/>
    </row>
    <row r="826" spans="2:4" x14ac:dyDescent="0.25">
      <c r="B826" s="68"/>
      <c r="C826" s="50"/>
      <c r="D826" s="15"/>
    </row>
    <row r="827" spans="2:4" x14ac:dyDescent="0.25">
      <c r="B827" s="68"/>
      <c r="C827" s="50"/>
      <c r="D827" s="15"/>
    </row>
    <row r="828" spans="2:4" x14ac:dyDescent="0.25">
      <c r="B828" s="68"/>
      <c r="C828" s="50"/>
      <c r="D828" s="15"/>
    </row>
    <row r="829" spans="2:4" x14ac:dyDescent="0.25">
      <c r="B829" s="68"/>
      <c r="C829" s="50"/>
      <c r="D829" s="15"/>
    </row>
    <row r="830" spans="2:4" x14ac:dyDescent="0.25">
      <c r="B830" s="68"/>
      <c r="C830" s="50"/>
      <c r="D830" s="15"/>
    </row>
    <row r="831" spans="2:4" x14ac:dyDescent="0.25">
      <c r="B831" s="68"/>
      <c r="C831" s="50"/>
      <c r="D831" s="15"/>
    </row>
    <row r="832" spans="2:4" x14ac:dyDescent="0.25">
      <c r="B832" s="68"/>
      <c r="C832" s="50"/>
      <c r="D832" s="15"/>
    </row>
    <row r="833" spans="2:4" x14ac:dyDescent="0.25">
      <c r="B833" s="68"/>
      <c r="C833" s="50"/>
      <c r="D833" s="15"/>
    </row>
    <row r="834" spans="2:4" x14ac:dyDescent="0.25">
      <c r="B834" s="68"/>
      <c r="C834" s="50"/>
      <c r="D834" s="15"/>
    </row>
    <row r="835" spans="2:4" x14ac:dyDescent="0.25">
      <c r="B835" s="68"/>
      <c r="C835" s="50"/>
      <c r="D835" s="15"/>
    </row>
    <row r="836" spans="2:4" x14ac:dyDescent="0.25">
      <c r="B836" s="68"/>
      <c r="C836" s="50"/>
      <c r="D836" s="15"/>
    </row>
    <row r="837" spans="2:4" x14ac:dyDescent="0.25">
      <c r="B837" s="68"/>
      <c r="C837" s="50"/>
      <c r="D837" s="15"/>
    </row>
    <row r="838" spans="2:4" x14ac:dyDescent="0.25">
      <c r="B838" s="68"/>
      <c r="C838" s="50"/>
      <c r="D838" s="15"/>
    </row>
    <row r="839" spans="2:4" x14ac:dyDescent="0.25">
      <c r="B839" s="68"/>
      <c r="C839" s="50"/>
      <c r="D839" s="15"/>
    </row>
    <row r="840" spans="2:4" x14ac:dyDescent="0.25">
      <c r="B840" s="68"/>
      <c r="C840" s="50"/>
      <c r="D840" s="15"/>
    </row>
    <row r="841" spans="2:4" x14ac:dyDescent="0.25">
      <c r="B841" s="68"/>
      <c r="C841" s="50"/>
      <c r="D841" s="15"/>
    </row>
    <row r="842" spans="2:4" x14ac:dyDescent="0.25">
      <c r="B842" s="68"/>
      <c r="C842" s="50"/>
      <c r="D842" s="15"/>
    </row>
    <row r="843" spans="2:4" x14ac:dyDescent="0.25">
      <c r="B843" s="68"/>
      <c r="C843" s="50"/>
      <c r="D843" s="15"/>
    </row>
    <row r="844" spans="2:4" x14ac:dyDescent="0.25">
      <c r="B844" s="68"/>
      <c r="C844" s="50"/>
      <c r="D844" s="15"/>
    </row>
    <row r="845" spans="2:4" x14ac:dyDescent="0.25">
      <c r="B845" s="68"/>
      <c r="C845" s="50"/>
      <c r="D845" s="15"/>
    </row>
    <row r="846" spans="2:4" x14ac:dyDescent="0.25">
      <c r="B846" s="68"/>
      <c r="C846" s="50"/>
      <c r="D846" s="15"/>
    </row>
    <row r="847" spans="2:4" x14ac:dyDescent="0.25">
      <c r="B847" s="68"/>
      <c r="C847" s="50"/>
      <c r="D847" s="15"/>
    </row>
    <row r="848" spans="2:4" x14ac:dyDescent="0.25">
      <c r="B848" s="68"/>
      <c r="C848" s="50"/>
      <c r="D848" s="15"/>
    </row>
    <row r="849" spans="2:4" x14ac:dyDescent="0.25">
      <c r="B849" s="68"/>
      <c r="C849" s="50"/>
      <c r="D849" s="15"/>
    </row>
    <row r="850" spans="2:4" x14ac:dyDescent="0.25">
      <c r="B850" s="68"/>
      <c r="C850" s="50"/>
      <c r="D850" s="15"/>
    </row>
    <row r="851" spans="2:4" x14ac:dyDescent="0.25">
      <c r="B851" s="68"/>
      <c r="C851" s="50"/>
      <c r="D851" s="15"/>
    </row>
    <row r="852" spans="2:4" x14ac:dyDescent="0.25">
      <c r="B852" s="68"/>
      <c r="C852" s="50"/>
      <c r="D852" s="15"/>
    </row>
    <row r="853" spans="2:4" x14ac:dyDescent="0.25">
      <c r="B853" s="68"/>
      <c r="C853" s="50"/>
      <c r="D853" s="15"/>
    </row>
    <row r="854" spans="2:4" x14ac:dyDescent="0.25">
      <c r="B854" s="68"/>
      <c r="C854" s="50"/>
      <c r="D854" s="15"/>
    </row>
    <row r="855" spans="2:4" x14ac:dyDescent="0.25">
      <c r="B855" s="68"/>
      <c r="C855" s="50"/>
      <c r="D855" s="15"/>
    </row>
    <row r="856" spans="2:4" x14ac:dyDescent="0.25">
      <c r="B856" s="68"/>
      <c r="C856" s="50"/>
      <c r="D856" s="15"/>
    </row>
    <row r="857" spans="2:4" x14ac:dyDescent="0.25">
      <c r="B857" s="68"/>
      <c r="C857" s="50"/>
      <c r="D857" s="15"/>
    </row>
    <row r="858" spans="2:4" x14ac:dyDescent="0.25">
      <c r="B858" s="68"/>
      <c r="C858" s="50"/>
      <c r="D858" s="15"/>
    </row>
    <row r="859" spans="2:4" x14ac:dyDescent="0.25">
      <c r="B859" s="68"/>
      <c r="C859" s="50"/>
      <c r="D859" s="15"/>
    </row>
    <row r="860" spans="2:4" x14ac:dyDescent="0.25">
      <c r="B860" s="68"/>
      <c r="C860" s="50"/>
      <c r="D860" s="15"/>
    </row>
    <row r="861" spans="2:4" x14ac:dyDescent="0.25">
      <c r="B861" s="68"/>
      <c r="C861" s="50"/>
      <c r="D861" s="15"/>
    </row>
    <row r="862" spans="2:4" x14ac:dyDescent="0.25">
      <c r="B862" s="68"/>
      <c r="C862" s="50"/>
      <c r="D862" s="15"/>
    </row>
    <row r="863" spans="2:4" x14ac:dyDescent="0.25">
      <c r="B863" s="68"/>
      <c r="C863" s="50"/>
      <c r="D863" s="15"/>
    </row>
    <row r="864" spans="2:4" x14ac:dyDescent="0.25">
      <c r="B864" s="68"/>
      <c r="C864" s="50"/>
      <c r="D864" s="15"/>
    </row>
    <row r="865" spans="2:4" x14ac:dyDescent="0.25">
      <c r="B865" s="68"/>
      <c r="C865" s="50"/>
      <c r="D865" s="15"/>
    </row>
    <row r="866" spans="2:4" x14ac:dyDescent="0.25">
      <c r="B866" s="68"/>
      <c r="C866" s="50"/>
      <c r="D866" s="15"/>
    </row>
    <row r="867" spans="2:4" x14ac:dyDescent="0.25">
      <c r="B867" s="68"/>
      <c r="C867" s="50"/>
      <c r="D867" s="15"/>
    </row>
    <row r="868" spans="2:4" x14ac:dyDescent="0.25">
      <c r="B868" s="68"/>
      <c r="C868" s="50"/>
      <c r="D868" s="15"/>
    </row>
    <row r="869" spans="2:4" x14ac:dyDescent="0.25">
      <c r="B869" s="68"/>
      <c r="C869" s="50"/>
      <c r="D869" s="15"/>
    </row>
    <row r="870" spans="2:4" x14ac:dyDescent="0.25">
      <c r="B870" s="68"/>
      <c r="C870" s="50"/>
      <c r="D870" s="15"/>
    </row>
    <row r="871" spans="2:4" x14ac:dyDescent="0.25">
      <c r="B871" s="68"/>
      <c r="C871" s="50"/>
      <c r="D871" s="15"/>
    </row>
    <row r="872" spans="2:4" x14ac:dyDescent="0.25">
      <c r="B872" s="68"/>
      <c r="C872" s="50"/>
      <c r="D872" s="15"/>
    </row>
    <row r="873" spans="2:4" x14ac:dyDescent="0.25">
      <c r="B873" s="68"/>
      <c r="C873" s="50"/>
      <c r="D873" s="15"/>
    </row>
    <row r="874" spans="2:4" x14ac:dyDescent="0.25">
      <c r="B874" s="68"/>
      <c r="C874" s="50"/>
      <c r="D874" s="15"/>
    </row>
    <row r="875" spans="2:4" x14ac:dyDescent="0.25">
      <c r="B875" s="68"/>
      <c r="C875" s="50"/>
      <c r="D875" s="15"/>
    </row>
    <row r="876" spans="2:4" x14ac:dyDescent="0.25">
      <c r="B876" s="68"/>
      <c r="C876" s="50"/>
      <c r="D876" s="15"/>
    </row>
    <row r="877" spans="2:4" x14ac:dyDescent="0.25">
      <c r="B877" s="68"/>
      <c r="C877" s="50"/>
      <c r="D877" s="15"/>
    </row>
    <row r="878" spans="2:4" x14ac:dyDescent="0.25">
      <c r="B878" s="68"/>
      <c r="C878" s="50"/>
      <c r="D878" s="15"/>
    </row>
    <row r="879" spans="2:4" x14ac:dyDescent="0.25">
      <c r="B879" s="68"/>
      <c r="C879" s="50"/>
      <c r="D879" s="15"/>
    </row>
    <row r="880" spans="2:4" x14ac:dyDescent="0.25">
      <c r="B880" s="68"/>
      <c r="C880" s="50"/>
      <c r="D880" s="15"/>
    </row>
    <row r="881" spans="2:4" x14ac:dyDescent="0.25">
      <c r="B881" s="68"/>
      <c r="C881" s="50"/>
      <c r="D881" s="15"/>
    </row>
    <row r="882" spans="2:4" x14ac:dyDescent="0.25">
      <c r="B882" s="68"/>
      <c r="C882" s="50"/>
      <c r="D882" s="15"/>
    </row>
    <row r="883" spans="2:4" x14ac:dyDescent="0.25">
      <c r="B883" s="68"/>
      <c r="C883" s="50"/>
      <c r="D883" s="15"/>
    </row>
    <row r="884" spans="2:4" x14ac:dyDescent="0.25">
      <c r="B884" s="68"/>
      <c r="C884" s="50"/>
      <c r="D884" s="15"/>
    </row>
    <row r="885" spans="2:4" x14ac:dyDescent="0.25">
      <c r="B885" s="68"/>
      <c r="C885" s="50"/>
      <c r="D885" s="15"/>
    </row>
    <row r="886" spans="2:4" x14ac:dyDescent="0.25">
      <c r="B886" s="68"/>
      <c r="C886" s="50"/>
      <c r="D886" s="15"/>
    </row>
    <row r="887" spans="2:4" x14ac:dyDescent="0.25">
      <c r="B887" s="68"/>
      <c r="C887" s="50"/>
      <c r="D887" s="15"/>
    </row>
    <row r="888" spans="2:4" x14ac:dyDescent="0.25">
      <c r="B888" s="68"/>
      <c r="C888" s="50"/>
      <c r="D888" s="15"/>
    </row>
    <row r="889" spans="2:4" x14ac:dyDescent="0.25">
      <c r="B889" s="68"/>
      <c r="C889" s="50"/>
      <c r="D889" s="15"/>
    </row>
    <row r="890" spans="2:4" x14ac:dyDescent="0.25">
      <c r="B890" s="68"/>
      <c r="C890" s="50"/>
      <c r="D890" s="15"/>
    </row>
    <row r="891" spans="2:4" x14ac:dyDescent="0.25">
      <c r="B891" s="68"/>
      <c r="C891" s="50"/>
      <c r="D891" s="15"/>
    </row>
    <row r="892" spans="2:4" x14ac:dyDescent="0.25">
      <c r="B892" s="68"/>
      <c r="C892" s="50"/>
      <c r="D892" s="15"/>
    </row>
    <row r="893" spans="2:4" x14ac:dyDescent="0.25">
      <c r="B893" s="68"/>
      <c r="C893" s="50"/>
      <c r="D893" s="15"/>
    </row>
    <row r="894" spans="2:4" x14ac:dyDescent="0.25">
      <c r="B894" s="68"/>
      <c r="C894" s="50"/>
      <c r="D894" s="15"/>
    </row>
    <row r="895" spans="2:4" x14ac:dyDescent="0.25">
      <c r="B895" s="68"/>
      <c r="C895" s="50"/>
      <c r="D895" s="15"/>
    </row>
    <row r="896" spans="2:4" x14ac:dyDescent="0.25">
      <c r="B896" s="68"/>
      <c r="C896" s="50"/>
      <c r="D896" s="15"/>
    </row>
    <row r="897" spans="2:4" x14ac:dyDescent="0.25">
      <c r="B897" s="68"/>
      <c r="C897" s="50"/>
      <c r="D897" s="15"/>
    </row>
    <row r="898" spans="2:4" x14ac:dyDescent="0.25">
      <c r="B898" s="68"/>
      <c r="C898" s="50"/>
      <c r="D898" s="15"/>
    </row>
    <row r="899" spans="2:4" x14ac:dyDescent="0.25">
      <c r="B899" s="68"/>
      <c r="C899" s="50"/>
      <c r="D899" s="15"/>
    </row>
    <row r="900" spans="2:4" x14ac:dyDescent="0.25">
      <c r="B900" s="68"/>
      <c r="C900" s="50"/>
      <c r="D900" s="15"/>
    </row>
    <row r="901" spans="2:4" x14ac:dyDescent="0.25">
      <c r="B901" s="68"/>
      <c r="C901" s="50"/>
      <c r="D901" s="15"/>
    </row>
    <row r="902" spans="2:4" x14ac:dyDescent="0.25">
      <c r="B902" s="68"/>
      <c r="C902" s="50"/>
      <c r="D902" s="15"/>
    </row>
    <row r="903" spans="2:4" x14ac:dyDescent="0.25">
      <c r="B903" s="68"/>
      <c r="C903" s="50"/>
      <c r="D903" s="15"/>
    </row>
    <row r="904" spans="2:4" x14ac:dyDescent="0.25">
      <c r="B904" s="68"/>
      <c r="C904" s="50"/>
      <c r="D904" s="15"/>
    </row>
    <row r="905" spans="2:4" x14ac:dyDescent="0.25">
      <c r="B905" s="68"/>
      <c r="C905" s="50"/>
      <c r="D905" s="15"/>
    </row>
    <row r="906" spans="2:4" x14ac:dyDescent="0.25">
      <c r="B906" s="68"/>
      <c r="C906" s="50"/>
      <c r="D906" s="15"/>
    </row>
    <row r="907" spans="2:4" x14ac:dyDescent="0.25">
      <c r="B907" s="68"/>
      <c r="C907" s="50"/>
      <c r="D907" s="15"/>
    </row>
    <row r="908" spans="2:4" x14ac:dyDescent="0.25">
      <c r="B908" s="68"/>
      <c r="C908" s="50"/>
      <c r="D908" s="15"/>
    </row>
    <row r="909" spans="2:4" x14ac:dyDescent="0.25">
      <c r="B909" s="68"/>
      <c r="C909" s="50"/>
      <c r="D909" s="15"/>
    </row>
    <row r="910" spans="2:4" x14ac:dyDescent="0.25">
      <c r="B910" s="68"/>
      <c r="C910" s="50"/>
      <c r="D910" s="15"/>
    </row>
    <row r="911" spans="2:4" x14ac:dyDescent="0.25">
      <c r="B911" s="68"/>
      <c r="C911" s="50"/>
      <c r="D911" s="15"/>
    </row>
    <row r="912" spans="2:4" x14ac:dyDescent="0.25">
      <c r="B912" s="68"/>
      <c r="C912" s="50"/>
      <c r="D912" s="15"/>
    </row>
    <row r="913" spans="2:4" x14ac:dyDescent="0.25">
      <c r="B913" s="68"/>
      <c r="C913" s="50"/>
      <c r="D913" s="15"/>
    </row>
    <row r="914" spans="2:4" x14ac:dyDescent="0.25">
      <c r="B914" s="68"/>
      <c r="C914" s="50"/>
      <c r="D914" s="15"/>
    </row>
    <row r="915" spans="2:4" x14ac:dyDescent="0.25">
      <c r="B915" s="68"/>
      <c r="C915" s="50"/>
      <c r="D915" s="15"/>
    </row>
    <row r="916" spans="2:4" x14ac:dyDescent="0.25">
      <c r="B916" s="68"/>
      <c r="C916" s="50"/>
      <c r="D916" s="15"/>
    </row>
    <row r="917" spans="2:4" x14ac:dyDescent="0.25">
      <c r="B917" s="68"/>
      <c r="C917" s="50"/>
      <c r="D917" s="15"/>
    </row>
    <row r="918" spans="2:4" x14ac:dyDescent="0.25">
      <c r="B918" s="68"/>
      <c r="C918" s="50"/>
      <c r="D918" s="15"/>
    </row>
    <row r="919" spans="2:4" x14ac:dyDescent="0.25">
      <c r="B919" s="68"/>
      <c r="C919" s="50"/>
      <c r="D919" s="15"/>
    </row>
    <row r="920" spans="2:4" x14ac:dyDescent="0.25">
      <c r="B920" s="68"/>
      <c r="C920" s="50"/>
      <c r="D920" s="15"/>
    </row>
    <row r="921" spans="2:4" x14ac:dyDescent="0.25">
      <c r="B921" s="68"/>
      <c r="C921" s="50"/>
      <c r="D921" s="15"/>
    </row>
    <row r="922" spans="2:4" x14ac:dyDescent="0.25">
      <c r="B922" s="68"/>
      <c r="C922" s="50"/>
      <c r="D922" s="15"/>
    </row>
    <row r="923" spans="2:4" x14ac:dyDescent="0.25">
      <c r="B923" s="68"/>
      <c r="C923" s="50"/>
      <c r="D923" s="15"/>
    </row>
    <row r="924" spans="2:4" x14ac:dyDescent="0.25">
      <c r="B924" s="68"/>
      <c r="C924" s="50"/>
      <c r="D924" s="15"/>
    </row>
    <row r="925" spans="2:4" x14ac:dyDescent="0.25">
      <c r="B925" s="68"/>
      <c r="C925" s="50"/>
      <c r="D925" s="15"/>
    </row>
    <row r="926" spans="2:4" x14ac:dyDescent="0.25">
      <c r="B926" s="68"/>
      <c r="C926" s="50"/>
      <c r="D926" s="15"/>
    </row>
    <row r="927" spans="2:4" x14ac:dyDescent="0.25">
      <c r="B927" s="68"/>
      <c r="C927" s="50"/>
      <c r="D927" s="15"/>
    </row>
    <row r="928" spans="2:4" x14ac:dyDescent="0.25">
      <c r="B928" s="68"/>
      <c r="C928" s="50"/>
      <c r="D928" s="15"/>
    </row>
    <row r="929" spans="2:4" x14ac:dyDescent="0.25">
      <c r="B929" s="68"/>
      <c r="C929" s="50"/>
      <c r="D929" s="15"/>
    </row>
    <row r="930" spans="2:4" x14ac:dyDescent="0.25">
      <c r="B930" s="68"/>
      <c r="C930" s="50"/>
      <c r="D930" s="15"/>
    </row>
    <row r="931" spans="2:4" x14ac:dyDescent="0.25">
      <c r="B931" s="68"/>
      <c r="C931" s="50"/>
      <c r="D931" s="15"/>
    </row>
    <row r="932" spans="2:4" x14ac:dyDescent="0.25">
      <c r="B932" s="68"/>
      <c r="C932" s="50"/>
      <c r="D932" s="15"/>
    </row>
    <row r="933" spans="2:4" x14ac:dyDescent="0.25">
      <c r="B933" s="68"/>
      <c r="C933" s="50"/>
      <c r="D933" s="15"/>
    </row>
    <row r="934" spans="2:4" x14ac:dyDescent="0.25">
      <c r="B934" s="68"/>
      <c r="C934" s="50"/>
      <c r="D934" s="15"/>
    </row>
    <row r="935" spans="2:4" x14ac:dyDescent="0.25">
      <c r="B935" s="68"/>
      <c r="C935" s="50"/>
      <c r="D935" s="15"/>
    </row>
    <row r="936" spans="2:4" x14ac:dyDescent="0.25">
      <c r="B936" s="68"/>
      <c r="C936" s="50"/>
      <c r="D936" s="15"/>
    </row>
    <row r="937" spans="2:4" x14ac:dyDescent="0.25">
      <c r="B937" s="68"/>
      <c r="C937" s="50"/>
      <c r="D937" s="15"/>
    </row>
    <row r="938" spans="2:4" x14ac:dyDescent="0.25">
      <c r="B938" s="68"/>
      <c r="C938" s="50"/>
      <c r="D938" s="15"/>
    </row>
    <row r="939" spans="2:4" x14ac:dyDescent="0.25">
      <c r="B939" s="68"/>
      <c r="C939" s="50"/>
      <c r="D939" s="15"/>
    </row>
    <row r="940" spans="2:4" x14ac:dyDescent="0.25">
      <c r="B940" s="68"/>
      <c r="C940" s="50"/>
      <c r="D940" s="15"/>
    </row>
    <row r="941" spans="2:4" x14ac:dyDescent="0.25">
      <c r="B941" s="68"/>
      <c r="C941" s="50"/>
      <c r="D941" s="15"/>
    </row>
    <row r="942" spans="2:4" x14ac:dyDescent="0.25">
      <c r="B942" s="68"/>
      <c r="C942" s="50"/>
      <c r="D942" s="15"/>
    </row>
    <row r="943" spans="2:4" x14ac:dyDescent="0.25">
      <c r="B943" s="68"/>
      <c r="C943" s="50"/>
      <c r="D943" s="15"/>
    </row>
    <row r="944" spans="2:4" x14ac:dyDescent="0.25">
      <c r="B944" s="68"/>
      <c r="C944" s="50"/>
      <c r="D944" s="15"/>
    </row>
    <row r="945" spans="2:4" x14ac:dyDescent="0.25">
      <c r="B945" s="68"/>
      <c r="C945" s="50"/>
      <c r="D945" s="15"/>
    </row>
    <row r="946" spans="2:4" x14ac:dyDescent="0.25">
      <c r="B946" s="68"/>
      <c r="C946" s="50"/>
      <c r="D946" s="15"/>
    </row>
    <row r="947" spans="2:4" x14ac:dyDescent="0.25">
      <c r="B947" s="68"/>
      <c r="C947" s="50"/>
      <c r="D947" s="15"/>
    </row>
    <row r="948" spans="2:4" x14ac:dyDescent="0.25">
      <c r="B948" s="68"/>
      <c r="C948" s="50"/>
      <c r="D948" s="15"/>
    </row>
    <row r="949" spans="2:4" x14ac:dyDescent="0.25">
      <c r="B949" s="68"/>
      <c r="C949" s="50"/>
      <c r="D949" s="15"/>
    </row>
    <row r="950" spans="2:4" x14ac:dyDescent="0.25">
      <c r="B950" s="68"/>
      <c r="C950" s="50"/>
      <c r="D950" s="15"/>
    </row>
    <row r="951" spans="2:4" x14ac:dyDescent="0.25">
      <c r="B951" s="68"/>
      <c r="C951" s="50"/>
      <c r="D951" s="15"/>
    </row>
    <row r="952" spans="2:4" x14ac:dyDescent="0.25">
      <c r="B952" s="68"/>
      <c r="C952" s="50"/>
      <c r="D952" s="15"/>
    </row>
    <row r="953" spans="2:4" x14ac:dyDescent="0.25">
      <c r="B953" s="68"/>
      <c r="C953" s="50"/>
      <c r="D953" s="15"/>
    </row>
    <row r="954" spans="2:4" x14ac:dyDescent="0.25">
      <c r="B954" s="68"/>
      <c r="C954" s="50"/>
      <c r="D954" s="15"/>
    </row>
    <row r="955" spans="2:4" x14ac:dyDescent="0.25">
      <c r="B955" s="68"/>
      <c r="C955" s="50"/>
      <c r="D955" s="15"/>
    </row>
    <row r="956" spans="2:4" x14ac:dyDescent="0.25">
      <c r="B956" s="68"/>
      <c r="C956" s="50"/>
      <c r="D956" s="15"/>
    </row>
    <row r="957" spans="2:4" x14ac:dyDescent="0.25">
      <c r="B957" s="68"/>
      <c r="C957" s="50"/>
      <c r="D957" s="15"/>
    </row>
    <row r="958" spans="2:4" x14ac:dyDescent="0.25">
      <c r="B958" s="68"/>
      <c r="C958" s="50"/>
      <c r="D958" s="15"/>
    </row>
    <row r="959" spans="2:4" x14ac:dyDescent="0.25">
      <c r="B959" s="68"/>
      <c r="C959" s="50"/>
      <c r="D959" s="15"/>
    </row>
    <row r="960" spans="2:4" x14ac:dyDescent="0.25">
      <c r="B960" s="68"/>
      <c r="C960" s="50"/>
      <c r="D960" s="15"/>
    </row>
    <row r="961" spans="2:4" x14ac:dyDescent="0.25">
      <c r="B961" s="68"/>
      <c r="C961" s="50"/>
      <c r="D961" s="15"/>
    </row>
    <row r="962" spans="2:4" x14ac:dyDescent="0.25">
      <c r="B962" s="68"/>
      <c r="C962" s="50"/>
      <c r="D962" s="15"/>
    </row>
    <row r="963" spans="2:4" x14ac:dyDescent="0.25">
      <c r="B963" s="68"/>
      <c r="C963" s="50"/>
      <c r="D963" s="15"/>
    </row>
    <row r="964" spans="2:4" x14ac:dyDescent="0.25">
      <c r="B964" s="68"/>
      <c r="C964" s="50"/>
      <c r="D964" s="15"/>
    </row>
    <row r="965" spans="2:4" x14ac:dyDescent="0.25">
      <c r="B965" s="68"/>
      <c r="C965" s="50"/>
      <c r="D965" s="15"/>
    </row>
    <row r="966" spans="2:4" x14ac:dyDescent="0.25">
      <c r="B966" s="68"/>
      <c r="C966" s="50"/>
      <c r="D966" s="15"/>
    </row>
    <row r="967" spans="2:4" x14ac:dyDescent="0.25">
      <c r="B967" s="68"/>
      <c r="C967" s="50"/>
      <c r="D967" s="15"/>
    </row>
    <row r="968" spans="2:4" x14ac:dyDescent="0.25">
      <c r="B968" s="68"/>
      <c r="C968" s="50"/>
      <c r="D968" s="15"/>
    </row>
    <row r="969" spans="2:4" x14ac:dyDescent="0.25">
      <c r="B969" s="68"/>
      <c r="C969" s="50"/>
      <c r="D969" s="15"/>
    </row>
    <row r="970" spans="2:4" x14ac:dyDescent="0.25">
      <c r="B970" s="68"/>
      <c r="C970" s="50"/>
      <c r="D970" s="15"/>
    </row>
    <row r="971" spans="2:4" x14ac:dyDescent="0.25">
      <c r="B971" s="68"/>
      <c r="C971" s="50"/>
      <c r="D971" s="15"/>
    </row>
    <row r="972" spans="2:4" x14ac:dyDescent="0.25">
      <c r="B972" s="68"/>
      <c r="C972" s="50"/>
      <c r="D972" s="15"/>
    </row>
    <row r="973" spans="2:4" x14ac:dyDescent="0.25">
      <c r="B973" s="68"/>
      <c r="C973" s="50"/>
      <c r="D973" s="15"/>
    </row>
    <row r="974" spans="2:4" x14ac:dyDescent="0.25">
      <c r="B974" s="68"/>
      <c r="C974" s="50"/>
      <c r="D974" s="15"/>
    </row>
    <row r="975" spans="2:4" x14ac:dyDescent="0.25">
      <c r="B975" s="68"/>
      <c r="C975" s="50"/>
      <c r="D975" s="15"/>
    </row>
    <row r="976" spans="2:4" x14ac:dyDescent="0.25">
      <c r="B976" s="68"/>
      <c r="C976" s="50"/>
      <c r="D976" s="15"/>
    </row>
    <row r="977" spans="2:4" x14ac:dyDescent="0.25">
      <c r="B977" s="68"/>
      <c r="C977" s="50"/>
      <c r="D977" s="15"/>
    </row>
    <row r="978" spans="2:4" x14ac:dyDescent="0.25">
      <c r="B978" s="68"/>
      <c r="C978" s="50"/>
      <c r="D978" s="15"/>
    </row>
    <row r="979" spans="2:4" x14ac:dyDescent="0.25">
      <c r="B979" s="68"/>
      <c r="C979" s="50"/>
      <c r="D979" s="15"/>
    </row>
    <row r="980" spans="2:4" x14ac:dyDescent="0.25">
      <c r="B980" s="68"/>
      <c r="C980" s="50"/>
      <c r="D980" s="15"/>
    </row>
    <row r="981" spans="2:4" x14ac:dyDescent="0.25">
      <c r="B981" s="68"/>
      <c r="C981" s="50"/>
      <c r="D981" s="15"/>
    </row>
    <row r="982" spans="2:4" x14ac:dyDescent="0.25">
      <c r="B982" s="68"/>
      <c r="C982" s="50"/>
      <c r="D982" s="15"/>
    </row>
    <row r="983" spans="2:4" x14ac:dyDescent="0.25">
      <c r="B983" s="68"/>
      <c r="C983" s="50"/>
      <c r="D983" s="15"/>
    </row>
    <row r="984" spans="2:4" x14ac:dyDescent="0.25">
      <c r="B984" s="68"/>
      <c r="C984" s="50"/>
      <c r="D984" s="15"/>
    </row>
    <row r="985" spans="2:4" x14ac:dyDescent="0.25">
      <c r="B985" s="68"/>
      <c r="C985" s="50"/>
      <c r="D985" s="15"/>
    </row>
    <row r="986" spans="2:4" x14ac:dyDescent="0.25">
      <c r="B986" s="68"/>
      <c r="C986" s="50"/>
      <c r="D986" s="15"/>
    </row>
    <row r="987" spans="2:4" x14ac:dyDescent="0.25">
      <c r="B987" s="68"/>
      <c r="C987" s="50"/>
      <c r="D987" s="15"/>
    </row>
    <row r="988" spans="2:4" x14ac:dyDescent="0.25">
      <c r="B988" s="68"/>
      <c r="C988" s="50"/>
      <c r="D988" s="15"/>
    </row>
    <row r="989" spans="2:4" x14ac:dyDescent="0.25">
      <c r="B989" s="68"/>
      <c r="C989" s="50"/>
      <c r="D989" s="15"/>
    </row>
    <row r="990" spans="2:4" x14ac:dyDescent="0.25">
      <c r="B990" s="68"/>
      <c r="C990" s="50"/>
      <c r="D990" s="15"/>
    </row>
    <row r="991" spans="2:4" x14ac:dyDescent="0.25">
      <c r="B991" s="68"/>
      <c r="C991" s="50"/>
      <c r="D991" s="15"/>
    </row>
    <row r="992" spans="2:4" x14ac:dyDescent="0.25">
      <c r="B992" s="68"/>
      <c r="C992" s="50"/>
      <c r="D992" s="15"/>
    </row>
    <row r="993" spans="2:4" x14ac:dyDescent="0.25">
      <c r="B993" s="68"/>
      <c r="C993" s="50"/>
      <c r="D993" s="15"/>
    </row>
    <row r="994" spans="2:4" x14ac:dyDescent="0.25">
      <c r="B994" s="68"/>
      <c r="C994" s="50"/>
      <c r="D994" s="15"/>
    </row>
    <row r="995" spans="2:4" x14ac:dyDescent="0.25">
      <c r="B995" s="68"/>
      <c r="C995" s="50"/>
      <c r="D995" s="15"/>
    </row>
    <row r="996" spans="2:4" x14ac:dyDescent="0.25">
      <c r="B996" s="68"/>
      <c r="C996" s="50"/>
      <c r="D996" s="15"/>
    </row>
    <row r="997" spans="2:4" x14ac:dyDescent="0.25">
      <c r="B997" s="68"/>
      <c r="C997" s="50"/>
      <c r="D997" s="15"/>
    </row>
    <row r="998" spans="2:4" x14ac:dyDescent="0.25">
      <c r="B998" s="68"/>
      <c r="C998" s="50"/>
      <c r="D998" s="15"/>
    </row>
    <row r="999" spans="2:4" x14ac:dyDescent="0.25">
      <c r="B999" s="68"/>
      <c r="C999" s="50"/>
      <c r="D999" s="15"/>
    </row>
    <row r="1000" spans="2:4" x14ac:dyDescent="0.25">
      <c r="B1000" s="68"/>
      <c r="C1000" s="50"/>
      <c r="D1000" s="15"/>
    </row>
    <row r="1001" spans="2:4" x14ac:dyDescent="0.25">
      <c r="B1001" s="68"/>
      <c r="C1001" s="50"/>
      <c r="D1001" s="15"/>
    </row>
    <row r="1002" spans="2:4" x14ac:dyDescent="0.25">
      <c r="B1002" s="68"/>
      <c r="C1002" s="50"/>
      <c r="D1002" s="15"/>
    </row>
    <row r="1003" spans="2:4" x14ac:dyDescent="0.25">
      <c r="B1003" s="68"/>
      <c r="C1003" s="50"/>
      <c r="D1003" s="15"/>
    </row>
    <row r="1004" spans="2:4" x14ac:dyDescent="0.25">
      <c r="B1004" s="68"/>
      <c r="C1004" s="50"/>
      <c r="D1004" s="15"/>
    </row>
    <row r="1005" spans="2:4" x14ac:dyDescent="0.25">
      <c r="B1005" s="68"/>
      <c r="C1005" s="50"/>
      <c r="D1005" s="15"/>
    </row>
    <row r="1006" spans="2:4" x14ac:dyDescent="0.25">
      <c r="B1006" s="68"/>
      <c r="C1006" s="50"/>
      <c r="D1006" s="15"/>
    </row>
    <row r="1007" spans="2:4" x14ac:dyDescent="0.25">
      <c r="B1007" s="68"/>
      <c r="C1007" s="50"/>
      <c r="D1007" s="15"/>
    </row>
    <row r="1008" spans="2:4" x14ac:dyDescent="0.25">
      <c r="B1008" s="68"/>
      <c r="C1008" s="50"/>
      <c r="D1008" s="15"/>
    </row>
    <row r="1009" spans="2:4" x14ac:dyDescent="0.25">
      <c r="B1009" s="68"/>
      <c r="C1009" s="50"/>
      <c r="D1009" s="15"/>
    </row>
    <row r="1010" spans="2:4" x14ac:dyDescent="0.25">
      <c r="B1010" s="68"/>
      <c r="C1010" s="50"/>
      <c r="D1010" s="15"/>
    </row>
    <row r="1011" spans="2:4" x14ac:dyDescent="0.25">
      <c r="B1011" s="68"/>
      <c r="C1011" s="50"/>
      <c r="D1011" s="15"/>
    </row>
    <row r="1012" spans="2:4" x14ac:dyDescent="0.25">
      <c r="B1012" s="68"/>
      <c r="C1012" s="50"/>
      <c r="D1012" s="15"/>
    </row>
    <row r="1013" spans="2:4" x14ac:dyDescent="0.25">
      <c r="B1013" s="68"/>
      <c r="C1013" s="50"/>
      <c r="D1013" s="15"/>
    </row>
    <row r="1014" spans="2:4" x14ac:dyDescent="0.25">
      <c r="B1014" s="68"/>
      <c r="C1014" s="50"/>
      <c r="D1014" s="15"/>
    </row>
    <row r="1015" spans="2:4" x14ac:dyDescent="0.25">
      <c r="B1015" s="68"/>
      <c r="C1015" s="50"/>
      <c r="D1015" s="15"/>
    </row>
    <row r="1016" spans="2:4" x14ac:dyDescent="0.25">
      <c r="B1016" s="68"/>
      <c r="C1016" s="50"/>
      <c r="D1016" s="15"/>
    </row>
    <row r="1017" spans="2:4" x14ac:dyDescent="0.25">
      <c r="B1017" s="68"/>
      <c r="C1017" s="50"/>
      <c r="D1017" s="15"/>
    </row>
    <row r="1018" spans="2:4" x14ac:dyDescent="0.25">
      <c r="B1018" s="68"/>
      <c r="C1018" s="50"/>
      <c r="D1018" s="15"/>
    </row>
    <row r="1019" spans="2:4" x14ac:dyDescent="0.25">
      <c r="B1019" s="68"/>
      <c r="C1019" s="50"/>
      <c r="D1019" s="15"/>
    </row>
    <row r="1020" spans="2:4" x14ac:dyDescent="0.25">
      <c r="B1020" s="68"/>
      <c r="C1020" s="50"/>
      <c r="D1020" s="15"/>
    </row>
    <row r="1021" spans="2:4" x14ac:dyDescent="0.25">
      <c r="B1021" s="68"/>
      <c r="C1021" s="50"/>
      <c r="D1021" s="15"/>
    </row>
    <row r="1022" spans="2:4" x14ac:dyDescent="0.25">
      <c r="B1022" s="68"/>
      <c r="C1022" s="50"/>
      <c r="D1022" s="15"/>
    </row>
    <row r="1023" spans="2:4" x14ac:dyDescent="0.25">
      <c r="B1023" s="68"/>
      <c r="C1023" s="50"/>
      <c r="D1023" s="15"/>
    </row>
    <row r="1024" spans="2:4" x14ac:dyDescent="0.25">
      <c r="B1024" s="68"/>
      <c r="C1024" s="50"/>
      <c r="D1024" s="15"/>
    </row>
    <row r="1025" spans="2:4" x14ac:dyDescent="0.25">
      <c r="B1025" s="68"/>
      <c r="C1025" s="50"/>
      <c r="D1025" s="15"/>
    </row>
    <row r="1026" spans="2:4" x14ac:dyDescent="0.25">
      <c r="B1026" s="68"/>
      <c r="C1026" s="50"/>
      <c r="D1026" s="15"/>
    </row>
    <row r="1027" spans="2:4" x14ac:dyDescent="0.25">
      <c r="B1027" s="68"/>
      <c r="C1027" s="50"/>
      <c r="D1027" s="15"/>
    </row>
    <row r="1028" spans="2:4" x14ac:dyDescent="0.25">
      <c r="B1028" s="68"/>
      <c r="C1028" s="50"/>
      <c r="D1028" s="15"/>
    </row>
    <row r="1029" spans="2:4" x14ac:dyDescent="0.25">
      <c r="B1029" s="68"/>
      <c r="C1029" s="50"/>
      <c r="D1029" s="15"/>
    </row>
    <row r="1030" spans="2:4" x14ac:dyDescent="0.25">
      <c r="B1030" s="68"/>
      <c r="C1030" s="50"/>
      <c r="D1030" s="15"/>
    </row>
    <row r="1031" spans="2:4" x14ac:dyDescent="0.25">
      <c r="B1031" s="68"/>
      <c r="C1031" s="50"/>
      <c r="D1031" s="15"/>
    </row>
    <row r="1032" spans="2:4" x14ac:dyDescent="0.25">
      <c r="B1032" s="68"/>
      <c r="C1032" s="50"/>
      <c r="D1032" s="15"/>
    </row>
    <row r="1033" spans="2:4" x14ac:dyDescent="0.25">
      <c r="B1033" s="68"/>
      <c r="C1033" s="50"/>
      <c r="D1033" s="15"/>
    </row>
    <row r="1034" spans="2:4" x14ac:dyDescent="0.25">
      <c r="B1034" s="68"/>
      <c r="C1034" s="50"/>
      <c r="D1034" s="15"/>
    </row>
    <row r="1035" spans="2:4" x14ac:dyDescent="0.25">
      <c r="B1035" s="68"/>
      <c r="C1035" s="50"/>
      <c r="D1035" s="15"/>
    </row>
    <row r="1036" spans="2:4" x14ac:dyDescent="0.25">
      <c r="B1036" s="68"/>
      <c r="C1036" s="50"/>
      <c r="D1036" s="15"/>
    </row>
    <row r="1037" spans="2:4" x14ac:dyDescent="0.25">
      <c r="B1037" s="68"/>
      <c r="C1037" s="50"/>
      <c r="D1037" s="15"/>
    </row>
    <row r="1038" spans="2:4" x14ac:dyDescent="0.25">
      <c r="B1038" s="68"/>
      <c r="C1038" s="50"/>
      <c r="D1038" s="15"/>
    </row>
    <row r="1039" spans="2:4" x14ac:dyDescent="0.25">
      <c r="B1039" s="68"/>
      <c r="C1039" s="50"/>
      <c r="D1039" s="15"/>
    </row>
    <row r="1040" spans="2:4" x14ac:dyDescent="0.25">
      <c r="B1040" s="68"/>
      <c r="C1040" s="50"/>
      <c r="D1040" s="15"/>
    </row>
    <row r="1041" spans="2:4" x14ac:dyDescent="0.25">
      <c r="B1041" s="68"/>
      <c r="C1041" s="50"/>
      <c r="D1041" s="15"/>
    </row>
    <row r="1042" spans="2:4" x14ac:dyDescent="0.25">
      <c r="B1042" s="68"/>
      <c r="C1042" s="50"/>
      <c r="D1042" s="15"/>
    </row>
    <row r="1043" spans="2:4" x14ac:dyDescent="0.25">
      <c r="B1043" s="68"/>
      <c r="C1043" s="50"/>
      <c r="D1043" s="15"/>
    </row>
    <row r="1044" spans="2:4" x14ac:dyDescent="0.25">
      <c r="B1044" s="68"/>
      <c r="C1044" s="50"/>
      <c r="D1044" s="15"/>
    </row>
    <row r="1045" spans="2:4" x14ac:dyDescent="0.25">
      <c r="B1045" s="68"/>
      <c r="C1045" s="50"/>
      <c r="D1045" s="15"/>
    </row>
    <row r="1046" spans="2:4" x14ac:dyDescent="0.25">
      <c r="B1046" s="68"/>
      <c r="C1046" s="50"/>
      <c r="D1046" s="15"/>
    </row>
    <row r="1047" spans="2:4" x14ac:dyDescent="0.25">
      <c r="B1047" s="68"/>
      <c r="C1047" s="50"/>
      <c r="D1047" s="15"/>
    </row>
    <row r="1048" spans="2:4" x14ac:dyDescent="0.25">
      <c r="B1048" s="68"/>
      <c r="C1048" s="50"/>
      <c r="D1048" s="15"/>
    </row>
    <row r="1049" spans="2:4" x14ac:dyDescent="0.25">
      <c r="B1049" s="68"/>
      <c r="C1049" s="50"/>
      <c r="D1049" s="15"/>
    </row>
    <row r="1050" spans="2:4" x14ac:dyDescent="0.25">
      <c r="B1050" s="68"/>
      <c r="C1050" s="50"/>
      <c r="D1050" s="15"/>
    </row>
    <row r="1051" spans="2:4" x14ac:dyDescent="0.25">
      <c r="B1051" s="68"/>
      <c r="C1051" s="50"/>
      <c r="D1051" s="15"/>
    </row>
    <row r="1052" spans="2:4" x14ac:dyDescent="0.25">
      <c r="B1052" s="68"/>
      <c r="C1052" s="50"/>
      <c r="D1052" s="15"/>
    </row>
    <row r="1053" spans="2:4" x14ac:dyDescent="0.25">
      <c r="B1053" s="68"/>
      <c r="C1053" s="50"/>
      <c r="D1053" s="15"/>
    </row>
    <row r="1054" spans="2:4" x14ac:dyDescent="0.25">
      <c r="B1054" s="68"/>
      <c r="C1054" s="50"/>
      <c r="D1054" s="15"/>
    </row>
    <row r="1055" spans="2:4" x14ac:dyDescent="0.25">
      <c r="B1055" s="68"/>
      <c r="C1055" s="50"/>
      <c r="D1055" s="15"/>
    </row>
    <row r="1056" spans="2:4" x14ac:dyDescent="0.25">
      <c r="B1056" s="68"/>
      <c r="C1056" s="50"/>
      <c r="D1056" s="15"/>
    </row>
    <row r="1057" spans="2:4" x14ac:dyDescent="0.25">
      <c r="B1057" s="68"/>
      <c r="C1057" s="50"/>
      <c r="D1057" s="15"/>
    </row>
    <row r="1058" spans="2:4" x14ac:dyDescent="0.25">
      <c r="B1058" s="68"/>
      <c r="C1058" s="50"/>
      <c r="D1058" s="15"/>
    </row>
    <row r="1059" spans="2:4" x14ac:dyDescent="0.25">
      <c r="B1059" s="68"/>
      <c r="C1059" s="50"/>
      <c r="D1059" s="15"/>
    </row>
    <row r="1060" spans="2:4" x14ac:dyDescent="0.25">
      <c r="B1060" s="68"/>
      <c r="C1060" s="50"/>
      <c r="D1060" s="15"/>
    </row>
    <row r="1061" spans="2:4" x14ac:dyDescent="0.25">
      <c r="B1061" s="68"/>
      <c r="C1061" s="50"/>
      <c r="D1061" s="15"/>
    </row>
    <row r="1062" spans="2:4" x14ac:dyDescent="0.25">
      <c r="B1062" s="68"/>
      <c r="C1062" s="50"/>
      <c r="D1062" s="15"/>
    </row>
    <row r="1063" spans="2:4" x14ac:dyDescent="0.25">
      <c r="B1063" s="68"/>
      <c r="C1063" s="50"/>
      <c r="D1063" s="15"/>
    </row>
    <row r="1064" spans="2:4" x14ac:dyDescent="0.25">
      <c r="B1064" s="68"/>
      <c r="C1064" s="50"/>
      <c r="D1064" s="15"/>
    </row>
    <row r="1065" spans="2:4" x14ac:dyDescent="0.25">
      <c r="B1065" s="68"/>
      <c r="C1065" s="50"/>
      <c r="D1065" s="15"/>
    </row>
    <row r="1066" spans="2:4" x14ac:dyDescent="0.25">
      <c r="B1066" s="68"/>
      <c r="C1066" s="50"/>
      <c r="D1066" s="15"/>
    </row>
    <row r="1067" spans="2:4" x14ac:dyDescent="0.25">
      <c r="B1067" s="68"/>
      <c r="C1067" s="50"/>
      <c r="D1067" s="15"/>
    </row>
    <row r="1068" spans="2:4" x14ac:dyDescent="0.25">
      <c r="B1068" s="68"/>
      <c r="C1068" s="50"/>
      <c r="D1068" s="15"/>
    </row>
    <row r="1069" spans="2:4" x14ac:dyDescent="0.25">
      <c r="B1069" s="68"/>
      <c r="C1069" s="50"/>
      <c r="D1069" s="15"/>
    </row>
    <row r="1070" spans="2:4" x14ac:dyDescent="0.25">
      <c r="B1070" s="68"/>
      <c r="C1070" s="50"/>
      <c r="D1070" s="15"/>
    </row>
    <row r="1071" spans="2:4" x14ac:dyDescent="0.25">
      <c r="B1071" s="68"/>
      <c r="C1071" s="50"/>
      <c r="D1071" s="15"/>
    </row>
    <row r="1072" spans="2:4" x14ac:dyDescent="0.25">
      <c r="B1072" s="68"/>
      <c r="C1072" s="50"/>
      <c r="D1072" s="15"/>
    </row>
    <row r="1073" spans="2:4" x14ac:dyDescent="0.25">
      <c r="B1073" s="68"/>
      <c r="C1073" s="50"/>
      <c r="D1073" s="15"/>
    </row>
    <row r="1074" spans="2:4" x14ac:dyDescent="0.25">
      <c r="B1074" s="68"/>
      <c r="C1074" s="50"/>
      <c r="D1074" s="15"/>
    </row>
    <row r="1075" spans="2:4" x14ac:dyDescent="0.25">
      <c r="B1075" s="68"/>
      <c r="C1075" s="50"/>
      <c r="D1075" s="15"/>
    </row>
    <row r="1076" spans="2:4" x14ac:dyDescent="0.25">
      <c r="B1076" s="68"/>
      <c r="C1076" s="50"/>
      <c r="D1076" s="15"/>
    </row>
    <row r="1077" spans="2:4" x14ac:dyDescent="0.25">
      <c r="B1077" s="68"/>
      <c r="C1077" s="50"/>
      <c r="D1077" s="15"/>
    </row>
    <row r="1078" spans="2:4" x14ac:dyDescent="0.25">
      <c r="B1078" s="68"/>
      <c r="C1078" s="50"/>
      <c r="D1078" s="15"/>
    </row>
    <row r="1079" spans="2:4" x14ac:dyDescent="0.25">
      <c r="B1079" s="68"/>
      <c r="C1079" s="50"/>
      <c r="D1079" s="15"/>
    </row>
    <row r="1080" spans="2:4" x14ac:dyDescent="0.25">
      <c r="B1080" s="68"/>
      <c r="C1080" s="50"/>
      <c r="D1080" s="15"/>
    </row>
    <row r="1081" spans="2:4" x14ac:dyDescent="0.25">
      <c r="B1081" s="68"/>
      <c r="C1081" s="50"/>
      <c r="D1081" s="15"/>
    </row>
    <row r="1082" spans="2:4" x14ac:dyDescent="0.25">
      <c r="B1082" s="68"/>
      <c r="C1082" s="50"/>
      <c r="D1082" s="15"/>
    </row>
    <row r="1083" spans="2:4" x14ac:dyDescent="0.25">
      <c r="B1083" s="68"/>
      <c r="C1083" s="50"/>
      <c r="D1083" s="15"/>
    </row>
    <row r="1084" spans="2:4" x14ac:dyDescent="0.25">
      <c r="B1084" s="68"/>
      <c r="C1084" s="50"/>
      <c r="D1084" s="15"/>
    </row>
    <row r="1085" spans="2:4" x14ac:dyDescent="0.25">
      <c r="B1085" s="68"/>
      <c r="C1085" s="50"/>
      <c r="D1085" s="15"/>
    </row>
    <row r="1086" spans="2:4" x14ac:dyDescent="0.25">
      <c r="B1086" s="68"/>
      <c r="C1086" s="50"/>
      <c r="D1086" s="15"/>
    </row>
    <row r="1087" spans="2:4" x14ac:dyDescent="0.25">
      <c r="B1087" s="68"/>
      <c r="C1087" s="50"/>
      <c r="D1087" s="15"/>
    </row>
    <row r="1088" spans="2:4" x14ac:dyDescent="0.25">
      <c r="B1088" s="68"/>
      <c r="C1088" s="50"/>
      <c r="D1088" s="15"/>
    </row>
    <row r="1089" spans="2:4" x14ac:dyDescent="0.25">
      <c r="B1089" s="68"/>
      <c r="C1089" s="50"/>
      <c r="D1089" s="15"/>
    </row>
    <row r="1090" spans="2:4" x14ac:dyDescent="0.25">
      <c r="B1090" s="68"/>
      <c r="C1090" s="50"/>
      <c r="D1090" s="15"/>
    </row>
    <row r="1091" spans="2:4" x14ac:dyDescent="0.25">
      <c r="B1091" s="68"/>
      <c r="C1091" s="50"/>
      <c r="D1091" s="15"/>
    </row>
    <row r="1092" spans="2:4" x14ac:dyDescent="0.25">
      <c r="B1092" s="68"/>
      <c r="C1092" s="50"/>
      <c r="D1092" s="15"/>
    </row>
    <row r="1093" spans="2:4" x14ac:dyDescent="0.25">
      <c r="B1093" s="68"/>
      <c r="C1093" s="50"/>
      <c r="D1093" s="15"/>
    </row>
    <row r="1094" spans="2:4" x14ac:dyDescent="0.25">
      <c r="B1094" s="68"/>
      <c r="C1094" s="50"/>
      <c r="D1094" s="15"/>
    </row>
    <row r="1095" spans="2:4" x14ac:dyDescent="0.25">
      <c r="B1095" s="68"/>
      <c r="C1095" s="50"/>
      <c r="D1095" s="15"/>
    </row>
    <row r="1096" spans="2:4" x14ac:dyDescent="0.25">
      <c r="B1096" s="68"/>
      <c r="C1096" s="50"/>
      <c r="D1096" s="15"/>
    </row>
    <row r="1097" spans="2:4" x14ac:dyDescent="0.25">
      <c r="B1097" s="68"/>
      <c r="C1097" s="50"/>
      <c r="D1097" s="15"/>
    </row>
    <row r="1098" spans="2:4" x14ac:dyDescent="0.25">
      <c r="B1098" s="68"/>
      <c r="C1098" s="50"/>
      <c r="D1098" s="15"/>
    </row>
    <row r="1099" spans="2:4" x14ac:dyDescent="0.25">
      <c r="B1099" s="68"/>
      <c r="C1099" s="50"/>
      <c r="D1099" s="15"/>
    </row>
    <row r="1100" spans="2:4" x14ac:dyDescent="0.25">
      <c r="B1100" s="68"/>
      <c r="C1100" s="50"/>
      <c r="D1100" s="15"/>
    </row>
    <row r="1101" spans="2:4" x14ac:dyDescent="0.25">
      <c r="B1101" s="68"/>
      <c r="C1101" s="50"/>
      <c r="D1101" s="15"/>
    </row>
    <row r="1102" spans="2:4" x14ac:dyDescent="0.25">
      <c r="B1102" s="68"/>
      <c r="C1102" s="50"/>
      <c r="D1102" s="15"/>
    </row>
    <row r="1103" spans="2:4" x14ac:dyDescent="0.25">
      <c r="B1103" s="68"/>
      <c r="C1103" s="50"/>
      <c r="D1103" s="15"/>
    </row>
    <row r="1104" spans="2:4" x14ac:dyDescent="0.25">
      <c r="B1104" s="68"/>
      <c r="C1104" s="50"/>
      <c r="D1104" s="15"/>
    </row>
    <row r="1105" spans="2:4" x14ac:dyDescent="0.25">
      <c r="B1105" s="68"/>
      <c r="C1105" s="50"/>
      <c r="D1105" s="15"/>
    </row>
    <row r="1106" spans="2:4" x14ac:dyDescent="0.25">
      <c r="B1106" s="68"/>
      <c r="C1106" s="50"/>
      <c r="D1106" s="15"/>
    </row>
    <row r="1107" spans="2:4" x14ac:dyDescent="0.25">
      <c r="B1107" s="68"/>
      <c r="C1107" s="50"/>
      <c r="D1107" s="15"/>
    </row>
    <row r="1108" spans="2:4" x14ac:dyDescent="0.25">
      <c r="B1108" s="68"/>
      <c r="C1108" s="50"/>
      <c r="D1108" s="15"/>
    </row>
    <row r="1109" spans="2:4" x14ac:dyDescent="0.25">
      <c r="B1109" s="68"/>
      <c r="C1109" s="50"/>
      <c r="D1109" s="15"/>
    </row>
    <row r="1110" spans="2:4" x14ac:dyDescent="0.25">
      <c r="B1110" s="68"/>
      <c r="C1110" s="50"/>
      <c r="D1110" s="15"/>
    </row>
    <row r="1111" spans="2:4" x14ac:dyDescent="0.25">
      <c r="B1111" s="68"/>
      <c r="C1111" s="50"/>
      <c r="D1111" s="15"/>
    </row>
    <row r="1112" spans="2:4" x14ac:dyDescent="0.25">
      <c r="B1112" s="68"/>
      <c r="C1112" s="50"/>
      <c r="D1112" s="15"/>
    </row>
    <row r="1113" spans="2:4" x14ac:dyDescent="0.25">
      <c r="B1113" s="68"/>
      <c r="C1113" s="50"/>
      <c r="D1113" s="15"/>
    </row>
    <row r="1114" spans="2:4" x14ac:dyDescent="0.25">
      <c r="B1114" s="68"/>
      <c r="C1114" s="50"/>
      <c r="D1114" s="15"/>
    </row>
    <row r="1115" spans="2:4" x14ac:dyDescent="0.25">
      <c r="B1115" s="68"/>
      <c r="C1115" s="50"/>
      <c r="D1115" s="15"/>
    </row>
    <row r="1116" spans="2:4" x14ac:dyDescent="0.25">
      <c r="B1116" s="68"/>
      <c r="C1116" s="50"/>
      <c r="D1116" s="15"/>
    </row>
    <row r="1117" spans="2:4" x14ac:dyDescent="0.25">
      <c r="B1117" s="68"/>
      <c r="C1117" s="50"/>
      <c r="D1117" s="15"/>
    </row>
    <row r="1118" spans="2:4" x14ac:dyDescent="0.25">
      <c r="B1118" s="68"/>
      <c r="C1118" s="50"/>
      <c r="D1118" s="15"/>
    </row>
    <row r="1119" spans="2:4" x14ac:dyDescent="0.25">
      <c r="B1119" s="68"/>
      <c r="C1119" s="50"/>
      <c r="D1119" s="15"/>
    </row>
    <row r="1120" spans="2:4" x14ac:dyDescent="0.25">
      <c r="B1120" s="68"/>
      <c r="C1120" s="50"/>
      <c r="D1120" s="15"/>
    </row>
    <row r="1121" spans="2:4" x14ac:dyDescent="0.25">
      <c r="B1121" s="68"/>
      <c r="C1121" s="50"/>
      <c r="D1121" s="15"/>
    </row>
    <row r="1122" spans="2:4" x14ac:dyDescent="0.25">
      <c r="B1122" s="68"/>
      <c r="C1122" s="50"/>
      <c r="D1122" s="15"/>
    </row>
    <row r="1123" spans="2:4" x14ac:dyDescent="0.25">
      <c r="B1123" s="68"/>
      <c r="C1123" s="50"/>
      <c r="D1123" s="15"/>
    </row>
    <row r="1124" spans="2:4" x14ac:dyDescent="0.25">
      <c r="B1124" s="68"/>
      <c r="C1124" s="50"/>
      <c r="D1124" s="15"/>
    </row>
    <row r="1125" spans="2:4" x14ac:dyDescent="0.25">
      <c r="B1125" s="68"/>
      <c r="C1125" s="50"/>
      <c r="D1125" s="15"/>
    </row>
    <row r="1126" spans="2:4" x14ac:dyDescent="0.25">
      <c r="B1126" s="68"/>
      <c r="C1126" s="50"/>
      <c r="D1126" s="15"/>
    </row>
    <row r="1127" spans="2:4" x14ac:dyDescent="0.25">
      <c r="B1127" s="68"/>
      <c r="C1127" s="50"/>
      <c r="D1127" s="15"/>
    </row>
    <row r="1128" spans="2:4" x14ac:dyDescent="0.25">
      <c r="B1128" s="68"/>
      <c r="C1128" s="50"/>
      <c r="D1128" s="15"/>
    </row>
    <row r="1129" spans="2:4" x14ac:dyDescent="0.25">
      <c r="B1129" s="68"/>
      <c r="C1129" s="50"/>
      <c r="D1129" s="15"/>
    </row>
    <row r="1130" spans="2:4" x14ac:dyDescent="0.25">
      <c r="B1130" s="68"/>
      <c r="C1130" s="50"/>
      <c r="D1130" s="15"/>
    </row>
    <row r="1131" spans="2:4" x14ac:dyDescent="0.25">
      <c r="B1131" s="68"/>
      <c r="C1131" s="50"/>
      <c r="D1131" s="15"/>
    </row>
    <row r="1132" spans="2:4" x14ac:dyDescent="0.25">
      <c r="B1132" s="68"/>
      <c r="C1132" s="50"/>
      <c r="D1132" s="15"/>
    </row>
    <row r="1133" spans="2:4" x14ac:dyDescent="0.25">
      <c r="B1133" s="68"/>
      <c r="C1133" s="50"/>
      <c r="D1133" s="15"/>
    </row>
    <row r="1134" spans="2:4" x14ac:dyDescent="0.25">
      <c r="B1134" s="68"/>
      <c r="C1134" s="50"/>
      <c r="D1134" s="15"/>
    </row>
    <row r="1135" spans="2:4" x14ac:dyDescent="0.25">
      <c r="B1135" s="68"/>
      <c r="C1135" s="50"/>
      <c r="D1135" s="15"/>
    </row>
    <row r="1136" spans="2:4" x14ac:dyDescent="0.25">
      <c r="B1136" s="68"/>
      <c r="C1136" s="50"/>
      <c r="D1136" s="15"/>
    </row>
    <row r="1137" spans="2:4" x14ac:dyDescent="0.25">
      <c r="B1137" s="68"/>
      <c r="C1137" s="50"/>
      <c r="D1137" s="15"/>
    </row>
    <row r="1138" spans="2:4" x14ac:dyDescent="0.25">
      <c r="B1138" s="68"/>
      <c r="C1138" s="50"/>
      <c r="D1138" s="15"/>
    </row>
    <row r="1139" spans="2:4" x14ac:dyDescent="0.25">
      <c r="B1139" s="68"/>
      <c r="C1139" s="50"/>
      <c r="D1139" s="15"/>
    </row>
    <row r="1140" spans="2:4" x14ac:dyDescent="0.25">
      <c r="B1140" s="68"/>
      <c r="C1140" s="50"/>
      <c r="D1140" s="15"/>
    </row>
    <row r="1141" spans="2:4" x14ac:dyDescent="0.25">
      <c r="B1141" s="68"/>
      <c r="C1141" s="50"/>
      <c r="D1141" s="15"/>
    </row>
    <row r="1142" spans="2:4" x14ac:dyDescent="0.25">
      <c r="B1142" s="68"/>
      <c r="C1142" s="50"/>
      <c r="D1142" s="15"/>
    </row>
    <row r="1143" spans="2:4" x14ac:dyDescent="0.25">
      <c r="B1143" s="68"/>
      <c r="C1143" s="50"/>
      <c r="D1143" s="15"/>
    </row>
    <row r="1144" spans="2:4" x14ac:dyDescent="0.25">
      <c r="B1144" s="68"/>
      <c r="C1144" s="50"/>
      <c r="D1144" s="15"/>
    </row>
    <row r="1145" spans="2:4" x14ac:dyDescent="0.25">
      <c r="B1145" s="68"/>
      <c r="C1145" s="50"/>
      <c r="D1145" s="15"/>
    </row>
    <row r="1146" spans="2:4" x14ac:dyDescent="0.25">
      <c r="B1146" s="68"/>
      <c r="C1146" s="50"/>
      <c r="D1146" s="15"/>
    </row>
    <row r="1147" spans="2:4" x14ac:dyDescent="0.25">
      <c r="B1147" s="68"/>
      <c r="C1147" s="50"/>
      <c r="D1147" s="15"/>
    </row>
    <row r="1148" spans="2:4" x14ac:dyDescent="0.25">
      <c r="B1148" s="68"/>
      <c r="C1148" s="50"/>
      <c r="D1148" s="15"/>
    </row>
    <row r="1149" spans="2:4" x14ac:dyDescent="0.25">
      <c r="B1149" s="68"/>
      <c r="C1149" s="50"/>
      <c r="D1149" s="15"/>
    </row>
    <row r="1150" spans="2:4" x14ac:dyDescent="0.25">
      <c r="B1150" s="68"/>
      <c r="C1150" s="50"/>
      <c r="D1150" s="15"/>
    </row>
    <row r="1151" spans="2:4" x14ac:dyDescent="0.25">
      <c r="B1151" s="68"/>
      <c r="C1151" s="50"/>
      <c r="D1151" s="15"/>
    </row>
    <row r="1152" spans="2:4" x14ac:dyDescent="0.25">
      <c r="B1152" s="68"/>
      <c r="C1152" s="50"/>
      <c r="D1152" s="15"/>
    </row>
    <row r="1153" spans="2:4" x14ac:dyDescent="0.25">
      <c r="B1153" s="68"/>
      <c r="C1153" s="50"/>
      <c r="D1153" s="15"/>
    </row>
    <row r="1154" spans="2:4" x14ac:dyDescent="0.25">
      <c r="B1154" s="68"/>
      <c r="C1154" s="50"/>
      <c r="D1154" s="15"/>
    </row>
    <row r="1155" spans="2:4" x14ac:dyDescent="0.25">
      <c r="B1155" s="68"/>
      <c r="C1155" s="50"/>
      <c r="D1155" s="15"/>
    </row>
    <row r="1156" spans="2:4" x14ac:dyDescent="0.25">
      <c r="B1156" s="68"/>
      <c r="C1156" s="50"/>
      <c r="D1156" s="15"/>
    </row>
    <row r="1157" spans="2:4" x14ac:dyDescent="0.25">
      <c r="B1157" s="68"/>
      <c r="C1157" s="50"/>
      <c r="D1157" s="15"/>
    </row>
    <row r="1158" spans="2:4" x14ac:dyDescent="0.25">
      <c r="B1158" s="68"/>
      <c r="C1158" s="50"/>
      <c r="D1158" s="15"/>
    </row>
    <row r="1159" spans="2:4" x14ac:dyDescent="0.25">
      <c r="B1159" s="68"/>
      <c r="C1159" s="50"/>
      <c r="D1159" s="15"/>
    </row>
    <row r="1160" spans="2:4" x14ac:dyDescent="0.25">
      <c r="B1160" s="68"/>
      <c r="C1160" s="50"/>
      <c r="D1160" s="15"/>
    </row>
    <row r="1161" spans="2:4" x14ac:dyDescent="0.25">
      <c r="B1161" s="68"/>
      <c r="C1161" s="50"/>
      <c r="D1161" s="15"/>
    </row>
    <row r="1162" spans="2:4" x14ac:dyDescent="0.25">
      <c r="B1162" s="68"/>
      <c r="C1162" s="50"/>
      <c r="D1162" s="15"/>
    </row>
    <row r="1163" spans="2:4" x14ac:dyDescent="0.25">
      <c r="B1163" s="68"/>
      <c r="C1163" s="50"/>
      <c r="D1163" s="15"/>
    </row>
    <row r="1164" spans="2:4" x14ac:dyDescent="0.25">
      <c r="B1164" s="68"/>
      <c r="C1164" s="50"/>
      <c r="D1164" s="15"/>
    </row>
    <row r="1165" spans="2:4" x14ac:dyDescent="0.25">
      <c r="B1165" s="68"/>
      <c r="C1165" s="50"/>
      <c r="D1165" s="15"/>
    </row>
    <row r="1166" spans="2:4" x14ac:dyDescent="0.25">
      <c r="B1166" s="68"/>
      <c r="C1166" s="50"/>
      <c r="D1166" s="15"/>
    </row>
    <row r="1167" spans="2:4" x14ac:dyDescent="0.25">
      <c r="B1167" s="68"/>
      <c r="C1167" s="50"/>
      <c r="D1167" s="15"/>
    </row>
    <row r="1168" spans="2:4" x14ac:dyDescent="0.25">
      <c r="B1168" s="68"/>
      <c r="C1168" s="50"/>
      <c r="D1168" s="15"/>
    </row>
    <row r="1169" spans="2:4" x14ac:dyDescent="0.25">
      <c r="B1169" s="68"/>
      <c r="C1169" s="50"/>
      <c r="D1169" s="15"/>
    </row>
    <row r="1170" spans="2:4" x14ac:dyDescent="0.25">
      <c r="B1170" s="68"/>
      <c r="C1170" s="50"/>
      <c r="D1170" s="15"/>
    </row>
    <row r="1171" spans="2:4" x14ac:dyDescent="0.25">
      <c r="B1171" s="68"/>
      <c r="C1171" s="50"/>
      <c r="D1171" s="15"/>
    </row>
    <row r="1172" spans="2:4" x14ac:dyDescent="0.25">
      <c r="B1172" s="68"/>
      <c r="C1172" s="50"/>
      <c r="D1172" s="15"/>
    </row>
    <row r="1173" spans="2:4" x14ac:dyDescent="0.25">
      <c r="B1173" s="68"/>
      <c r="C1173" s="50"/>
      <c r="D1173" s="15"/>
    </row>
    <row r="1174" spans="2:4" x14ac:dyDescent="0.25">
      <c r="B1174" s="68"/>
      <c r="C1174" s="50"/>
      <c r="D1174" s="15"/>
    </row>
    <row r="1175" spans="2:4" x14ac:dyDescent="0.25">
      <c r="B1175" s="68"/>
      <c r="C1175" s="50"/>
      <c r="D1175" s="15"/>
    </row>
    <row r="1176" spans="2:4" x14ac:dyDescent="0.25">
      <c r="B1176" s="68"/>
      <c r="C1176" s="50"/>
      <c r="D1176" s="15"/>
    </row>
    <row r="1177" spans="2:4" x14ac:dyDescent="0.25">
      <c r="B1177" s="68"/>
      <c r="C1177" s="50"/>
      <c r="D1177" s="15"/>
    </row>
    <row r="1178" spans="2:4" x14ac:dyDescent="0.25">
      <c r="B1178" s="68"/>
      <c r="C1178" s="50"/>
      <c r="D1178" s="15"/>
    </row>
    <row r="1179" spans="2:4" x14ac:dyDescent="0.25">
      <c r="B1179" s="68"/>
      <c r="C1179" s="50"/>
      <c r="D1179" s="15"/>
    </row>
    <row r="1180" spans="2:4" x14ac:dyDescent="0.25">
      <c r="B1180" s="68"/>
      <c r="C1180" s="50"/>
      <c r="D1180" s="15"/>
    </row>
    <row r="1181" spans="2:4" x14ac:dyDescent="0.25">
      <c r="B1181" s="68"/>
      <c r="C1181" s="50"/>
      <c r="D1181" s="15"/>
    </row>
    <row r="1182" spans="2:4" x14ac:dyDescent="0.25">
      <c r="B1182" s="68"/>
      <c r="C1182" s="50"/>
      <c r="D1182" s="15"/>
    </row>
    <row r="1183" spans="2:4" x14ac:dyDescent="0.25">
      <c r="B1183" s="68"/>
      <c r="C1183" s="50"/>
      <c r="D1183" s="15"/>
    </row>
    <row r="1184" spans="2:4" x14ac:dyDescent="0.25">
      <c r="B1184" s="68"/>
      <c r="C1184" s="50"/>
      <c r="D1184" s="15"/>
    </row>
    <row r="1185" spans="2:4" x14ac:dyDescent="0.25">
      <c r="B1185" s="68"/>
      <c r="C1185" s="50"/>
      <c r="D1185" s="15"/>
    </row>
    <row r="1186" spans="2:4" x14ac:dyDescent="0.25">
      <c r="B1186" s="68"/>
      <c r="C1186" s="50"/>
      <c r="D1186" s="15"/>
    </row>
    <row r="1187" spans="2:4" x14ac:dyDescent="0.25">
      <c r="B1187" s="68"/>
      <c r="C1187" s="50"/>
      <c r="D1187" s="15"/>
    </row>
    <row r="1188" spans="2:4" x14ac:dyDescent="0.25">
      <c r="B1188" s="68"/>
      <c r="C1188" s="50"/>
      <c r="D1188" s="15"/>
    </row>
    <row r="1189" spans="2:4" x14ac:dyDescent="0.25">
      <c r="B1189" s="68"/>
      <c r="C1189" s="50"/>
      <c r="D1189" s="15"/>
    </row>
    <row r="1190" spans="2:4" x14ac:dyDescent="0.25">
      <c r="B1190" s="68"/>
      <c r="C1190" s="50"/>
      <c r="D1190" s="15"/>
    </row>
    <row r="1191" spans="2:4" x14ac:dyDescent="0.25">
      <c r="B1191" s="68"/>
      <c r="C1191" s="50"/>
      <c r="D1191" s="15"/>
    </row>
    <row r="1192" spans="2:4" x14ac:dyDescent="0.25">
      <c r="B1192" s="68"/>
      <c r="C1192" s="50"/>
      <c r="D1192" s="15"/>
    </row>
    <row r="1193" spans="2:4" x14ac:dyDescent="0.25">
      <c r="B1193" s="68"/>
      <c r="C1193" s="50"/>
      <c r="D1193" s="15"/>
    </row>
    <row r="1194" spans="2:4" x14ac:dyDescent="0.25">
      <c r="B1194" s="68"/>
      <c r="C1194" s="50"/>
      <c r="D1194" s="15"/>
    </row>
    <row r="1195" spans="2:4" x14ac:dyDescent="0.25">
      <c r="B1195" s="68"/>
      <c r="C1195" s="50"/>
      <c r="D1195" s="15"/>
    </row>
    <row r="1196" spans="2:4" x14ac:dyDescent="0.25">
      <c r="B1196" s="68"/>
      <c r="C1196" s="50"/>
      <c r="D1196" s="15"/>
    </row>
    <row r="1197" spans="2:4" x14ac:dyDescent="0.25">
      <c r="B1197" s="68"/>
      <c r="C1197" s="50"/>
      <c r="D1197" s="15"/>
    </row>
    <row r="1198" spans="2:4" x14ac:dyDescent="0.25">
      <c r="B1198" s="68"/>
      <c r="C1198" s="50"/>
      <c r="D1198" s="15"/>
    </row>
    <row r="1199" spans="2:4" x14ac:dyDescent="0.25">
      <c r="B1199" s="68"/>
      <c r="C1199" s="50"/>
      <c r="D1199" s="15"/>
    </row>
    <row r="1200" spans="2:4" x14ac:dyDescent="0.25">
      <c r="B1200" s="68"/>
      <c r="C1200" s="50"/>
      <c r="D1200" s="15"/>
    </row>
    <row r="1201" spans="2:4" x14ac:dyDescent="0.25">
      <c r="B1201" s="68"/>
      <c r="C1201" s="50"/>
      <c r="D1201" s="15"/>
    </row>
    <row r="1202" spans="2:4" x14ac:dyDescent="0.25">
      <c r="B1202" s="68"/>
      <c r="C1202" s="50"/>
      <c r="D1202" s="15"/>
    </row>
    <row r="1203" spans="2:4" x14ac:dyDescent="0.25">
      <c r="B1203" s="68"/>
      <c r="C1203" s="50"/>
      <c r="D1203" s="15"/>
    </row>
    <row r="1204" spans="2:4" x14ac:dyDescent="0.25">
      <c r="B1204" s="68"/>
      <c r="C1204" s="50"/>
      <c r="D1204" s="15"/>
    </row>
    <row r="1205" spans="2:4" x14ac:dyDescent="0.25">
      <c r="B1205" s="68"/>
      <c r="C1205" s="50"/>
      <c r="D1205" s="15"/>
    </row>
    <row r="1206" spans="2:4" x14ac:dyDescent="0.25">
      <c r="B1206" s="68"/>
      <c r="C1206" s="50"/>
      <c r="D1206" s="15"/>
    </row>
    <row r="1207" spans="2:4" x14ac:dyDescent="0.25">
      <c r="B1207" s="68"/>
      <c r="C1207" s="50"/>
      <c r="D1207" s="15"/>
    </row>
    <row r="1208" spans="2:4" x14ac:dyDescent="0.25">
      <c r="B1208" s="68"/>
      <c r="C1208" s="50"/>
      <c r="D1208" s="15"/>
    </row>
    <row r="1209" spans="2:4" x14ac:dyDescent="0.25">
      <c r="B1209" s="68"/>
      <c r="C1209" s="50"/>
      <c r="D1209" s="15"/>
    </row>
    <row r="1210" spans="2:4" x14ac:dyDescent="0.25">
      <c r="B1210" s="68"/>
      <c r="C1210" s="50"/>
      <c r="D1210" s="15"/>
    </row>
    <row r="1211" spans="2:4" x14ac:dyDescent="0.25">
      <c r="B1211" s="68"/>
      <c r="C1211" s="50"/>
      <c r="D1211" s="15"/>
    </row>
    <row r="1212" spans="2:4" x14ac:dyDescent="0.25">
      <c r="B1212" s="68"/>
      <c r="C1212" s="50"/>
      <c r="D1212" s="15"/>
    </row>
    <row r="1213" spans="2:4" x14ac:dyDescent="0.25">
      <c r="B1213" s="68"/>
      <c r="C1213" s="50"/>
      <c r="D1213" s="15"/>
    </row>
    <row r="1214" spans="2:4" x14ac:dyDescent="0.25">
      <c r="B1214" s="68"/>
      <c r="C1214" s="50"/>
      <c r="D1214" s="15"/>
    </row>
    <row r="1215" spans="2:4" x14ac:dyDescent="0.25">
      <c r="B1215" s="68"/>
      <c r="C1215" s="50"/>
      <c r="D1215" s="15"/>
    </row>
    <row r="1216" spans="2:4" x14ac:dyDescent="0.25">
      <c r="B1216" s="68"/>
      <c r="C1216" s="50"/>
      <c r="D1216" s="15"/>
    </row>
    <row r="1217" spans="2:4" x14ac:dyDescent="0.25">
      <c r="B1217" s="68"/>
      <c r="C1217" s="50"/>
      <c r="D1217" s="15"/>
    </row>
    <row r="1218" spans="2:4" x14ac:dyDescent="0.25">
      <c r="B1218" s="68"/>
      <c r="C1218" s="50"/>
      <c r="D1218" s="15"/>
    </row>
    <row r="1219" spans="2:4" x14ac:dyDescent="0.25">
      <c r="B1219" s="68"/>
      <c r="C1219" s="50"/>
      <c r="D1219" s="15"/>
    </row>
    <row r="1220" spans="2:4" x14ac:dyDescent="0.25">
      <c r="B1220" s="68"/>
      <c r="C1220" s="50"/>
      <c r="D1220" s="15"/>
    </row>
    <row r="1221" spans="2:4" x14ac:dyDescent="0.25">
      <c r="B1221" s="68"/>
      <c r="C1221" s="50"/>
      <c r="D1221" s="15"/>
    </row>
    <row r="1222" spans="2:4" x14ac:dyDescent="0.25">
      <c r="B1222" s="68"/>
      <c r="C1222" s="50"/>
      <c r="D1222" s="15"/>
    </row>
    <row r="1223" spans="2:4" x14ac:dyDescent="0.25">
      <c r="B1223" s="68"/>
      <c r="C1223" s="50"/>
      <c r="D1223" s="15"/>
    </row>
    <row r="1224" spans="2:4" x14ac:dyDescent="0.25">
      <c r="B1224" s="68"/>
      <c r="C1224" s="50"/>
      <c r="D1224" s="15"/>
    </row>
    <row r="1225" spans="2:4" x14ac:dyDescent="0.25">
      <c r="B1225" s="68"/>
      <c r="C1225" s="50"/>
      <c r="D1225" s="15"/>
    </row>
    <row r="1226" spans="2:4" x14ac:dyDescent="0.25">
      <c r="B1226" s="68"/>
      <c r="C1226" s="50"/>
      <c r="D1226" s="15"/>
    </row>
    <row r="1227" spans="2:4" x14ac:dyDescent="0.25">
      <c r="B1227" s="68"/>
      <c r="C1227" s="50"/>
      <c r="D1227" s="15"/>
    </row>
    <row r="1228" spans="2:4" x14ac:dyDescent="0.25">
      <c r="B1228" s="68"/>
      <c r="C1228" s="50"/>
      <c r="D1228" s="15"/>
    </row>
    <row r="1229" spans="2:4" x14ac:dyDescent="0.25">
      <c r="B1229" s="68"/>
      <c r="C1229" s="50"/>
      <c r="D1229" s="15"/>
    </row>
    <row r="1230" spans="2:4" x14ac:dyDescent="0.25">
      <c r="B1230" s="68"/>
      <c r="C1230" s="50"/>
      <c r="D1230" s="15"/>
    </row>
    <row r="1231" spans="2:4" x14ac:dyDescent="0.25">
      <c r="B1231" s="68"/>
      <c r="C1231" s="50"/>
      <c r="D1231" s="15"/>
    </row>
    <row r="1232" spans="2:4" x14ac:dyDescent="0.25">
      <c r="B1232" s="68"/>
      <c r="C1232" s="50"/>
      <c r="D1232" s="15"/>
    </row>
    <row r="1233" spans="2:4" x14ac:dyDescent="0.25">
      <c r="B1233" s="68"/>
      <c r="C1233" s="50"/>
      <c r="D1233" s="15"/>
    </row>
    <row r="1234" spans="2:4" x14ac:dyDescent="0.25">
      <c r="B1234" s="68"/>
      <c r="C1234" s="50"/>
      <c r="D1234" s="15"/>
    </row>
    <row r="1235" spans="2:4" x14ac:dyDescent="0.25">
      <c r="B1235" s="68"/>
      <c r="C1235" s="50"/>
      <c r="D1235" s="15"/>
    </row>
    <row r="1236" spans="2:4" x14ac:dyDescent="0.25">
      <c r="B1236" s="68"/>
      <c r="C1236" s="50"/>
      <c r="D1236" s="15"/>
    </row>
    <row r="1237" spans="2:4" x14ac:dyDescent="0.25">
      <c r="B1237" s="68"/>
      <c r="C1237" s="50"/>
      <c r="D1237" s="15"/>
    </row>
    <row r="1238" spans="2:4" x14ac:dyDescent="0.25">
      <c r="B1238" s="68"/>
      <c r="C1238" s="50"/>
      <c r="D1238" s="15"/>
    </row>
    <row r="1239" spans="2:4" x14ac:dyDescent="0.25">
      <c r="B1239" s="68"/>
      <c r="C1239" s="50"/>
      <c r="D1239" s="15"/>
    </row>
    <row r="1240" spans="2:4" x14ac:dyDescent="0.25">
      <c r="B1240" s="68"/>
      <c r="C1240" s="50"/>
      <c r="D1240" s="15"/>
    </row>
    <row r="1241" spans="2:4" x14ac:dyDescent="0.25">
      <c r="B1241" s="68"/>
      <c r="C1241" s="50"/>
      <c r="D1241" s="15"/>
    </row>
    <row r="1242" spans="2:4" x14ac:dyDescent="0.25">
      <c r="B1242" s="68"/>
      <c r="C1242" s="50"/>
      <c r="D1242" s="15"/>
    </row>
    <row r="1243" spans="2:4" x14ac:dyDescent="0.25">
      <c r="B1243" s="68"/>
      <c r="C1243" s="50"/>
      <c r="D1243" s="15"/>
    </row>
    <row r="1244" spans="2:4" x14ac:dyDescent="0.25">
      <c r="B1244" s="68"/>
      <c r="C1244" s="50"/>
      <c r="D1244" s="15"/>
    </row>
    <row r="1245" spans="2:4" x14ac:dyDescent="0.25">
      <c r="B1245" s="68"/>
      <c r="C1245" s="50"/>
      <c r="D1245" s="15"/>
    </row>
    <row r="1246" spans="2:4" x14ac:dyDescent="0.25">
      <c r="B1246" s="68"/>
      <c r="C1246" s="50"/>
      <c r="D1246" s="15"/>
    </row>
    <row r="1247" spans="2:4" x14ac:dyDescent="0.25">
      <c r="B1247" s="68"/>
      <c r="C1247" s="50"/>
      <c r="D1247" s="15"/>
    </row>
    <row r="1248" spans="2:4" x14ac:dyDescent="0.25">
      <c r="B1248" s="68"/>
      <c r="C1248" s="50"/>
      <c r="D1248" s="15"/>
    </row>
    <row r="1249" spans="2:4" x14ac:dyDescent="0.25">
      <c r="B1249" s="68"/>
      <c r="C1249" s="50"/>
      <c r="D1249" s="15"/>
    </row>
    <row r="1250" spans="2:4" x14ac:dyDescent="0.25">
      <c r="B1250" s="68"/>
      <c r="C1250" s="50"/>
      <c r="D1250" s="15"/>
    </row>
    <row r="1251" spans="2:4" x14ac:dyDescent="0.25">
      <c r="B1251" s="68"/>
      <c r="C1251" s="50"/>
      <c r="D1251" s="15"/>
    </row>
    <row r="1252" spans="2:4" x14ac:dyDescent="0.25">
      <c r="B1252" s="68"/>
      <c r="C1252" s="50"/>
      <c r="D1252" s="15"/>
    </row>
    <row r="1253" spans="2:4" x14ac:dyDescent="0.25">
      <c r="B1253" s="68"/>
      <c r="C1253" s="50"/>
      <c r="D1253" s="15"/>
    </row>
    <row r="1254" spans="2:4" x14ac:dyDescent="0.25">
      <c r="B1254" s="68"/>
      <c r="C1254" s="50"/>
      <c r="D1254" s="15"/>
    </row>
    <row r="1255" spans="2:4" x14ac:dyDescent="0.25">
      <c r="B1255" s="68"/>
      <c r="C1255" s="50"/>
      <c r="D1255" s="15"/>
    </row>
    <row r="1256" spans="2:4" x14ac:dyDescent="0.25">
      <c r="B1256" s="68"/>
      <c r="C1256" s="50"/>
      <c r="D1256" s="15"/>
    </row>
    <row r="1257" spans="2:4" x14ac:dyDescent="0.25">
      <c r="B1257" s="68"/>
      <c r="C1257" s="50"/>
      <c r="D1257" s="15"/>
    </row>
    <row r="1258" spans="2:4" x14ac:dyDescent="0.25">
      <c r="B1258" s="68"/>
      <c r="C1258" s="50"/>
      <c r="D1258" s="15"/>
    </row>
    <row r="1259" spans="2:4" x14ac:dyDescent="0.25">
      <c r="B1259" s="68"/>
      <c r="C1259" s="50"/>
      <c r="D1259" s="15"/>
    </row>
    <row r="1260" spans="2:4" x14ac:dyDescent="0.25">
      <c r="B1260" s="68"/>
      <c r="C1260" s="50"/>
      <c r="D1260" s="15"/>
    </row>
    <row r="1261" spans="2:4" x14ac:dyDescent="0.25">
      <c r="B1261" s="68"/>
      <c r="C1261" s="50"/>
      <c r="D1261" s="15"/>
    </row>
    <row r="1262" spans="2:4" x14ac:dyDescent="0.25">
      <c r="B1262" s="68"/>
      <c r="C1262" s="50"/>
      <c r="D1262" s="15"/>
    </row>
    <row r="1263" spans="2:4" x14ac:dyDescent="0.25">
      <c r="B1263" s="68"/>
      <c r="C1263" s="50"/>
      <c r="D1263" s="15"/>
    </row>
    <row r="1264" spans="2:4" x14ac:dyDescent="0.25">
      <c r="B1264" s="68"/>
      <c r="C1264" s="50"/>
      <c r="D1264" s="15"/>
    </row>
    <row r="1265" spans="2:4" x14ac:dyDescent="0.25">
      <c r="B1265" s="68"/>
      <c r="C1265" s="50"/>
      <c r="D1265" s="15"/>
    </row>
    <row r="1266" spans="2:4" x14ac:dyDescent="0.25">
      <c r="B1266" s="68"/>
      <c r="C1266" s="50"/>
      <c r="D1266" s="15"/>
    </row>
    <row r="1267" spans="2:4" x14ac:dyDescent="0.25">
      <c r="B1267" s="68"/>
      <c r="C1267" s="50"/>
      <c r="D1267" s="15"/>
    </row>
    <row r="1268" spans="2:4" x14ac:dyDescent="0.25">
      <c r="B1268" s="68"/>
      <c r="C1268" s="50"/>
      <c r="D1268" s="15"/>
    </row>
    <row r="1269" spans="2:4" x14ac:dyDescent="0.25">
      <c r="B1269" s="68"/>
      <c r="C1269" s="50"/>
      <c r="D1269" s="15"/>
    </row>
    <row r="1270" spans="2:4" x14ac:dyDescent="0.25">
      <c r="B1270" s="68"/>
      <c r="C1270" s="50"/>
      <c r="D1270" s="15"/>
    </row>
    <row r="1271" spans="2:4" x14ac:dyDescent="0.25">
      <c r="B1271" s="68"/>
      <c r="C1271" s="50"/>
      <c r="D1271" s="15"/>
    </row>
    <row r="1272" spans="2:4" x14ac:dyDescent="0.25">
      <c r="B1272" s="68"/>
      <c r="C1272" s="50"/>
      <c r="D1272" s="15"/>
    </row>
    <row r="1273" spans="2:4" x14ac:dyDescent="0.25">
      <c r="B1273" s="68"/>
      <c r="C1273" s="50"/>
      <c r="D1273" s="15"/>
    </row>
    <row r="1274" spans="2:4" x14ac:dyDescent="0.25">
      <c r="B1274" s="68"/>
      <c r="C1274" s="50"/>
      <c r="D1274" s="15"/>
    </row>
    <row r="1275" spans="2:4" x14ac:dyDescent="0.25">
      <c r="B1275" s="68"/>
      <c r="C1275" s="50"/>
      <c r="D1275" s="15"/>
    </row>
    <row r="1276" spans="2:4" x14ac:dyDescent="0.25">
      <c r="B1276" s="68"/>
      <c r="C1276" s="50"/>
      <c r="D1276" s="15"/>
    </row>
    <row r="1277" spans="2:4" x14ac:dyDescent="0.25">
      <c r="B1277" s="68"/>
      <c r="C1277" s="50"/>
      <c r="D1277" s="15"/>
    </row>
    <row r="1278" spans="2:4" x14ac:dyDescent="0.25">
      <c r="B1278" s="68"/>
      <c r="C1278" s="50"/>
      <c r="D1278" s="15"/>
    </row>
    <row r="1279" spans="2:4" x14ac:dyDescent="0.25">
      <c r="B1279" s="68"/>
      <c r="C1279" s="50"/>
      <c r="D1279" s="15"/>
    </row>
    <row r="1280" spans="2:4" x14ac:dyDescent="0.25">
      <c r="B1280" s="68"/>
      <c r="C1280" s="50"/>
      <c r="D1280" s="15"/>
    </row>
    <row r="1281" spans="2:4" x14ac:dyDescent="0.25">
      <c r="B1281" s="68"/>
      <c r="C1281" s="50"/>
      <c r="D1281" s="15"/>
    </row>
    <row r="1282" spans="2:4" x14ac:dyDescent="0.25">
      <c r="B1282" s="68"/>
      <c r="C1282" s="50"/>
      <c r="D1282" s="15"/>
    </row>
    <row r="1283" spans="2:4" x14ac:dyDescent="0.25">
      <c r="B1283" s="68"/>
      <c r="C1283" s="50"/>
      <c r="D1283" s="15"/>
    </row>
    <row r="1284" spans="2:4" x14ac:dyDescent="0.25">
      <c r="B1284" s="68"/>
      <c r="C1284" s="50"/>
      <c r="D1284" s="15"/>
    </row>
    <row r="1285" spans="2:4" x14ac:dyDescent="0.25">
      <c r="B1285" s="68"/>
      <c r="C1285" s="50"/>
      <c r="D1285" s="15"/>
    </row>
    <row r="1286" spans="2:4" x14ac:dyDescent="0.25">
      <c r="B1286" s="68"/>
      <c r="C1286" s="50"/>
      <c r="D1286" s="15"/>
    </row>
    <row r="1287" spans="2:4" x14ac:dyDescent="0.25">
      <c r="B1287" s="68"/>
      <c r="C1287" s="50"/>
      <c r="D1287" s="15"/>
    </row>
    <row r="1288" spans="2:4" x14ac:dyDescent="0.25">
      <c r="B1288" s="68"/>
      <c r="C1288" s="50"/>
      <c r="D1288" s="15"/>
    </row>
    <row r="1289" spans="2:4" x14ac:dyDescent="0.25">
      <c r="B1289" s="68"/>
      <c r="C1289" s="50"/>
      <c r="D1289" s="15"/>
    </row>
    <row r="1290" spans="2:4" x14ac:dyDescent="0.25">
      <c r="B1290" s="68"/>
      <c r="C1290" s="50"/>
      <c r="D1290" s="15"/>
    </row>
    <row r="1291" spans="2:4" x14ac:dyDescent="0.25">
      <c r="B1291" s="68"/>
      <c r="C1291" s="50"/>
      <c r="D1291" s="15"/>
    </row>
    <row r="1292" spans="2:4" x14ac:dyDescent="0.25">
      <c r="B1292" s="68"/>
      <c r="C1292" s="50"/>
      <c r="D1292" s="15"/>
    </row>
    <row r="1293" spans="2:4" x14ac:dyDescent="0.25">
      <c r="B1293" s="68"/>
      <c r="C1293" s="50"/>
      <c r="D1293" s="15"/>
    </row>
    <row r="1294" spans="2:4" x14ac:dyDescent="0.25">
      <c r="B1294" s="68"/>
      <c r="C1294" s="50"/>
      <c r="D1294" s="15"/>
    </row>
    <row r="1295" spans="2:4" x14ac:dyDescent="0.25">
      <c r="B1295" s="68"/>
      <c r="C1295" s="50"/>
      <c r="D1295" s="15"/>
    </row>
    <row r="1296" spans="2:4" x14ac:dyDescent="0.25">
      <c r="B1296" s="68"/>
      <c r="C1296" s="50"/>
      <c r="D1296" s="15"/>
    </row>
    <row r="1297" spans="2:4" x14ac:dyDescent="0.25">
      <c r="B1297" s="68"/>
      <c r="C1297" s="50"/>
      <c r="D1297" s="15"/>
    </row>
    <row r="1298" spans="2:4" x14ac:dyDescent="0.25">
      <c r="B1298" s="68"/>
      <c r="C1298" s="50"/>
      <c r="D1298" s="15"/>
    </row>
    <row r="1299" spans="2:4" x14ac:dyDescent="0.25">
      <c r="B1299" s="68"/>
      <c r="C1299" s="50"/>
      <c r="D1299" s="15"/>
    </row>
    <row r="1300" spans="2:4" x14ac:dyDescent="0.25">
      <c r="B1300" s="68"/>
      <c r="C1300" s="50"/>
      <c r="D1300" s="15"/>
    </row>
    <row r="1301" spans="2:4" x14ac:dyDescent="0.25">
      <c r="B1301" s="68"/>
      <c r="C1301" s="50"/>
      <c r="D1301" s="15"/>
    </row>
    <row r="1302" spans="2:4" x14ac:dyDescent="0.25">
      <c r="B1302" s="68"/>
      <c r="C1302" s="50"/>
      <c r="D1302" s="15"/>
    </row>
    <row r="1303" spans="2:4" x14ac:dyDescent="0.25">
      <c r="B1303" s="68"/>
      <c r="C1303" s="50"/>
      <c r="D1303" s="15"/>
    </row>
    <row r="1304" spans="2:4" x14ac:dyDescent="0.25">
      <c r="B1304" s="68"/>
      <c r="C1304" s="50"/>
      <c r="D1304" s="15"/>
    </row>
    <row r="1305" spans="2:4" x14ac:dyDescent="0.25">
      <c r="B1305" s="68"/>
      <c r="C1305" s="50"/>
      <c r="D1305" s="15"/>
    </row>
    <row r="1306" spans="2:4" x14ac:dyDescent="0.25">
      <c r="B1306" s="68"/>
      <c r="C1306" s="50"/>
      <c r="D1306" s="15"/>
    </row>
    <row r="1307" spans="2:4" x14ac:dyDescent="0.25">
      <c r="B1307" s="68"/>
      <c r="C1307" s="50"/>
      <c r="D1307" s="15"/>
    </row>
    <row r="1308" spans="2:4" x14ac:dyDescent="0.25">
      <c r="B1308" s="68"/>
      <c r="C1308" s="50"/>
      <c r="D1308" s="15"/>
    </row>
    <row r="1309" spans="2:4" x14ac:dyDescent="0.25">
      <c r="B1309" s="68"/>
      <c r="C1309" s="50"/>
      <c r="D1309" s="15"/>
    </row>
    <row r="1310" spans="2:4" x14ac:dyDescent="0.25">
      <c r="B1310" s="68"/>
      <c r="C1310" s="50"/>
      <c r="D1310" s="15"/>
    </row>
    <row r="1311" spans="2:4" x14ac:dyDescent="0.25">
      <c r="B1311" s="68"/>
      <c r="C1311" s="50"/>
      <c r="D1311" s="15"/>
    </row>
    <row r="1312" spans="2:4" x14ac:dyDescent="0.25">
      <c r="B1312" s="68"/>
      <c r="C1312" s="50"/>
      <c r="D1312" s="15"/>
    </row>
    <row r="1313" spans="2:4" x14ac:dyDescent="0.25">
      <c r="B1313" s="68"/>
      <c r="C1313" s="50"/>
      <c r="D1313" s="15"/>
    </row>
    <row r="1314" spans="2:4" x14ac:dyDescent="0.25">
      <c r="B1314" s="68"/>
      <c r="C1314" s="50"/>
      <c r="D1314" s="15"/>
    </row>
    <row r="1315" spans="2:4" x14ac:dyDescent="0.25">
      <c r="B1315" s="68"/>
      <c r="C1315" s="50"/>
      <c r="D1315" s="15"/>
    </row>
    <row r="1316" spans="2:4" x14ac:dyDescent="0.25">
      <c r="B1316" s="68"/>
      <c r="C1316" s="50"/>
      <c r="D1316" s="15"/>
    </row>
    <row r="1317" spans="2:4" x14ac:dyDescent="0.25">
      <c r="B1317" s="68"/>
      <c r="C1317" s="50"/>
      <c r="D1317" s="15"/>
    </row>
    <row r="1318" spans="2:4" x14ac:dyDescent="0.25">
      <c r="B1318" s="68"/>
      <c r="C1318" s="50"/>
      <c r="D1318" s="15"/>
    </row>
    <row r="1319" spans="2:4" x14ac:dyDescent="0.25">
      <c r="B1319" s="68"/>
      <c r="C1319" s="50"/>
      <c r="D1319" s="15"/>
    </row>
    <row r="1320" spans="2:4" x14ac:dyDescent="0.25">
      <c r="B1320" s="68"/>
      <c r="C1320" s="50"/>
      <c r="D1320" s="15"/>
    </row>
    <row r="1321" spans="2:4" x14ac:dyDescent="0.25">
      <c r="B1321" s="68"/>
      <c r="C1321" s="50"/>
      <c r="D1321" s="15"/>
    </row>
    <row r="1322" spans="2:4" x14ac:dyDescent="0.25">
      <c r="B1322" s="68"/>
      <c r="C1322" s="50"/>
      <c r="D1322" s="15"/>
    </row>
    <row r="1323" spans="2:4" x14ac:dyDescent="0.25">
      <c r="B1323" s="68"/>
      <c r="C1323" s="50"/>
      <c r="D1323" s="15"/>
    </row>
    <row r="1324" spans="2:4" x14ac:dyDescent="0.25">
      <c r="B1324" s="68"/>
      <c r="C1324" s="50"/>
      <c r="D1324" s="15"/>
    </row>
    <row r="1325" spans="2:4" x14ac:dyDescent="0.25">
      <c r="B1325" s="68"/>
      <c r="C1325" s="50"/>
      <c r="D1325" s="15"/>
    </row>
    <row r="1326" spans="2:4" x14ac:dyDescent="0.25">
      <c r="B1326" s="68"/>
      <c r="C1326" s="50"/>
      <c r="D1326" s="15"/>
    </row>
    <row r="1327" spans="2:4" x14ac:dyDescent="0.25">
      <c r="B1327" s="68"/>
      <c r="C1327" s="50"/>
      <c r="D1327" s="15"/>
    </row>
    <row r="1328" spans="2:4" x14ac:dyDescent="0.25">
      <c r="B1328" s="68"/>
      <c r="C1328" s="50"/>
      <c r="D1328" s="15"/>
    </row>
    <row r="1329" spans="2:4" x14ac:dyDescent="0.25">
      <c r="B1329" s="68"/>
      <c r="C1329" s="50"/>
      <c r="D1329" s="15"/>
    </row>
    <row r="1330" spans="2:4" x14ac:dyDescent="0.25">
      <c r="B1330" s="68"/>
      <c r="C1330" s="50"/>
      <c r="D1330" s="15"/>
    </row>
    <row r="1331" spans="2:4" x14ac:dyDescent="0.25">
      <c r="B1331" s="68"/>
      <c r="C1331" s="50"/>
      <c r="D1331" s="15"/>
    </row>
    <row r="1332" spans="2:4" x14ac:dyDescent="0.25">
      <c r="B1332" s="68"/>
      <c r="C1332" s="50"/>
      <c r="D1332" s="15"/>
    </row>
    <row r="1333" spans="2:4" x14ac:dyDescent="0.25">
      <c r="B1333" s="68"/>
      <c r="C1333" s="50"/>
      <c r="D1333" s="15"/>
    </row>
    <row r="1334" spans="2:4" x14ac:dyDescent="0.25">
      <c r="B1334" s="68"/>
      <c r="C1334" s="50"/>
      <c r="D1334" s="15"/>
    </row>
    <row r="1335" spans="2:4" x14ac:dyDescent="0.25">
      <c r="B1335" s="68"/>
      <c r="C1335" s="50"/>
      <c r="D1335" s="15"/>
    </row>
    <row r="1336" spans="2:4" x14ac:dyDescent="0.25">
      <c r="B1336" s="68"/>
      <c r="C1336" s="50"/>
      <c r="D1336" s="15"/>
    </row>
    <row r="1337" spans="2:4" x14ac:dyDescent="0.25">
      <c r="B1337" s="68"/>
      <c r="C1337" s="50"/>
      <c r="D1337" s="15"/>
    </row>
    <row r="1338" spans="2:4" x14ac:dyDescent="0.25">
      <c r="B1338" s="68"/>
      <c r="C1338" s="50"/>
      <c r="D1338" s="15"/>
    </row>
    <row r="1339" spans="2:4" x14ac:dyDescent="0.25">
      <c r="B1339" s="68"/>
      <c r="C1339" s="50"/>
      <c r="D1339" s="15"/>
    </row>
    <row r="1340" spans="2:4" x14ac:dyDescent="0.25">
      <c r="B1340" s="68"/>
      <c r="C1340" s="50"/>
      <c r="D1340" s="15"/>
    </row>
    <row r="1341" spans="2:4" x14ac:dyDescent="0.25">
      <c r="B1341" s="68"/>
      <c r="C1341" s="50"/>
      <c r="D1341" s="15"/>
    </row>
    <row r="1342" spans="2:4" x14ac:dyDescent="0.25">
      <c r="B1342" s="68"/>
      <c r="C1342" s="50"/>
      <c r="D1342" s="15"/>
    </row>
    <row r="1343" spans="2:4" x14ac:dyDescent="0.25">
      <c r="B1343" s="68"/>
      <c r="C1343" s="50"/>
      <c r="D1343" s="15"/>
    </row>
    <row r="1344" spans="2:4" x14ac:dyDescent="0.25">
      <c r="B1344" s="68"/>
      <c r="C1344" s="50"/>
      <c r="D1344" s="15"/>
    </row>
    <row r="1345" spans="2:4" x14ac:dyDescent="0.25">
      <c r="B1345" s="68"/>
      <c r="C1345" s="50"/>
      <c r="D1345" s="15"/>
    </row>
    <row r="1346" spans="2:4" x14ac:dyDescent="0.25">
      <c r="B1346" s="68"/>
      <c r="C1346" s="50"/>
      <c r="D1346" s="15"/>
    </row>
    <row r="1347" spans="2:4" x14ac:dyDescent="0.25">
      <c r="B1347" s="68"/>
      <c r="C1347" s="50"/>
      <c r="D1347" s="15"/>
    </row>
    <row r="1348" spans="2:4" x14ac:dyDescent="0.25">
      <c r="B1348" s="68"/>
      <c r="C1348" s="50"/>
      <c r="D1348" s="15"/>
    </row>
    <row r="1349" spans="2:4" x14ac:dyDescent="0.25">
      <c r="B1349" s="68"/>
      <c r="C1349" s="50"/>
      <c r="D1349" s="15"/>
    </row>
    <row r="1350" spans="2:4" x14ac:dyDescent="0.25">
      <c r="B1350" s="68"/>
      <c r="C1350" s="50"/>
      <c r="D1350" s="15"/>
    </row>
    <row r="1351" spans="2:4" x14ac:dyDescent="0.25">
      <c r="B1351" s="68"/>
      <c r="C1351" s="50"/>
      <c r="D1351" s="15"/>
    </row>
    <row r="1352" spans="2:4" x14ac:dyDescent="0.25">
      <c r="B1352" s="68"/>
      <c r="C1352" s="50"/>
      <c r="D1352" s="15"/>
    </row>
    <row r="1353" spans="2:4" x14ac:dyDescent="0.25">
      <c r="B1353" s="68"/>
      <c r="C1353" s="50"/>
      <c r="D1353" s="15"/>
    </row>
    <row r="1354" spans="2:4" x14ac:dyDescent="0.25">
      <c r="B1354" s="68"/>
      <c r="C1354" s="50"/>
      <c r="D1354" s="15"/>
    </row>
    <row r="1355" spans="2:4" x14ac:dyDescent="0.25">
      <c r="B1355" s="68"/>
      <c r="C1355" s="50"/>
      <c r="D1355" s="15"/>
    </row>
    <row r="1356" spans="2:4" x14ac:dyDescent="0.25">
      <c r="B1356" s="68"/>
      <c r="C1356" s="50"/>
      <c r="D1356" s="15"/>
    </row>
    <row r="1357" spans="2:4" x14ac:dyDescent="0.25">
      <c r="B1357" s="68"/>
      <c r="C1357" s="50"/>
      <c r="D1357" s="15"/>
    </row>
    <row r="1358" spans="2:4" x14ac:dyDescent="0.25">
      <c r="B1358" s="68"/>
      <c r="C1358" s="50"/>
      <c r="D1358" s="15"/>
    </row>
    <row r="1359" spans="2:4" x14ac:dyDescent="0.25">
      <c r="B1359" s="68"/>
      <c r="C1359" s="50"/>
      <c r="D1359" s="15"/>
    </row>
    <row r="1360" spans="2:4" x14ac:dyDescent="0.25">
      <c r="B1360" s="68"/>
      <c r="C1360" s="50"/>
      <c r="D1360" s="15"/>
    </row>
    <row r="1361" spans="2:4" x14ac:dyDescent="0.25">
      <c r="B1361" s="68"/>
      <c r="C1361" s="50"/>
      <c r="D1361" s="15"/>
    </row>
    <row r="1362" spans="2:4" x14ac:dyDescent="0.25">
      <c r="B1362" s="68"/>
      <c r="C1362" s="50"/>
      <c r="D1362" s="15"/>
    </row>
    <row r="1363" spans="2:4" x14ac:dyDescent="0.25">
      <c r="B1363" s="68"/>
      <c r="C1363" s="50"/>
      <c r="D1363" s="15"/>
    </row>
    <row r="1364" spans="2:4" x14ac:dyDescent="0.25">
      <c r="B1364" s="68"/>
      <c r="C1364" s="50"/>
      <c r="D1364" s="15"/>
    </row>
    <row r="1365" spans="2:4" x14ac:dyDescent="0.25">
      <c r="B1365" s="68"/>
      <c r="C1365" s="50"/>
      <c r="D1365" s="15"/>
    </row>
    <row r="1366" spans="2:4" x14ac:dyDescent="0.25">
      <c r="B1366" s="68"/>
      <c r="C1366" s="50"/>
      <c r="D1366" s="15"/>
    </row>
    <row r="1367" spans="2:4" x14ac:dyDescent="0.25">
      <c r="B1367" s="68"/>
      <c r="C1367" s="50"/>
      <c r="D1367" s="15"/>
    </row>
    <row r="1368" spans="2:4" x14ac:dyDescent="0.25">
      <c r="B1368" s="68"/>
      <c r="C1368" s="50"/>
      <c r="D1368" s="15"/>
    </row>
    <row r="1369" spans="2:4" x14ac:dyDescent="0.25">
      <c r="B1369" s="68"/>
      <c r="C1369" s="50"/>
      <c r="D1369" s="15"/>
    </row>
    <row r="1370" spans="2:4" x14ac:dyDescent="0.25">
      <c r="B1370" s="68"/>
      <c r="C1370" s="50"/>
      <c r="D1370" s="15"/>
    </row>
    <row r="1371" spans="2:4" x14ac:dyDescent="0.25">
      <c r="B1371" s="68"/>
      <c r="C1371" s="50"/>
      <c r="D1371" s="15"/>
    </row>
    <row r="1372" spans="2:4" x14ac:dyDescent="0.25">
      <c r="B1372" s="68"/>
      <c r="C1372" s="50"/>
      <c r="D1372" s="15"/>
    </row>
    <row r="1373" spans="2:4" x14ac:dyDescent="0.25">
      <c r="B1373" s="68"/>
      <c r="C1373" s="50"/>
      <c r="D1373" s="15"/>
    </row>
    <row r="1374" spans="2:4" x14ac:dyDescent="0.25">
      <c r="B1374" s="68"/>
      <c r="C1374" s="50"/>
      <c r="D1374" s="15"/>
    </row>
    <row r="1375" spans="2:4" x14ac:dyDescent="0.25">
      <c r="B1375" s="68"/>
      <c r="C1375" s="50"/>
      <c r="D1375" s="15"/>
    </row>
    <row r="1376" spans="2:4" x14ac:dyDescent="0.25">
      <c r="B1376" s="68"/>
      <c r="C1376" s="50"/>
      <c r="D1376" s="15"/>
    </row>
    <row r="1377" spans="2:4" x14ac:dyDescent="0.25">
      <c r="B1377" s="68"/>
      <c r="C1377" s="50"/>
      <c r="D1377" s="15"/>
    </row>
    <row r="1378" spans="2:4" x14ac:dyDescent="0.25">
      <c r="B1378" s="68"/>
      <c r="C1378" s="50"/>
      <c r="D1378" s="15"/>
    </row>
    <row r="1379" spans="2:4" x14ac:dyDescent="0.25">
      <c r="B1379" s="68"/>
      <c r="C1379" s="50"/>
      <c r="D1379" s="15"/>
    </row>
    <row r="1380" spans="2:4" x14ac:dyDescent="0.25">
      <c r="B1380" s="68"/>
      <c r="C1380" s="50"/>
      <c r="D1380" s="15"/>
    </row>
    <row r="1381" spans="2:4" x14ac:dyDescent="0.25">
      <c r="B1381" s="68"/>
      <c r="C1381" s="50"/>
      <c r="D1381" s="15"/>
    </row>
    <row r="1382" spans="2:4" x14ac:dyDescent="0.25">
      <c r="B1382" s="68"/>
      <c r="C1382" s="50"/>
      <c r="D1382" s="15"/>
    </row>
    <row r="1383" spans="2:4" x14ac:dyDescent="0.25">
      <c r="B1383" s="68"/>
      <c r="C1383" s="50"/>
      <c r="D1383" s="15"/>
    </row>
    <row r="1384" spans="2:4" x14ac:dyDescent="0.25">
      <c r="B1384" s="68"/>
      <c r="C1384" s="50"/>
      <c r="D1384" s="15"/>
    </row>
    <row r="1385" spans="2:4" x14ac:dyDescent="0.25">
      <c r="B1385" s="68"/>
      <c r="C1385" s="50"/>
      <c r="D1385" s="15"/>
    </row>
    <row r="1386" spans="2:4" x14ac:dyDescent="0.25">
      <c r="B1386" s="68"/>
      <c r="C1386" s="50"/>
      <c r="D1386" s="15"/>
    </row>
    <row r="1387" spans="2:4" x14ac:dyDescent="0.25">
      <c r="B1387" s="68"/>
      <c r="C1387" s="50"/>
      <c r="D1387" s="15"/>
    </row>
    <row r="1388" spans="2:4" x14ac:dyDescent="0.25">
      <c r="B1388" s="68"/>
      <c r="C1388" s="50"/>
      <c r="D1388" s="15"/>
    </row>
    <row r="1389" spans="2:4" x14ac:dyDescent="0.25">
      <c r="B1389" s="68"/>
      <c r="C1389" s="50"/>
      <c r="D1389" s="15"/>
    </row>
    <row r="1390" spans="2:4" x14ac:dyDescent="0.25">
      <c r="B1390" s="68"/>
      <c r="C1390" s="50"/>
      <c r="D1390" s="15"/>
    </row>
    <row r="1391" spans="2:4" x14ac:dyDescent="0.25">
      <c r="B1391" s="68"/>
      <c r="C1391" s="50"/>
      <c r="D1391" s="15"/>
    </row>
    <row r="1392" spans="2:4" x14ac:dyDescent="0.25">
      <c r="B1392" s="68"/>
      <c r="C1392" s="50"/>
      <c r="D1392" s="15"/>
    </row>
    <row r="1393" spans="2:4" x14ac:dyDescent="0.25">
      <c r="B1393" s="68"/>
      <c r="C1393" s="50"/>
      <c r="D1393" s="15"/>
    </row>
    <row r="1394" spans="2:4" x14ac:dyDescent="0.25">
      <c r="B1394" s="68"/>
      <c r="C1394" s="50"/>
      <c r="D1394" s="15"/>
    </row>
    <row r="1395" spans="2:4" x14ac:dyDescent="0.25">
      <c r="B1395" s="68"/>
      <c r="C1395" s="50"/>
      <c r="D1395" s="15"/>
    </row>
    <row r="1396" spans="2:4" x14ac:dyDescent="0.25">
      <c r="B1396" s="68"/>
      <c r="C1396" s="50"/>
      <c r="D1396" s="15"/>
    </row>
    <row r="1397" spans="2:4" x14ac:dyDescent="0.25">
      <c r="B1397" s="68"/>
      <c r="C1397" s="50"/>
      <c r="D1397" s="15"/>
    </row>
    <row r="1398" spans="2:4" x14ac:dyDescent="0.25">
      <c r="B1398" s="68"/>
      <c r="C1398" s="50"/>
      <c r="D1398" s="15"/>
    </row>
    <row r="1399" spans="2:4" x14ac:dyDescent="0.25">
      <c r="B1399" s="68"/>
      <c r="C1399" s="50"/>
      <c r="D1399" s="15"/>
    </row>
    <row r="1400" spans="2:4" x14ac:dyDescent="0.25">
      <c r="B1400" s="68"/>
      <c r="C1400" s="50"/>
      <c r="D1400" s="15"/>
    </row>
    <row r="1401" spans="2:4" x14ac:dyDescent="0.25">
      <c r="B1401" s="68"/>
      <c r="C1401" s="50"/>
      <c r="D1401" s="15"/>
    </row>
    <row r="1402" spans="2:4" x14ac:dyDescent="0.25">
      <c r="B1402" s="68"/>
      <c r="C1402" s="50"/>
      <c r="D1402" s="15"/>
    </row>
    <row r="1403" spans="2:4" x14ac:dyDescent="0.25">
      <c r="B1403" s="68"/>
      <c r="C1403" s="50"/>
      <c r="D1403" s="15"/>
    </row>
    <row r="1404" spans="2:4" x14ac:dyDescent="0.25">
      <c r="B1404" s="68"/>
      <c r="C1404" s="50"/>
      <c r="D1404" s="15"/>
    </row>
    <row r="1405" spans="2:4" x14ac:dyDescent="0.25">
      <c r="B1405" s="68"/>
      <c r="C1405" s="50"/>
      <c r="D1405" s="15"/>
    </row>
    <row r="1406" spans="2:4" x14ac:dyDescent="0.25">
      <c r="B1406" s="68"/>
      <c r="C1406" s="50"/>
      <c r="D1406" s="15"/>
    </row>
    <row r="1407" spans="2:4" x14ac:dyDescent="0.25">
      <c r="B1407" s="68"/>
      <c r="C1407" s="50"/>
      <c r="D1407" s="15"/>
    </row>
    <row r="1408" spans="2:4" x14ac:dyDescent="0.25">
      <c r="B1408" s="68"/>
      <c r="C1408" s="50"/>
      <c r="D1408" s="15"/>
    </row>
    <row r="1409" spans="2:4" x14ac:dyDescent="0.25">
      <c r="B1409" s="68"/>
      <c r="C1409" s="50"/>
      <c r="D1409" s="15"/>
    </row>
    <row r="1410" spans="2:4" x14ac:dyDescent="0.25">
      <c r="B1410" s="68"/>
      <c r="C1410" s="50"/>
      <c r="D1410" s="15"/>
    </row>
    <row r="1411" spans="2:4" x14ac:dyDescent="0.25">
      <c r="B1411" s="68"/>
      <c r="C1411" s="50"/>
      <c r="D1411" s="15"/>
    </row>
    <row r="1412" spans="2:4" x14ac:dyDescent="0.25">
      <c r="B1412" s="68"/>
      <c r="C1412" s="50"/>
      <c r="D1412" s="15"/>
    </row>
    <row r="1413" spans="2:4" x14ac:dyDescent="0.25">
      <c r="B1413" s="68"/>
      <c r="C1413" s="50"/>
      <c r="D1413" s="15"/>
    </row>
    <row r="1414" spans="2:4" x14ac:dyDescent="0.25">
      <c r="B1414" s="68"/>
      <c r="C1414" s="50"/>
      <c r="D1414" s="15"/>
    </row>
    <row r="1415" spans="2:4" x14ac:dyDescent="0.25">
      <c r="B1415" s="68"/>
      <c r="C1415" s="50"/>
      <c r="D1415" s="15"/>
    </row>
    <row r="1416" spans="2:4" x14ac:dyDescent="0.25">
      <c r="B1416" s="68"/>
      <c r="C1416" s="50"/>
      <c r="D1416" s="15"/>
    </row>
    <row r="1417" spans="2:4" x14ac:dyDescent="0.25">
      <c r="B1417" s="68"/>
      <c r="C1417" s="50"/>
      <c r="D1417" s="15"/>
    </row>
    <row r="1418" spans="2:4" x14ac:dyDescent="0.25">
      <c r="B1418" s="68"/>
      <c r="C1418" s="50"/>
      <c r="D1418" s="15"/>
    </row>
    <row r="1419" spans="2:4" x14ac:dyDescent="0.25">
      <c r="B1419" s="68"/>
      <c r="C1419" s="50"/>
      <c r="D1419" s="15"/>
    </row>
    <row r="1420" spans="2:4" x14ac:dyDescent="0.25">
      <c r="B1420" s="68"/>
      <c r="C1420" s="50"/>
      <c r="D1420" s="15"/>
    </row>
    <row r="1421" spans="2:4" x14ac:dyDescent="0.25">
      <c r="B1421" s="68"/>
      <c r="C1421" s="50"/>
      <c r="D1421" s="15"/>
    </row>
    <row r="1422" spans="2:4" x14ac:dyDescent="0.25">
      <c r="B1422" s="68"/>
      <c r="C1422" s="50"/>
      <c r="D1422" s="15"/>
    </row>
    <row r="1423" spans="2:4" x14ac:dyDescent="0.25">
      <c r="B1423" s="68"/>
      <c r="C1423" s="50"/>
      <c r="D1423" s="15"/>
    </row>
    <row r="1424" spans="2:4" x14ac:dyDescent="0.25">
      <c r="B1424" s="68"/>
      <c r="C1424" s="50"/>
      <c r="D1424" s="15"/>
    </row>
    <row r="1425" spans="2:4" x14ac:dyDescent="0.25">
      <c r="B1425" s="68"/>
      <c r="C1425" s="50"/>
      <c r="D1425" s="15"/>
    </row>
    <row r="1426" spans="2:4" x14ac:dyDescent="0.25">
      <c r="B1426" s="68"/>
      <c r="C1426" s="50"/>
      <c r="D1426" s="15"/>
    </row>
    <row r="1427" spans="2:4" x14ac:dyDescent="0.25">
      <c r="B1427" s="68"/>
      <c r="C1427" s="50"/>
      <c r="D1427" s="15"/>
    </row>
    <row r="1428" spans="2:4" x14ac:dyDescent="0.25">
      <c r="B1428" s="68"/>
      <c r="C1428" s="50"/>
      <c r="D1428" s="15"/>
    </row>
    <row r="1429" spans="2:4" x14ac:dyDescent="0.25">
      <c r="B1429" s="68"/>
      <c r="C1429" s="50"/>
      <c r="D1429" s="15"/>
    </row>
    <row r="1430" spans="2:4" x14ac:dyDescent="0.25">
      <c r="B1430" s="68"/>
      <c r="C1430" s="50"/>
      <c r="D1430" s="15"/>
    </row>
    <row r="1431" spans="2:4" x14ac:dyDescent="0.25">
      <c r="B1431" s="68"/>
      <c r="C1431" s="50"/>
      <c r="D1431" s="15"/>
    </row>
    <row r="1432" spans="2:4" x14ac:dyDescent="0.25">
      <c r="B1432" s="68"/>
      <c r="C1432" s="50"/>
      <c r="D1432" s="15"/>
    </row>
    <row r="1433" spans="2:4" x14ac:dyDescent="0.25">
      <c r="B1433" s="68"/>
      <c r="C1433" s="50"/>
      <c r="D1433" s="15"/>
    </row>
    <row r="1434" spans="2:4" x14ac:dyDescent="0.25">
      <c r="B1434" s="68"/>
      <c r="C1434" s="50"/>
      <c r="D1434" s="15"/>
    </row>
    <row r="1435" spans="2:4" x14ac:dyDescent="0.25">
      <c r="B1435" s="68"/>
      <c r="C1435" s="50"/>
      <c r="D1435" s="15"/>
    </row>
    <row r="1436" spans="2:4" x14ac:dyDescent="0.25">
      <c r="B1436" s="68"/>
      <c r="C1436" s="50"/>
      <c r="D1436" s="15"/>
    </row>
    <row r="1437" spans="2:4" x14ac:dyDescent="0.25">
      <c r="B1437" s="68"/>
      <c r="C1437" s="50"/>
      <c r="D1437" s="15"/>
    </row>
    <row r="1438" spans="2:4" x14ac:dyDescent="0.25">
      <c r="B1438" s="68"/>
      <c r="C1438" s="50"/>
      <c r="D1438" s="15"/>
    </row>
    <row r="1439" spans="2:4" x14ac:dyDescent="0.25">
      <c r="B1439" s="68"/>
      <c r="C1439" s="50"/>
      <c r="D1439" s="15"/>
    </row>
    <row r="1440" spans="2:4" x14ac:dyDescent="0.25">
      <c r="B1440" s="68"/>
      <c r="C1440" s="50"/>
      <c r="D1440" s="15"/>
    </row>
    <row r="1441" spans="2:4" x14ac:dyDescent="0.25">
      <c r="B1441" s="68"/>
      <c r="C1441" s="50"/>
      <c r="D1441" s="15"/>
    </row>
    <row r="1442" spans="2:4" x14ac:dyDescent="0.25">
      <c r="B1442" s="68"/>
      <c r="C1442" s="50"/>
      <c r="D1442" s="15"/>
    </row>
    <row r="1443" spans="2:4" x14ac:dyDescent="0.25">
      <c r="B1443" s="68"/>
      <c r="C1443" s="50"/>
      <c r="D1443" s="15"/>
    </row>
    <row r="1444" spans="2:4" x14ac:dyDescent="0.25">
      <c r="B1444" s="68"/>
      <c r="C1444" s="50"/>
      <c r="D1444" s="15"/>
    </row>
    <row r="1445" spans="2:4" x14ac:dyDescent="0.25">
      <c r="B1445" s="68"/>
      <c r="C1445" s="50"/>
      <c r="D1445" s="15"/>
    </row>
    <row r="1446" spans="2:4" x14ac:dyDescent="0.25">
      <c r="B1446" s="68"/>
      <c r="C1446" s="50"/>
      <c r="D1446" s="15"/>
    </row>
    <row r="1447" spans="2:4" x14ac:dyDescent="0.25">
      <c r="B1447" s="68"/>
      <c r="C1447" s="50"/>
      <c r="D1447" s="15"/>
    </row>
    <row r="1448" spans="2:4" x14ac:dyDescent="0.25">
      <c r="B1448" s="68"/>
      <c r="C1448" s="50"/>
      <c r="D1448" s="15"/>
    </row>
    <row r="1449" spans="2:4" x14ac:dyDescent="0.25">
      <c r="B1449" s="68"/>
      <c r="C1449" s="50"/>
      <c r="D1449" s="15"/>
    </row>
    <row r="1450" spans="2:4" x14ac:dyDescent="0.25">
      <c r="B1450" s="68"/>
      <c r="C1450" s="50"/>
      <c r="D1450" s="15"/>
    </row>
    <row r="1451" spans="2:4" x14ac:dyDescent="0.25">
      <c r="B1451" s="68"/>
      <c r="C1451" s="50"/>
      <c r="D1451" s="15"/>
    </row>
    <row r="1452" spans="2:4" x14ac:dyDescent="0.25">
      <c r="B1452" s="68"/>
      <c r="C1452" s="50"/>
      <c r="D1452" s="15"/>
    </row>
    <row r="1453" spans="2:4" x14ac:dyDescent="0.25">
      <c r="B1453" s="68"/>
      <c r="C1453" s="50"/>
      <c r="D1453" s="15"/>
    </row>
    <row r="1454" spans="2:4" x14ac:dyDescent="0.25">
      <c r="B1454" s="68"/>
      <c r="C1454" s="50"/>
      <c r="D1454" s="15"/>
    </row>
    <row r="1455" spans="2:4" x14ac:dyDescent="0.25">
      <c r="B1455" s="68"/>
      <c r="C1455" s="50"/>
      <c r="D1455" s="15"/>
    </row>
    <row r="1456" spans="2:4" x14ac:dyDescent="0.25">
      <c r="B1456" s="68"/>
      <c r="C1456" s="50"/>
      <c r="D1456" s="15"/>
    </row>
    <row r="1457" spans="2:4" x14ac:dyDescent="0.25">
      <c r="B1457" s="68"/>
      <c r="C1457" s="50"/>
      <c r="D1457" s="15"/>
    </row>
    <row r="1458" spans="2:4" x14ac:dyDescent="0.25">
      <c r="B1458" s="68"/>
      <c r="C1458" s="50"/>
      <c r="D1458" s="15"/>
    </row>
    <row r="1459" spans="2:4" x14ac:dyDescent="0.25">
      <c r="B1459" s="68"/>
      <c r="C1459" s="50"/>
      <c r="D1459" s="15"/>
    </row>
    <row r="1460" spans="2:4" x14ac:dyDescent="0.25">
      <c r="B1460" s="68"/>
      <c r="C1460" s="50"/>
      <c r="D1460" s="15"/>
    </row>
    <row r="1461" spans="2:4" x14ac:dyDescent="0.25">
      <c r="B1461" s="68"/>
      <c r="C1461" s="50"/>
      <c r="D1461" s="15"/>
    </row>
    <row r="1462" spans="2:4" x14ac:dyDescent="0.25">
      <c r="B1462" s="68"/>
      <c r="C1462" s="50"/>
      <c r="D1462" s="15"/>
    </row>
    <row r="1463" spans="2:4" x14ac:dyDescent="0.25">
      <c r="B1463" s="68"/>
      <c r="C1463" s="50"/>
      <c r="D1463" s="15"/>
    </row>
    <row r="1464" spans="2:4" x14ac:dyDescent="0.25">
      <c r="B1464" s="68"/>
      <c r="C1464" s="50"/>
      <c r="D1464" s="15"/>
    </row>
    <row r="1465" spans="2:4" x14ac:dyDescent="0.25">
      <c r="B1465" s="68"/>
      <c r="C1465" s="50"/>
      <c r="D1465" s="15"/>
    </row>
    <row r="1466" spans="2:4" x14ac:dyDescent="0.25">
      <c r="B1466" s="68"/>
      <c r="C1466" s="50"/>
      <c r="D1466" s="15"/>
    </row>
    <row r="1467" spans="2:4" x14ac:dyDescent="0.25">
      <c r="B1467" s="68"/>
      <c r="C1467" s="50"/>
      <c r="D1467" s="15"/>
    </row>
    <row r="1468" spans="2:4" x14ac:dyDescent="0.25">
      <c r="B1468" s="68"/>
      <c r="C1468" s="50"/>
      <c r="D1468" s="15"/>
    </row>
    <row r="1469" spans="2:4" x14ac:dyDescent="0.25">
      <c r="B1469" s="68"/>
      <c r="C1469" s="50"/>
      <c r="D1469" s="15"/>
    </row>
    <row r="1470" spans="2:4" x14ac:dyDescent="0.25">
      <c r="B1470" s="68"/>
      <c r="C1470" s="50"/>
      <c r="D1470" s="15"/>
    </row>
    <row r="1471" spans="2:4" x14ac:dyDescent="0.25">
      <c r="B1471" s="68"/>
      <c r="C1471" s="50"/>
      <c r="D1471" s="15"/>
    </row>
    <row r="1472" spans="2:4" x14ac:dyDescent="0.25">
      <c r="B1472" s="68"/>
      <c r="C1472" s="50"/>
      <c r="D1472" s="15"/>
    </row>
    <row r="1473" spans="2:4" x14ac:dyDescent="0.25">
      <c r="B1473" s="68"/>
      <c r="C1473" s="50"/>
      <c r="D1473" s="15"/>
    </row>
    <row r="1474" spans="2:4" x14ac:dyDescent="0.25">
      <c r="B1474" s="68"/>
      <c r="C1474" s="50"/>
      <c r="D1474" s="15"/>
    </row>
    <row r="1475" spans="2:4" x14ac:dyDescent="0.25">
      <c r="B1475" s="68"/>
      <c r="C1475" s="50"/>
      <c r="D1475" s="15"/>
    </row>
    <row r="1476" spans="2:4" x14ac:dyDescent="0.25">
      <c r="B1476" s="68"/>
      <c r="C1476" s="50"/>
      <c r="D1476" s="15"/>
    </row>
    <row r="1477" spans="2:4" x14ac:dyDescent="0.25">
      <c r="B1477" s="68"/>
      <c r="C1477" s="50"/>
      <c r="D1477" s="15"/>
    </row>
    <row r="1478" spans="2:4" x14ac:dyDescent="0.25">
      <c r="B1478" s="68"/>
      <c r="C1478" s="50"/>
      <c r="D1478" s="15"/>
    </row>
    <row r="1479" spans="2:4" x14ac:dyDescent="0.25">
      <c r="B1479" s="68"/>
      <c r="C1479" s="50"/>
      <c r="D1479" s="15"/>
    </row>
    <row r="1480" spans="2:4" x14ac:dyDescent="0.25">
      <c r="B1480" s="68"/>
      <c r="C1480" s="50"/>
      <c r="D1480" s="15"/>
    </row>
    <row r="1481" spans="2:4" x14ac:dyDescent="0.25">
      <c r="B1481" s="68"/>
      <c r="C1481" s="50"/>
      <c r="D1481" s="15"/>
    </row>
    <row r="1482" spans="2:4" x14ac:dyDescent="0.25">
      <c r="B1482" s="68"/>
      <c r="C1482" s="50"/>
      <c r="D1482" s="15"/>
    </row>
    <row r="1483" spans="2:4" x14ac:dyDescent="0.25">
      <c r="B1483" s="68"/>
      <c r="C1483" s="50"/>
      <c r="D1483" s="15"/>
    </row>
    <row r="1484" spans="2:4" x14ac:dyDescent="0.25">
      <c r="B1484" s="68"/>
      <c r="C1484" s="50"/>
      <c r="D1484" s="15"/>
    </row>
    <row r="1485" spans="2:4" x14ac:dyDescent="0.25">
      <c r="B1485" s="68"/>
      <c r="C1485" s="50"/>
      <c r="D1485" s="15"/>
    </row>
    <row r="1486" spans="2:4" x14ac:dyDescent="0.25">
      <c r="B1486" s="68"/>
      <c r="C1486" s="50"/>
      <c r="D1486" s="15"/>
    </row>
    <row r="1487" spans="2:4" x14ac:dyDescent="0.25">
      <c r="B1487" s="68"/>
      <c r="C1487" s="50"/>
      <c r="D1487" s="15"/>
    </row>
    <row r="1488" spans="2:4" x14ac:dyDescent="0.25">
      <c r="B1488" s="68"/>
      <c r="C1488" s="50"/>
      <c r="D1488" s="15"/>
    </row>
    <row r="1489" spans="2:4" x14ac:dyDescent="0.25">
      <c r="B1489" s="68"/>
      <c r="C1489" s="50"/>
      <c r="D1489" s="15"/>
    </row>
    <row r="1490" spans="2:4" x14ac:dyDescent="0.25">
      <c r="B1490" s="68"/>
      <c r="C1490" s="50"/>
      <c r="D1490" s="15"/>
    </row>
    <row r="1491" spans="2:4" x14ac:dyDescent="0.25">
      <c r="B1491" s="68"/>
      <c r="C1491" s="50"/>
      <c r="D1491" s="15"/>
    </row>
    <row r="1492" spans="2:4" x14ac:dyDescent="0.25">
      <c r="B1492" s="68"/>
      <c r="C1492" s="50"/>
      <c r="D1492" s="15"/>
    </row>
    <row r="1493" spans="2:4" x14ac:dyDescent="0.25">
      <c r="B1493" s="68"/>
      <c r="C1493" s="50"/>
      <c r="D1493" s="15"/>
    </row>
    <row r="1494" spans="2:4" x14ac:dyDescent="0.25">
      <c r="B1494" s="68"/>
      <c r="C1494" s="50"/>
      <c r="D1494" s="15"/>
    </row>
    <row r="1495" spans="2:4" x14ac:dyDescent="0.25">
      <c r="B1495" s="68"/>
      <c r="C1495" s="50"/>
      <c r="D1495" s="15"/>
    </row>
    <row r="1496" spans="2:4" x14ac:dyDescent="0.25">
      <c r="B1496" s="68"/>
      <c r="C1496" s="50"/>
      <c r="D1496" s="15"/>
    </row>
    <row r="1497" spans="2:4" x14ac:dyDescent="0.25">
      <c r="B1497" s="68"/>
      <c r="C1497" s="50"/>
      <c r="D1497" s="15"/>
    </row>
    <row r="1498" spans="2:4" x14ac:dyDescent="0.25">
      <c r="B1498" s="68"/>
      <c r="C1498" s="50"/>
      <c r="D1498" s="15"/>
    </row>
    <row r="1499" spans="2:4" x14ac:dyDescent="0.25">
      <c r="B1499" s="68"/>
      <c r="C1499" s="50"/>
      <c r="D1499" s="15"/>
    </row>
    <row r="1500" spans="2:4" x14ac:dyDescent="0.25">
      <c r="B1500" s="68"/>
      <c r="C1500" s="50"/>
      <c r="D1500" s="15"/>
    </row>
    <row r="1501" spans="2:4" x14ac:dyDescent="0.25">
      <c r="B1501" s="68"/>
      <c r="C1501" s="50"/>
      <c r="D1501" s="15"/>
    </row>
    <row r="1502" spans="2:4" x14ac:dyDescent="0.25">
      <c r="B1502" s="68"/>
      <c r="C1502" s="50"/>
      <c r="D1502" s="15"/>
    </row>
    <row r="1503" spans="2:4" x14ac:dyDescent="0.25">
      <c r="B1503" s="68"/>
      <c r="C1503" s="50"/>
      <c r="D1503" s="15"/>
    </row>
    <row r="1504" spans="2:4" x14ac:dyDescent="0.25">
      <c r="B1504" s="68"/>
      <c r="C1504" s="50"/>
      <c r="D1504" s="15"/>
    </row>
    <row r="1505" spans="2:4" x14ac:dyDescent="0.25">
      <c r="B1505" s="68"/>
      <c r="C1505" s="50"/>
      <c r="D1505" s="15"/>
    </row>
    <row r="1506" spans="2:4" x14ac:dyDescent="0.25">
      <c r="B1506" s="68"/>
      <c r="C1506" s="50"/>
      <c r="D1506" s="15"/>
    </row>
    <row r="1507" spans="2:4" x14ac:dyDescent="0.25">
      <c r="B1507" s="68"/>
      <c r="C1507" s="50"/>
      <c r="D1507" s="15"/>
    </row>
    <row r="1508" spans="2:4" x14ac:dyDescent="0.25">
      <c r="B1508" s="68"/>
      <c r="C1508" s="50"/>
      <c r="D1508" s="15"/>
    </row>
    <row r="1509" spans="2:4" x14ac:dyDescent="0.25">
      <c r="B1509" s="68"/>
      <c r="C1509" s="50"/>
      <c r="D1509" s="15"/>
    </row>
    <row r="1510" spans="2:4" x14ac:dyDescent="0.25">
      <c r="B1510" s="68"/>
      <c r="C1510" s="50"/>
      <c r="D1510" s="15"/>
    </row>
    <row r="1511" spans="2:4" x14ac:dyDescent="0.25">
      <c r="B1511" s="68"/>
      <c r="C1511" s="50"/>
      <c r="D1511" s="15"/>
    </row>
    <row r="1512" spans="2:4" x14ac:dyDescent="0.25">
      <c r="B1512" s="68"/>
      <c r="C1512" s="50"/>
      <c r="D1512" s="15"/>
    </row>
    <row r="1513" spans="2:4" x14ac:dyDescent="0.25">
      <c r="B1513" s="68"/>
      <c r="C1513" s="50"/>
      <c r="D1513" s="15"/>
    </row>
    <row r="1514" spans="2:4" x14ac:dyDescent="0.25">
      <c r="B1514" s="68"/>
      <c r="C1514" s="50"/>
      <c r="D1514" s="15"/>
    </row>
    <row r="1515" spans="2:4" x14ac:dyDescent="0.25">
      <c r="B1515" s="68"/>
      <c r="C1515" s="50"/>
      <c r="D1515" s="15"/>
    </row>
    <row r="1516" spans="2:4" x14ac:dyDescent="0.25">
      <c r="B1516" s="68"/>
      <c r="C1516" s="50"/>
      <c r="D1516" s="15"/>
    </row>
    <row r="1517" spans="2:4" x14ac:dyDescent="0.25">
      <c r="B1517" s="68"/>
      <c r="C1517" s="50"/>
      <c r="D1517" s="15"/>
    </row>
    <row r="1518" spans="2:4" x14ac:dyDescent="0.25">
      <c r="B1518" s="68"/>
      <c r="C1518" s="50"/>
      <c r="D1518" s="15"/>
    </row>
    <row r="1519" spans="2:4" x14ac:dyDescent="0.25">
      <c r="B1519" s="68"/>
      <c r="C1519" s="50"/>
      <c r="D1519" s="15"/>
    </row>
    <row r="1520" spans="2:4" x14ac:dyDescent="0.25">
      <c r="B1520" s="68"/>
      <c r="C1520" s="50"/>
      <c r="D1520" s="15"/>
    </row>
    <row r="1521" spans="2:4" x14ac:dyDescent="0.25">
      <c r="B1521" s="68"/>
      <c r="C1521" s="50"/>
      <c r="D1521" s="15"/>
    </row>
    <row r="1522" spans="2:4" x14ac:dyDescent="0.25">
      <c r="B1522" s="68"/>
      <c r="C1522" s="50"/>
      <c r="D1522" s="15"/>
    </row>
    <row r="1523" spans="2:4" x14ac:dyDescent="0.25">
      <c r="B1523" s="68"/>
      <c r="C1523" s="50"/>
      <c r="D1523" s="15"/>
    </row>
    <row r="1524" spans="2:4" x14ac:dyDescent="0.25">
      <c r="B1524" s="68"/>
      <c r="C1524" s="50"/>
      <c r="D1524" s="15"/>
    </row>
    <row r="1525" spans="2:4" x14ac:dyDescent="0.25">
      <c r="B1525" s="68"/>
      <c r="C1525" s="50"/>
      <c r="D1525" s="15"/>
    </row>
    <row r="1526" spans="2:4" x14ac:dyDescent="0.25">
      <c r="B1526" s="68"/>
      <c r="C1526" s="50"/>
      <c r="D1526" s="15"/>
    </row>
    <row r="1527" spans="2:4" x14ac:dyDescent="0.25">
      <c r="B1527" s="68"/>
      <c r="C1527" s="50"/>
      <c r="D1527" s="15"/>
    </row>
    <row r="1528" spans="2:4" x14ac:dyDescent="0.25">
      <c r="B1528" s="68"/>
      <c r="C1528" s="50"/>
      <c r="D1528" s="15"/>
    </row>
    <row r="1529" spans="2:4" x14ac:dyDescent="0.25">
      <c r="B1529" s="68"/>
      <c r="C1529" s="50"/>
      <c r="D1529" s="15"/>
    </row>
    <row r="1530" spans="2:4" x14ac:dyDescent="0.25">
      <c r="B1530" s="68"/>
      <c r="C1530" s="50"/>
      <c r="D1530" s="15"/>
    </row>
    <row r="1531" spans="2:4" x14ac:dyDescent="0.25">
      <c r="B1531" s="68"/>
      <c r="C1531" s="50"/>
      <c r="D1531" s="15"/>
    </row>
    <row r="1532" spans="2:4" x14ac:dyDescent="0.25">
      <c r="B1532" s="68"/>
      <c r="C1532" s="50"/>
      <c r="D1532" s="15"/>
    </row>
    <row r="1533" spans="2:4" x14ac:dyDescent="0.25">
      <c r="B1533" s="68"/>
      <c r="C1533" s="50"/>
      <c r="D1533" s="15"/>
    </row>
    <row r="1534" spans="2:4" x14ac:dyDescent="0.25">
      <c r="B1534" s="68"/>
      <c r="C1534" s="50"/>
      <c r="D1534" s="15"/>
    </row>
    <row r="1535" spans="2:4" x14ac:dyDescent="0.25">
      <c r="B1535" s="68"/>
      <c r="C1535" s="50"/>
      <c r="D1535" s="15"/>
    </row>
    <row r="1536" spans="2:4" x14ac:dyDescent="0.25">
      <c r="B1536" s="68"/>
      <c r="C1536" s="50"/>
      <c r="D1536" s="15"/>
    </row>
    <row r="1537" spans="2:4" x14ac:dyDescent="0.25">
      <c r="B1537" s="68"/>
      <c r="C1537" s="50"/>
      <c r="D1537" s="15"/>
    </row>
    <row r="1538" spans="2:4" x14ac:dyDescent="0.25">
      <c r="B1538" s="68"/>
      <c r="C1538" s="50"/>
      <c r="D1538" s="15"/>
    </row>
    <row r="1539" spans="2:4" x14ac:dyDescent="0.25">
      <c r="B1539" s="68"/>
      <c r="C1539" s="50"/>
      <c r="D1539" s="15"/>
    </row>
    <row r="1540" spans="2:4" x14ac:dyDescent="0.25">
      <c r="B1540" s="68"/>
      <c r="C1540" s="50"/>
      <c r="D1540" s="15"/>
    </row>
    <row r="1541" spans="2:4" x14ac:dyDescent="0.25">
      <c r="B1541" s="68"/>
      <c r="C1541" s="50"/>
      <c r="D1541" s="15"/>
    </row>
    <row r="1542" spans="2:4" x14ac:dyDescent="0.25">
      <c r="B1542" s="68"/>
      <c r="C1542" s="50"/>
      <c r="D1542" s="15"/>
    </row>
    <row r="1543" spans="2:4" x14ac:dyDescent="0.25">
      <c r="B1543" s="68"/>
      <c r="C1543" s="50"/>
      <c r="D1543" s="15"/>
    </row>
    <row r="1544" spans="2:4" x14ac:dyDescent="0.25">
      <c r="B1544" s="68"/>
      <c r="C1544" s="50"/>
      <c r="D1544" s="15"/>
    </row>
    <row r="1545" spans="2:4" x14ac:dyDescent="0.25">
      <c r="B1545" s="68"/>
      <c r="C1545" s="50"/>
      <c r="D1545" s="15"/>
    </row>
    <row r="1546" spans="2:4" x14ac:dyDescent="0.25">
      <c r="B1546" s="68"/>
      <c r="C1546" s="50"/>
      <c r="D1546" s="15"/>
    </row>
    <row r="1547" spans="2:4" x14ac:dyDescent="0.25">
      <c r="B1547" s="68"/>
      <c r="C1547" s="50"/>
      <c r="D1547" s="15"/>
    </row>
    <row r="1548" spans="2:4" x14ac:dyDescent="0.25">
      <c r="B1548" s="68"/>
      <c r="C1548" s="50"/>
      <c r="D1548" s="15"/>
    </row>
    <row r="1549" spans="2:4" x14ac:dyDescent="0.25">
      <c r="B1549" s="68"/>
      <c r="C1549" s="50"/>
      <c r="D1549" s="15"/>
    </row>
    <row r="1550" spans="2:4" x14ac:dyDescent="0.25">
      <c r="B1550" s="68"/>
      <c r="C1550" s="50"/>
      <c r="D1550" s="15"/>
    </row>
    <row r="1551" spans="2:4" x14ac:dyDescent="0.25">
      <c r="B1551" s="68"/>
      <c r="C1551" s="50"/>
      <c r="D1551" s="15"/>
    </row>
    <row r="1552" spans="2:4" x14ac:dyDescent="0.25">
      <c r="B1552" s="68"/>
      <c r="C1552" s="50"/>
      <c r="D1552" s="15"/>
    </row>
    <row r="1553" spans="2:4" x14ac:dyDescent="0.25">
      <c r="B1553" s="68"/>
      <c r="C1553" s="50"/>
      <c r="D1553" s="15"/>
    </row>
    <row r="1554" spans="2:4" x14ac:dyDescent="0.25">
      <c r="B1554" s="68"/>
      <c r="C1554" s="50"/>
      <c r="D1554" s="15"/>
    </row>
    <row r="1555" spans="2:4" x14ac:dyDescent="0.25">
      <c r="B1555" s="68"/>
      <c r="C1555" s="50"/>
      <c r="D1555" s="15"/>
    </row>
    <row r="1556" spans="2:4" x14ac:dyDescent="0.25">
      <c r="B1556" s="68"/>
      <c r="C1556" s="50"/>
      <c r="D1556" s="15"/>
    </row>
    <row r="1557" spans="2:4" x14ac:dyDescent="0.25">
      <c r="B1557" s="68"/>
      <c r="C1557" s="50"/>
      <c r="D1557" s="15"/>
    </row>
    <row r="1558" spans="2:4" x14ac:dyDescent="0.25">
      <c r="B1558" s="68"/>
      <c r="C1558" s="50"/>
      <c r="D1558" s="15"/>
    </row>
    <row r="1559" spans="2:4" x14ac:dyDescent="0.25">
      <c r="B1559" s="68"/>
      <c r="C1559" s="50"/>
      <c r="D1559" s="15"/>
    </row>
    <row r="1560" spans="2:4" x14ac:dyDescent="0.25">
      <c r="B1560" s="68"/>
      <c r="C1560" s="50"/>
      <c r="D1560" s="15"/>
    </row>
    <row r="1561" spans="2:4" x14ac:dyDescent="0.25">
      <c r="B1561" s="68"/>
      <c r="C1561" s="50"/>
      <c r="D1561" s="15"/>
    </row>
    <row r="1562" spans="2:4" x14ac:dyDescent="0.25">
      <c r="B1562" s="68"/>
      <c r="C1562" s="50"/>
      <c r="D1562" s="15"/>
    </row>
    <row r="1563" spans="2:4" x14ac:dyDescent="0.25">
      <c r="B1563" s="68"/>
      <c r="C1563" s="50"/>
      <c r="D1563" s="15"/>
    </row>
    <row r="1564" spans="2:4" x14ac:dyDescent="0.25">
      <c r="B1564" s="68"/>
      <c r="C1564" s="50"/>
      <c r="D1564" s="15"/>
    </row>
    <row r="1565" spans="2:4" x14ac:dyDescent="0.25">
      <c r="B1565" s="68"/>
      <c r="C1565" s="50"/>
      <c r="D1565" s="15"/>
    </row>
    <row r="1566" spans="2:4" x14ac:dyDescent="0.25">
      <c r="B1566" s="68"/>
      <c r="C1566" s="50"/>
      <c r="D1566" s="15"/>
    </row>
    <row r="1567" spans="2:4" x14ac:dyDescent="0.25">
      <c r="B1567" s="68"/>
      <c r="C1567" s="50"/>
      <c r="D1567" s="15"/>
    </row>
    <row r="1568" spans="2:4" x14ac:dyDescent="0.25">
      <c r="B1568" s="68"/>
      <c r="C1568" s="50"/>
      <c r="D1568" s="15"/>
    </row>
    <row r="1569" spans="2:4" x14ac:dyDescent="0.25">
      <c r="B1569" s="68"/>
      <c r="C1569" s="50"/>
      <c r="D1569" s="15"/>
    </row>
    <row r="1570" spans="2:4" x14ac:dyDescent="0.25">
      <c r="B1570" s="68"/>
      <c r="C1570" s="50"/>
      <c r="D1570" s="15"/>
    </row>
    <row r="1571" spans="2:4" x14ac:dyDescent="0.25">
      <c r="B1571" s="68"/>
      <c r="C1571" s="50"/>
      <c r="D1571" s="15"/>
    </row>
    <row r="1572" spans="2:4" x14ac:dyDescent="0.25">
      <c r="B1572" s="68"/>
      <c r="C1572" s="50"/>
      <c r="D1572" s="15"/>
    </row>
    <row r="1573" spans="2:4" x14ac:dyDescent="0.25">
      <c r="B1573" s="68"/>
      <c r="C1573" s="50"/>
      <c r="D1573" s="15"/>
    </row>
    <row r="1574" spans="2:4" x14ac:dyDescent="0.25">
      <c r="B1574" s="68"/>
      <c r="C1574" s="50"/>
      <c r="D1574" s="15"/>
    </row>
    <row r="1575" spans="2:4" x14ac:dyDescent="0.25">
      <c r="B1575" s="68"/>
      <c r="C1575" s="50"/>
      <c r="D1575" s="15"/>
    </row>
    <row r="1576" spans="2:4" x14ac:dyDescent="0.25">
      <c r="B1576" s="68"/>
      <c r="C1576" s="50"/>
      <c r="D1576" s="15"/>
    </row>
    <row r="1577" spans="2:4" x14ac:dyDescent="0.25">
      <c r="B1577" s="68"/>
      <c r="C1577" s="50"/>
      <c r="D1577" s="15"/>
    </row>
    <row r="1578" spans="2:4" x14ac:dyDescent="0.25">
      <c r="B1578" s="68"/>
      <c r="C1578" s="50"/>
      <c r="D1578" s="15"/>
    </row>
    <row r="1579" spans="2:4" x14ac:dyDescent="0.25">
      <c r="B1579" s="68"/>
      <c r="C1579" s="50"/>
      <c r="D1579" s="15"/>
    </row>
    <row r="1580" spans="2:4" x14ac:dyDescent="0.25">
      <c r="B1580" s="68"/>
      <c r="C1580" s="50"/>
      <c r="D1580" s="15"/>
    </row>
    <row r="1581" spans="2:4" x14ac:dyDescent="0.25">
      <c r="B1581" s="68"/>
      <c r="C1581" s="50"/>
      <c r="D1581" s="15"/>
    </row>
    <row r="1582" spans="2:4" x14ac:dyDescent="0.25">
      <c r="B1582" s="68"/>
      <c r="C1582" s="50"/>
      <c r="D1582" s="15"/>
    </row>
    <row r="1583" spans="2:4" x14ac:dyDescent="0.25">
      <c r="B1583" s="68"/>
      <c r="C1583" s="50"/>
      <c r="D1583" s="15"/>
    </row>
    <row r="1584" spans="2:4" x14ac:dyDescent="0.25">
      <c r="B1584" s="68"/>
      <c r="C1584" s="50"/>
      <c r="D1584" s="15"/>
    </row>
    <row r="1585" spans="2:4" x14ac:dyDescent="0.25">
      <c r="B1585" s="68"/>
      <c r="C1585" s="50"/>
      <c r="D1585" s="15"/>
    </row>
    <row r="1586" spans="2:4" x14ac:dyDescent="0.25">
      <c r="B1586" s="68"/>
      <c r="C1586" s="50"/>
      <c r="D1586" s="15"/>
    </row>
    <row r="1587" spans="2:4" x14ac:dyDescent="0.25">
      <c r="B1587" s="68"/>
      <c r="C1587" s="50"/>
      <c r="D1587" s="15"/>
    </row>
    <row r="1588" spans="2:4" x14ac:dyDescent="0.25">
      <c r="B1588" s="68"/>
      <c r="C1588" s="50"/>
      <c r="D1588" s="15"/>
    </row>
    <row r="1589" spans="2:4" x14ac:dyDescent="0.25">
      <c r="B1589" s="68"/>
      <c r="C1589" s="50"/>
      <c r="D1589" s="15"/>
    </row>
    <row r="1590" spans="2:4" x14ac:dyDescent="0.25">
      <c r="B1590" s="68"/>
      <c r="C1590" s="50"/>
      <c r="D1590" s="15"/>
    </row>
    <row r="1591" spans="2:4" x14ac:dyDescent="0.25">
      <c r="B1591" s="68"/>
      <c r="C1591" s="50"/>
      <c r="D1591" s="15"/>
    </row>
    <row r="1592" spans="2:4" x14ac:dyDescent="0.25">
      <c r="B1592" s="68"/>
      <c r="C1592" s="50"/>
      <c r="D1592" s="15"/>
    </row>
    <row r="1593" spans="2:4" x14ac:dyDescent="0.25">
      <c r="B1593" s="68"/>
      <c r="C1593" s="50"/>
      <c r="D1593" s="15"/>
    </row>
    <row r="1594" spans="2:4" x14ac:dyDescent="0.25">
      <c r="B1594" s="68"/>
      <c r="C1594" s="50"/>
      <c r="D1594" s="15"/>
    </row>
    <row r="1595" spans="2:4" x14ac:dyDescent="0.25">
      <c r="B1595" s="68"/>
      <c r="C1595" s="50"/>
      <c r="D1595" s="15"/>
    </row>
    <row r="1596" spans="2:4" x14ac:dyDescent="0.25">
      <c r="B1596" s="68"/>
      <c r="C1596" s="50"/>
      <c r="D1596" s="15"/>
    </row>
    <row r="1597" spans="2:4" x14ac:dyDescent="0.25">
      <c r="B1597" s="68"/>
      <c r="C1597" s="50"/>
      <c r="D1597" s="15"/>
    </row>
    <row r="1598" spans="2:4" x14ac:dyDescent="0.25">
      <c r="B1598" s="68"/>
      <c r="C1598" s="50"/>
      <c r="D1598" s="15"/>
    </row>
    <row r="1599" spans="2:4" x14ac:dyDescent="0.25">
      <c r="B1599" s="68"/>
      <c r="C1599" s="50"/>
      <c r="D1599" s="15"/>
    </row>
    <row r="1600" spans="2:4" x14ac:dyDescent="0.25">
      <c r="B1600" s="68"/>
      <c r="C1600" s="50"/>
      <c r="D1600" s="15"/>
    </row>
    <row r="1601" spans="2:4" x14ac:dyDescent="0.25">
      <c r="B1601" s="68"/>
      <c r="C1601" s="50"/>
      <c r="D1601" s="15"/>
    </row>
    <row r="1602" spans="2:4" x14ac:dyDescent="0.25">
      <c r="B1602" s="68"/>
      <c r="C1602" s="50"/>
      <c r="D1602" s="15"/>
    </row>
    <row r="1603" spans="2:4" x14ac:dyDescent="0.25">
      <c r="B1603" s="68"/>
      <c r="C1603" s="50"/>
      <c r="D1603" s="15"/>
    </row>
    <row r="1604" spans="2:4" x14ac:dyDescent="0.25">
      <c r="B1604" s="68"/>
      <c r="C1604" s="50"/>
      <c r="D1604" s="15"/>
    </row>
    <row r="1605" spans="2:4" x14ac:dyDescent="0.25">
      <c r="B1605" s="68"/>
      <c r="C1605" s="50"/>
      <c r="D1605" s="15"/>
    </row>
    <row r="1606" spans="2:4" x14ac:dyDescent="0.25">
      <c r="B1606" s="68"/>
      <c r="C1606" s="50"/>
      <c r="D1606" s="15"/>
    </row>
    <row r="1607" spans="2:4" x14ac:dyDescent="0.25">
      <c r="B1607" s="68"/>
      <c r="C1607" s="50"/>
      <c r="D1607" s="15"/>
    </row>
    <row r="1608" spans="2:4" x14ac:dyDescent="0.25">
      <c r="B1608" s="68"/>
      <c r="C1608" s="50"/>
      <c r="D1608" s="15"/>
    </row>
    <row r="1609" spans="2:4" x14ac:dyDescent="0.25">
      <c r="B1609" s="68"/>
      <c r="C1609" s="50"/>
      <c r="D1609" s="15"/>
    </row>
    <row r="1610" spans="2:4" x14ac:dyDescent="0.25">
      <c r="B1610" s="68"/>
      <c r="C1610" s="50"/>
      <c r="D1610" s="15"/>
    </row>
    <row r="1611" spans="2:4" x14ac:dyDescent="0.25">
      <c r="B1611" s="68"/>
      <c r="C1611" s="50"/>
      <c r="D1611" s="15"/>
    </row>
    <row r="1612" spans="2:4" x14ac:dyDescent="0.25">
      <c r="B1612" s="68"/>
      <c r="C1612" s="50"/>
      <c r="D1612" s="15"/>
    </row>
    <row r="1613" spans="2:4" x14ac:dyDescent="0.25">
      <c r="B1613" s="68"/>
      <c r="C1613" s="50"/>
      <c r="D1613" s="15"/>
    </row>
    <row r="1614" spans="2:4" x14ac:dyDescent="0.25">
      <c r="B1614" s="68"/>
      <c r="C1614" s="50"/>
      <c r="D1614" s="15"/>
    </row>
    <row r="1615" spans="2:4" x14ac:dyDescent="0.25">
      <c r="B1615" s="68"/>
      <c r="C1615" s="50"/>
      <c r="D1615" s="15"/>
    </row>
    <row r="1616" spans="2:4" x14ac:dyDescent="0.25">
      <c r="B1616" s="68"/>
      <c r="C1616" s="50"/>
      <c r="D1616" s="15"/>
    </row>
    <row r="1617" spans="2:4" x14ac:dyDescent="0.25">
      <c r="B1617" s="68"/>
      <c r="C1617" s="50"/>
      <c r="D1617" s="15"/>
    </row>
    <row r="1618" spans="2:4" x14ac:dyDescent="0.25">
      <c r="B1618" s="68"/>
      <c r="C1618" s="50"/>
      <c r="D1618" s="15"/>
    </row>
    <row r="1619" spans="2:4" x14ac:dyDescent="0.25">
      <c r="B1619" s="68"/>
      <c r="C1619" s="50"/>
      <c r="D1619" s="15"/>
    </row>
    <row r="1620" spans="2:4" x14ac:dyDescent="0.25">
      <c r="B1620" s="68"/>
      <c r="C1620" s="50"/>
      <c r="D1620" s="15"/>
    </row>
    <row r="1621" spans="2:4" x14ac:dyDescent="0.25">
      <c r="B1621" s="68"/>
      <c r="C1621" s="50"/>
      <c r="D1621" s="15"/>
    </row>
    <row r="1622" spans="2:4" x14ac:dyDescent="0.25">
      <c r="B1622" s="68"/>
      <c r="C1622" s="50"/>
      <c r="D1622" s="15"/>
    </row>
    <row r="1623" spans="2:4" x14ac:dyDescent="0.25">
      <c r="B1623" s="68"/>
      <c r="C1623" s="50"/>
      <c r="D1623" s="15"/>
    </row>
    <row r="1624" spans="2:4" x14ac:dyDescent="0.25">
      <c r="B1624" s="68"/>
      <c r="C1624" s="50"/>
      <c r="D1624" s="15"/>
    </row>
    <row r="1625" spans="2:4" x14ac:dyDescent="0.25">
      <c r="B1625" s="68"/>
      <c r="C1625" s="50"/>
      <c r="D1625" s="15"/>
    </row>
    <row r="1626" spans="2:4" x14ac:dyDescent="0.25">
      <c r="B1626" s="68"/>
      <c r="C1626" s="50"/>
      <c r="D1626" s="15"/>
    </row>
    <row r="1627" spans="2:4" x14ac:dyDescent="0.25">
      <c r="B1627" s="68"/>
      <c r="C1627" s="50"/>
      <c r="D1627" s="15"/>
    </row>
    <row r="1628" spans="2:4" x14ac:dyDescent="0.25">
      <c r="B1628" s="68"/>
      <c r="C1628" s="50"/>
      <c r="D1628" s="15"/>
    </row>
    <row r="1629" spans="2:4" x14ac:dyDescent="0.25">
      <c r="B1629" s="68"/>
      <c r="C1629" s="50"/>
      <c r="D1629" s="15"/>
    </row>
    <row r="1630" spans="2:4" x14ac:dyDescent="0.25">
      <c r="B1630" s="68"/>
      <c r="C1630" s="50"/>
      <c r="D1630" s="15"/>
    </row>
    <row r="1631" spans="2:4" x14ac:dyDescent="0.25">
      <c r="B1631" s="68"/>
      <c r="C1631" s="50"/>
      <c r="D1631" s="15"/>
    </row>
    <row r="1632" spans="2:4" x14ac:dyDescent="0.25">
      <c r="B1632" s="68"/>
      <c r="C1632" s="50"/>
      <c r="D1632" s="15"/>
    </row>
    <row r="1633" spans="2:4" x14ac:dyDescent="0.25">
      <c r="B1633" s="68"/>
      <c r="C1633" s="50"/>
      <c r="D1633" s="15"/>
    </row>
    <row r="1634" spans="2:4" x14ac:dyDescent="0.25">
      <c r="B1634" s="68"/>
      <c r="C1634" s="50"/>
      <c r="D1634" s="15"/>
    </row>
    <row r="1635" spans="2:4" x14ac:dyDescent="0.25">
      <c r="B1635" s="68"/>
      <c r="C1635" s="50"/>
      <c r="D1635" s="15"/>
    </row>
    <row r="1636" spans="2:4" x14ac:dyDescent="0.25">
      <c r="B1636" s="68"/>
      <c r="C1636" s="50"/>
      <c r="D1636" s="15"/>
    </row>
    <row r="1637" spans="2:4" x14ac:dyDescent="0.25">
      <c r="B1637" s="68"/>
      <c r="C1637" s="50"/>
      <c r="D1637" s="15"/>
    </row>
    <row r="1638" spans="2:4" x14ac:dyDescent="0.25">
      <c r="B1638" s="68"/>
      <c r="C1638" s="50"/>
      <c r="D1638" s="15"/>
    </row>
    <row r="1639" spans="2:4" x14ac:dyDescent="0.25">
      <c r="B1639" s="68"/>
      <c r="C1639" s="50"/>
      <c r="D1639" s="15"/>
    </row>
    <row r="1640" spans="2:4" x14ac:dyDescent="0.25">
      <c r="B1640" s="68"/>
      <c r="C1640" s="50"/>
      <c r="D1640" s="15"/>
    </row>
    <row r="1641" spans="2:4" x14ac:dyDescent="0.25">
      <c r="B1641" s="68"/>
      <c r="C1641" s="50"/>
      <c r="D1641" s="15"/>
    </row>
    <row r="1642" spans="2:4" x14ac:dyDescent="0.25">
      <c r="B1642" s="68"/>
      <c r="C1642" s="50"/>
      <c r="D1642" s="15"/>
    </row>
    <row r="1643" spans="2:4" x14ac:dyDescent="0.25">
      <c r="B1643" s="68"/>
      <c r="C1643" s="50"/>
      <c r="D1643" s="15"/>
    </row>
    <row r="1644" spans="2:4" x14ac:dyDescent="0.25">
      <c r="B1644" s="68"/>
      <c r="C1644" s="50"/>
      <c r="D1644" s="15"/>
    </row>
    <row r="1645" spans="2:4" x14ac:dyDescent="0.25">
      <c r="B1645" s="68"/>
      <c r="C1645" s="50"/>
      <c r="D1645" s="15"/>
    </row>
    <row r="1646" spans="2:4" x14ac:dyDescent="0.25">
      <c r="B1646" s="68"/>
      <c r="C1646" s="50"/>
      <c r="D1646" s="15"/>
    </row>
    <row r="1647" spans="2:4" x14ac:dyDescent="0.25">
      <c r="B1647" s="68"/>
      <c r="C1647" s="50"/>
      <c r="D1647" s="15"/>
    </row>
    <row r="1648" spans="2:4" x14ac:dyDescent="0.25">
      <c r="B1648" s="68"/>
      <c r="C1648" s="50"/>
      <c r="D1648" s="15"/>
    </row>
    <row r="1649" spans="2:4" x14ac:dyDescent="0.25">
      <c r="B1649" s="68"/>
      <c r="C1649" s="50"/>
      <c r="D1649" s="15"/>
    </row>
    <row r="1650" spans="2:4" x14ac:dyDescent="0.25">
      <c r="B1650" s="68"/>
      <c r="C1650" s="50"/>
      <c r="D1650" s="15"/>
    </row>
    <row r="1651" spans="2:4" x14ac:dyDescent="0.25">
      <c r="B1651" s="68"/>
      <c r="C1651" s="50"/>
      <c r="D1651" s="15"/>
    </row>
    <row r="1652" spans="2:4" x14ac:dyDescent="0.25">
      <c r="B1652" s="68"/>
      <c r="C1652" s="50"/>
      <c r="D1652" s="15"/>
    </row>
    <row r="1653" spans="2:4" x14ac:dyDescent="0.25">
      <c r="B1653" s="68"/>
      <c r="C1653" s="50"/>
      <c r="D1653" s="15"/>
    </row>
    <row r="1654" spans="2:4" x14ac:dyDescent="0.25">
      <c r="B1654" s="68"/>
      <c r="C1654" s="50"/>
      <c r="D1654" s="15"/>
    </row>
    <row r="1655" spans="2:4" x14ac:dyDescent="0.25">
      <c r="B1655" s="68"/>
      <c r="C1655" s="50"/>
      <c r="D1655" s="15"/>
    </row>
    <row r="1656" spans="2:4" x14ac:dyDescent="0.25">
      <c r="B1656" s="68"/>
      <c r="C1656" s="50"/>
      <c r="D1656" s="15"/>
    </row>
    <row r="1657" spans="2:4" x14ac:dyDescent="0.25">
      <c r="B1657" s="68"/>
      <c r="C1657" s="50"/>
      <c r="D1657" s="15"/>
    </row>
    <row r="1658" spans="2:4" x14ac:dyDescent="0.25">
      <c r="B1658" s="68"/>
      <c r="C1658" s="50"/>
      <c r="D1658" s="15"/>
    </row>
    <row r="1659" spans="2:4" x14ac:dyDescent="0.25">
      <c r="B1659" s="68"/>
      <c r="C1659" s="50"/>
      <c r="D1659" s="15"/>
    </row>
    <row r="1660" spans="2:4" x14ac:dyDescent="0.25">
      <c r="B1660" s="68"/>
      <c r="C1660" s="50"/>
      <c r="D1660" s="15"/>
    </row>
    <row r="1661" spans="2:4" x14ac:dyDescent="0.25">
      <c r="B1661" s="68"/>
      <c r="C1661" s="50"/>
      <c r="D1661" s="15"/>
    </row>
    <row r="1662" spans="2:4" x14ac:dyDescent="0.25">
      <c r="B1662" s="68"/>
      <c r="C1662" s="50"/>
      <c r="D1662" s="15"/>
    </row>
    <row r="1663" spans="2:4" x14ac:dyDescent="0.25">
      <c r="B1663" s="68"/>
      <c r="C1663" s="50"/>
      <c r="D1663" s="15"/>
    </row>
    <row r="1664" spans="2:4" x14ac:dyDescent="0.25">
      <c r="B1664" s="68"/>
      <c r="C1664" s="50"/>
      <c r="D1664" s="15"/>
    </row>
    <row r="1665" spans="2:4" x14ac:dyDescent="0.25">
      <c r="B1665" s="68"/>
      <c r="C1665" s="50"/>
      <c r="D1665" s="15"/>
    </row>
    <row r="1666" spans="2:4" x14ac:dyDescent="0.25">
      <c r="B1666" s="68"/>
      <c r="C1666" s="50"/>
      <c r="D1666" s="15"/>
    </row>
    <row r="1667" spans="2:4" x14ac:dyDescent="0.25">
      <c r="B1667" s="68"/>
      <c r="C1667" s="50"/>
      <c r="D1667" s="15"/>
    </row>
    <row r="1668" spans="2:4" x14ac:dyDescent="0.25">
      <c r="B1668" s="68"/>
      <c r="C1668" s="50"/>
      <c r="D1668" s="15"/>
    </row>
    <row r="1669" spans="2:4" x14ac:dyDescent="0.25">
      <c r="B1669" s="68"/>
      <c r="C1669" s="50"/>
      <c r="D1669" s="15"/>
    </row>
    <row r="1670" spans="2:4" x14ac:dyDescent="0.25">
      <c r="B1670" s="68"/>
      <c r="C1670" s="50"/>
      <c r="D1670" s="15"/>
    </row>
    <row r="1671" spans="2:4" x14ac:dyDescent="0.25">
      <c r="B1671" s="68"/>
      <c r="C1671" s="50"/>
      <c r="D1671" s="15"/>
    </row>
    <row r="1672" spans="2:4" x14ac:dyDescent="0.25">
      <c r="B1672" s="68"/>
      <c r="C1672" s="50"/>
      <c r="D1672" s="15"/>
    </row>
    <row r="1673" spans="2:4" x14ac:dyDescent="0.25">
      <c r="B1673" s="68"/>
      <c r="C1673" s="50"/>
      <c r="D1673" s="15"/>
    </row>
    <row r="1674" spans="2:4" x14ac:dyDescent="0.25">
      <c r="B1674" s="68"/>
      <c r="C1674" s="50"/>
      <c r="D1674" s="15"/>
    </row>
    <row r="1675" spans="2:4" x14ac:dyDescent="0.25">
      <c r="B1675" s="68"/>
      <c r="C1675" s="50"/>
      <c r="D1675" s="15"/>
    </row>
    <row r="1676" spans="2:4" x14ac:dyDescent="0.25">
      <c r="B1676" s="68"/>
      <c r="C1676" s="50"/>
      <c r="D1676" s="15"/>
    </row>
    <row r="1677" spans="2:4" x14ac:dyDescent="0.25">
      <c r="B1677" s="68"/>
      <c r="C1677" s="50"/>
      <c r="D1677" s="15"/>
    </row>
    <row r="1678" spans="2:4" x14ac:dyDescent="0.25">
      <c r="B1678" s="68"/>
      <c r="C1678" s="50"/>
      <c r="D1678" s="15"/>
    </row>
    <row r="1679" spans="2:4" x14ac:dyDescent="0.25">
      <c r="B1679" s="68"/>
      <c r="C1679" s="50"/>
      <c r="D1679" s="15"/>
    </row>
    <row r="1680" spans="2:4" x14ac:dyDescent="0.25">
      <c r="B1680" s="68"/>
      <c r="C1680" s="50"/>
      <c r="D1680" s="15"/>
    </row>
    <row r="1681" spans="2:4" x14ac:dyDescent="0.25">
      <c r="B1681" s="68"/>
      <c r="C1681" s="50"/>
      <c r="D1681" s="15"/>
    </row>
    <row r="1682" spans="2:4" x14ac:dyDescent="0.25">
      <c r="B1682" s="68"/>
      <c r="C1682" s="50"/>
      <c r="D1682" s="15"/>
    </row>
    <row r="1683" spans="2:4" x14ac:dyDescent="0.25">
      <c r="B1683" s="68"/>
      <c r="C1683" s="50"/>
      <c r="D1683" s="15"/>
    </row>
    <row r="1684" spans="2:4" x14ac:dyDescent="0.25">
      <c r="B1684" s="68"/>
      <c r="C1684" s="50"/>
      <c r="D1684" s="15"/>
    </row>
    <row r="1685" spans="2:4" x14ac:dyDescent="0.25">
      <c r="B1685" s="68"/>
      <c r="C1685" s="50"/>
      <c r="D1685" s="15"/>
    </row>
    <row r="1686" spans="2:4" x14ac:dyDescent="0.25">
      <c r="B1686" s="68"/>
      <c r="C1686" s="50"/>
      <c r="D1686" s="15"/>
    </row>
    <row r="1687" spans="2:4" x14ac:dyDescent="0.25">
      <c r="B1687" s="68"/>
      <c r="C1687" s="50"/>
      <c r="D1687" s="15"/>
    </row>
    <row r="1688" spans="2:4" x14ac:dyDescent="0.25">
      <c r="B1688" s="68"/>
      <c r="C1688" s="50"/>
      <c r="D1688" s="15"/>
    </row>
    <row r="1689" spans="2:4" x14ac:dyDescent="0.25">
      <c r="B1689" s="68"/>
      <c r="C1689" s="50"/>
      <c r="D1689" s="15"/>
    </row>
    <row r="1690" spans="2:4" x14ac:dyDescent="0.25">
      <c r="B1690" s="68"/>
      <c r="C1690" s="50"/>
      <c r="D1690" s="15"/>
    </row>
    <row r="1691" spans="2:4" x14ac:dyDescent="0.25">
      <c r="B1691" s="68"/>
      <c r="C1691" s="50"/>
      <c r="D1691" s="15"/>
    </row>
    <row r="1692" spans="2:4" x14ac:dyDescent="0.25">
      <c r="B1692" s="68"/>
      <c r="C1692" s="50"/>
      <c r="D1692" s="15"/>
    </row>
    <row r="1693" spans="2:4" x14ac:dyDescent="0.25">
      <c r="B1693" s="68"/>
      <c r="C1693" s="50"/>
      <c r="D1693" s="15"/>
    </row>
    <row r="1694" spans="2:4" x14ac:dyDescent="0.25">
      <c r="B1694" s="68"/>
      <c r="C1694" s="50"/>
      <c r="D1694" s="15"/>
    </row>
    <row r="1695" spans="2:4" x14ac:dyDescent="0.25">
      <c r="B1695" s="68"/>
      <c r="C1695" s="50"/>
      <c r="D1695" s="15"/>
    </row>
    <row r="1696" spans="2:4" x14ac:dyDescent="0.25">
      <c r="B1696" s="68"/>
      <c r="C1696" s="50"/>
      <c r="D1696" s="15"/>
    </row>
    <row r="1697" spans="2:4" x14ac:dyDescent="0.25">
      <c r="B1697" s="68"/>
      <c r="C1697" s="50"/>
      <c r="D1697" s="15"/>
    </row>
    <row r="1698" spans="2:4" x14ac:dyDescent="0.25">
      <c r="B1698" s="68"/>
      <c r="C1698" s="50"/>
      <c r="D1698" s="15"/>
    </row>
    <row r="1699" spans="2:4" x14ac:dyDescent="0.25">
      <c r="B1699" s="68"/>
      <c r="C1699" s="50"/>
      <c r="D1699" s="15"/>
    </row>
    <row r="1700" spans="2:4" x14ac:dyDescent="0.25">
      <c r="B1700" s="68"/>
      <c r="C1700" s="50"/>
      <c r="D1700" s="15"/>
    </row>
    <row r="1701" spans="2:4" x14ac:dyDescent="0.25">
      <c r="B1701" s="68"/>
      <c r="C1701" s="50"/>
      <c r="D1701" s="15"/>
    </row>
    <row r="1702" spans="2:4" x14ac:dyDescent="0.25">
      <c r="B1702" s="68"/>
      <c r="C1702" s="50"/>
      <c r="D1702" s="15"/>
    </row>
    <row r="1703" spans="2:4" x14ac:dyDescent="0.25">
      <c r="B1703" s="68"/>
      <c r="C1703" s="50"/>
      <c r="D1703" s="15"/>
    </row>
    <row r="1704" spans="2:4" x14ac:dyDescent="0.25">
      <c r="B1704" s="68"/>
      <c r="C1704" s="50"/>
      <c r="D1704" s="15"/>
    </row>
    <row r="1705" spans="2:4" x14ac:dyDescent="0.25">
      <c r="B1705" s="68"/>
      <c r="C1705" s="50"/>
      <c r="D1705" s="15"/>
    </row>
    <row r="1706" spans="2:4" x14ac:dyDescent="0.25">
      <c r="B1706" s="68"/>
      <c r="C1706" s="50"/>
      <c r="D1706" s="15"/>
    </row>
    <row r="1707" spans="2:4" x14ac:dyDescent="0.25">
      <c r="B1707" s="68"/>
      <c r="C1707" s="50"/>
      <c r="D1707" s="15"/>
    </row>
    <row r="1708" spans="2:4" x14ac:dyDescent="0.25">
      <c r="B1708" s="68"/>
      <c r="C1708" s="50"/>
      <c r="D1708" s="15"/>
    </row>
    <row r="1709" spans="2:4" x14ac:dyDescent="0.25">
      <c r="B1709" s="68"/>
      <c r="C1709" s="50"/>
      <c r="D1709" s="15"/>
    </row>
    <row r="1710" spans="2:4" x14ac:dyDescent="0.25">
      <c r="B1710" s="68"/>
      <c r="C1710" s="50"/>
      <c r="D1710" s="15"/>
    </row>
    <row r="1711" spans="2:4" x14ac:dyDescent="0.25">
      <c r="B1711" s="68"/>
      <c r="C1711" s="50"/>
      <c r="D1711" s="15"/>
    </row>
    <row r="1712" spans="2:4" x14ac:dyDescent="0.25">
      <c r="B1712" s="68"/>
      <c r="C1712" s="50"/>
      <c r="D1712" s="15"/>
    </row>
    <row r="1713" spans="2:4" x14ac:dyDescent="0.25">
      <c r="B1713" s="68"/>
      <c r="C1713" s="50"/>
      <c r="D1713" s="15"/>
    </row>
    <row r="1714" spans="2:4" x14ac:dyDescent="0.25">
      <c r="B1714" s="68"/>
      <c r="C1714" s="50"/>
      <c r="D1714" s="15"/>
    </row>
    <row r="1715" spans="2:4" x14ac:dyDescent="0.25">
      <c r="B1715" s="68"/>
      <c r="C1715" s="50"/>
      <c r="D1715" s="15"/>
    </row>
    <row r="1716" spans="2:4" x14ac:dyDescent="0.25">
      <c r="B1716" s="68"/>
      <c r="C1716" s="50"/>
      <c r="D1716" s="15"/>
    </row>
    <row r="1717" spans="2:4" x14ac:dyDescent="0.25">
      <c r="B1717" s="68"/>
      <c r="C1717" s="50"/>
      <c r="D1717" s="15"/>
    </row>
    <row r="1718" spans="2:4" x14ac:dyDescent="0.25">
      <c r="B1718" s="68"/>
      <c r="C1718" s="50"/>
      <c r="D1718" s="15"/>
    </row>
    <row r="1719" spans="2:4" x14ac:dyDescent="0.25">
      <c r="B1719" s="68"/>
      <c r="C1719" s="50"/>
      <c r="D1719" s="15"/>
    </row>
    <row r="1720" spans="2:4" x14ac:dyDescent="0.25">
      <c r="B1720" s="68"/>
      <c r="C1720" s="50"/>
      <c r="D1720" s="15"/>
    </row>
    <row r="1721" spans="2:4" x14ac:dyDescent="0.25">
      <c r="B1721" s="68"/>
      <c r="C1721" s="50"/>
      <c r="D1721" s="15"/>
    </row>
    <row r="1722" spans="2:4" x14ac:dyDescent="0.25">
      <c r="B1722" s="68"/>
      <c r="C1722" s="50"/>
      <c r="D1722" s="15"/>
    </row>
    <row r="1723" spans="2:4" x14ac:dyDescent="0.25">
      <c r="B1723" s="68"/>
      <c r="C1723" s="50"/>
      <c r="D1723" s="15"/>
    </row>
    <row r="1724" spans="2:4" x14ac:dyDescent="0.25">
      <c r="B1724" s="68"/>
      <c r="C1724" s="50"/>
      <c r="D1724" s="15"/>
    </row>
    <row r="1725" spans="2:4" x14ac:dyDescent="0.25">
      <c r="B1725" s="68"/>
      <c r="C1725" s="50"/>
      <c r="D1725" s="15"/>
    </row>
    <row r="1726" spans="2:4" x14ac:dyDescent="0.25">
      <c r="B1726" s="68"/>
      <c r="C1726" s="50"/>
      <c r="D1726" s="15"/>
    </row>
    <row r="1727" spans="2:4" x14ac:dyDescent="0.25">
      <c r="B1727" s="68"/>
      <c r="C1727" s="50"/>
      <c r="D1727" s="15"/>
    </row>
    <row r="1728" spans="2:4" x14ac:dyDescent="0.25">
      <c r="B1728" s="68"/>
      <c r="C1728" s="50"/>
      <c r="D1728" s="15"/>
    </row>
    <row r="1729" spans="2:4" x14ac:dyDescent="0.25">
      <c r="B1729" s="68"/>
      <c r="C1729" s="50"/>
      <c r="D1729" s="15"/>
    </row>
    <row r="1730" spans="2:4" x14ac:dyDescent="0.25">
      <c r="B1730" s="68"/>
      <c r="C1730" s="50"/>
      <c r="D1730" s="15"/>
    </row>
    <row r="1731" spans="2:4" x14ac:dyDescent="0.25">
      <c r="B1731" s="68"/>
      <c r="C1731" s="50"/>
      <c r="D1731" s="15"/>
    </row>
    <row r="1732" spans="2:4" x14ac:dyDescent="0.25">
      <c r="B1732" s="68"/>
      <c r="C1732" s="50"/>
      <c r="D1732" s="15"/>
    </row>
    <row r="1733" spans="2:4" x14ac:dyDescent="0.25">
      <c r="B1733" s="68"/>
      <c r="C1733" s="50"/>
      <c r="D1733" s="15"/>
    </row>
    <row r="1734" spans="2:4" x14ac:dyDescent="0.25">
      <c r="B1734" s="68"/>
      <c r="C1734" s="50"/>
      <c r="D1734" s="15"/>
    </row>
    <row r="1735" spans="2:4" x14ac:dyDescent="0.25">
      <c r="B1735" s="68"/>
      <c r="C1735" s="50"/>
      <c r="D1735" s="15"/>
    </row>
    <row r="1736" spans="2:4" x14ac:dyDescent="0.25">
      <c r="B1736" s="68"/>
      <c r="C1736" s="50"/>
      <c r="D1736" s="15"/>
    </row>
    <row r="1737" spans="2:4" x14ac:dyDescent="0.25">
      <c r="B1737" s="68"/>
      <c r="C1737" s="50"/>
      <c r="D1737" s="15"/>
    </row>
    <row r="1738" spans="2:4" x14ac:dyDescent="0.25">
      <c r="B1738" s="68"/>
      <c r="C1738" s="50"/>
      <c r="D1738" s="15"/>
    </row>
    <row r="1739" spans="2:4" x14ac:dyDescent="0.25">
      <c r="B1739" s="68"/>
      <c r="C1739" s="50"/>
      <c r="D1739" s="15"/>
    </row>
    <row r="1740" spans="2:4" x14ac:dyDescent="0.25">
      <c r="B1740" s="68"/>
      <c r="C1740" s="50"/>
      <c r="D1740" s="15"/>
    </row>
    <row r="1741" spans="2:4" x14ac:dyDescent="0.25">
      <c r="B1741" s="68"/>
      <c r="C1741" s="50"/>
      <c r="D1741" s="15"/>
    </row>
    <row r="1742" spans="2:4" x14ac:dyDescent="0.25">
      <c r="B1742" s="68"/>
      <c r="C1742" s="50"/>
      <c r="D1742" s="15"/>
    </row>
    <row r="1743" spans="2:4" x14ac:dyDescent="0.25">
      <c r="B1743" s="68"/>
      <c r="C1743" s="50"/>
      <c r="D1743" s="15"/>
    </row>
    <row r="1744" spans="2:4" x14ac:dyDescent="0.25">
      <c r="B1744" s="68"/>
      <c r="C1744" s="50"/>
      <c r="D1744" s="15"/>
    </row>
    <row r="1745" spans="2:4" x14ac:dyDescent="0.25">
      <c r="B1745" s="68"/>
      <c r="C1745" s="50"/>
      <c r="D1745" s="15"/>
    </row>
    <row r="1746" spans="2:4" x14ac:dyDescent="0.25">
      <c r="B1746" s="68"/>
      <c r="C1746" s="50"/>
      <c r="D1746" s="15"/>
    </row>
    <row r="1747" spans="2:4" x14ac:dyDescent="0.25">
      <c r="B1747" s="68"/>
      <c r="C1747" s="50"/>
      <c r="D1747" s="15"/>
    </row>
    <row r="1748" spans="2:4" x14ac:dyDescent="0.25">
      <c r="B1748" s="68"/>
      <c r="C1748" s="50"/>
      <c r="D1748" s="15"/>
    </row>
    <row r="1749" spans="2:4" x14ac:dyDescent="0.25">
      <c r="B1749" s="68"/>
      <c r="C1749" s="50"/>
      <c r="D1749" s="15"/>
    </row>
    <row r="1750" spans="2:4" x14ac:dyDescent="0.25">
      <c r="B1750" s="68"/>
      <c r="C1750" s="50"/>
      <c r="D1750" s="15"/>
    </row>
    <row r="1751" spans="2:4" x14ac:dyDescent="0.25">
      <c r="B1751" s="68"/>
      <c r="C1751" s="50"/>
      <c r="D1751" s="15"/>
    </row>
    <row r="1752" spans="2:4" x14ac:dyDescent="0.25">
      <c r="B1752" s="68"/>
      <c r="C1752" s="50"/>
      <c r="D1752" s="15"/>
    </row>
    <row r="1753" spans="2:4" x14ac:dyDescent="0.25">
      <c r="B1753" s="68"/>
      <c r="C1753" s="50"/>
      <c r="D1753" s="15"/>
    </row>
    <row r="1754" spans="2:4" x14ac:dyDescent="0.25">
      <c r="B1754" s="68"/>
      <c r="C1754" s="50"/>
      <c r="D1754" s="15"/>
    </row>
    <row r="1755" spans="2:4" x14ac:dyDescent="0.25">
      <c r="B1755" s="68"/>
      <c r="C1755" s="50"/>
      <c r="D1755" s="15"/>
    </row>
    <row r="1756" spans="2:4" x14ac:dyDescent="0.25">
      <c r="B1756" s="68"/>
      <c r="C1756" s="50"/>
      <c r="D1756" s="15"/>
    </row>
    <row r="1757" spans="2:4" x14ac:dyDescent="0.25">
      <c r="B1757" s="68"/>
      <c r="C1757" s="50"/>
      <c r="D1757" s="15"/>
    </row>
    <row r="1758" spans="2:4" x14ac:dyDescent="0.25">
      <c r="B1758" s="68"/>
      <c r="C1758" s="50"/>
      <c r="D1758" s="15"/>
    </row>
    <row r="1759" spans="2:4" x14ac:dyDescent="0.25">
      <c r="B1759" s="68"/>
      <c r="C1759" s="50"/>
      <c r="D1759" s="15"/>
    </row>
    <row r="1760" spans="2:4" x14ac:dyDescent="0.25">
      <c r="B1760" s="68"/>
      <c r="C1760" s="50"/>
      <c r="D1760" s="15"/>
    </row>
    <row r="1761" spans="2:4" x14ac:dyDescent="0.25">
      <c r="B1761" s="68"/>
      <c r="C1761" s="50"/>
      <c r="D1761" s="15"/>
    </row>
    <row r="1762" spans="2:4" x14ac:dyDescent="0.25">
      <c r="B1762" s="68"/>
      <c r="C1762" s="50"/>
      <c r="D1762" s="15"/>
    </row>
    <row r="1763" spans="2:4" x14ac:dyDescent="0.25">
      <c r="B1763" s="68"/>
      <c r="C1763" s="50"/>
      <c r="D1763" s="15"/>
    </row>
    <row r="1764" spans="2:4" x14ac:dyDescent="0.25">
      <c r="B1764" s="68"/>
      <c r="C1764" s="50"/>
      <c r="D1764" s="15"/>
    </row>
    <row r="1765" spans="2:4" x14ac:dyDescent="0.25">
      <c r="B1765" s="68"/>
      <c r="C1765" s="50"/>
      <c r="D1765" s="15"/>
    </row>
    <row r="1766" spans="2:4" x14ac:dyDescent="0.25">
      <c r="B1766" s="68"/>
      <c r="C1766" s="50"/>
      <c r="D1766" s="15"/>
    </row>
    <row r="1767" spans="2:4" x14ac:dyDescent="0.25">
      <c r="B1767" s="68"/>
      <c r="C1767" s="50"/>
      <c r="D1767" s="15"/>
    </row>
    <row r="1768" spans="2:4" x14ac:dyDescent="0.25">
      <c r="B1768" s="68"/>
      <c r="C1768" s="50"/>
      <c r="D1768" s="15"/>
    </row>
    <row r="1769" spans="2:4" x14ac:dyDescent="0.25">
      <c r="B1769" s="68"/>
      <c r="C1769" s="50"/>
      <c r="D1769" s="15"/>
    </row>
    <row r="1770" spans="2:4" x14ac:dyDescent="0.25">
      <c r="B1770" s="68"/>
      <c r="C1770" s="50"/>
      <c r="D1770" s="15"/>
    </row>
    <row r="1771" spans="2:4" x14ac:dyDescent="0.25">
      <c r="B1771" s="68"/>
      <c r="C1771" s="50"/>
      <c r="D1771" s="15"/>
    </row>
    <row r="1772" spans="2:4" x14ac:dyDescent="0.25">
      <c r="B1772" s="68"/>
      <c r="C1772" s="50"/>
      <c r="D1772" s="15"/>
    </row>
    <row r="1773" spans="2:4" x14ac:dyDescent="0.25">
      <c r="B1773" s="68"/>
      <c r="C1773" s="50"/>
      <c r="D1773" s="15"/>
    </row>
    <row r="1774" spans="2:4" x14ac:dyDescent="0.25">
      <c r="B1774" s="68"/>
      <c r="C1774" s="50"/>
      <c r="D1774" s="15"/>
    </row>
    <row r="1775" spans="2:4" x14ac:dyDescent="0.25">
      <c r="B1775" s="68"/>
      <c r="C1775" s="50"/>
      <c r="D1775" s="15"/>
    </row>
    <row r="1776" spans="2:4" x14ac:dyDescent="0.25">
      <c r="B1776" s="68"/>
      <c r="C1776" s="50"/>
      <c r="D1776" s="15"/>
    </row>
    <row r="1777" spans="2:4" x14ac:dyDescent="0.25">
      <c r="B1777" s="68"/>
      <c r="C1777" s="50"/>
      <c r="D1777" s="15"/>
    </row>
    <row r="1778" spans="2:4" x14ac:dyDescent="0.25">
      <c r="B1778" s="68"/>
      <c r="C1778" s="50"/>
      <c r="D1778" s="15"/>
    </row>
    <row r="1779" spans="2:4" x14ac:dyDescent="0.25">
      <c r="B1779" s="68"/>
      <c r="C1779" s="50"/>
      <c r="D1779" s="15"/>
    </row>
    <row r="1780" spans="2:4" x14ac:dyDescent="0.25">
      <c r="B1780" s="68"/>
      <c r="C1780" s="50"/>
      <c r="D1780" s="15"/>
    </row>
    <row r="1781" spans="2:4" x14ac:dyDescent="0.25">
      <c r="B1781" s="68"/>
      <c r="C1781" s="50"/>
      <c r="D1781" s="15"/>
    </row>
    <row r="1782" spans="2:4" x14ac:dyDescent="0.25">
      <c r="B1782" s="68"/>
      <c r="C1782" s="50"/>
      <c r="D1782" s="15"/>
    </row>
    <row r="1783" spans="2:4" x14ac:dyDescent="0.25">
      <c r="B1783" s="68"/>
      <c r="C1783" s="50"/>
      <c r="D1783" s="15"/>
    </row>
    <row r="1784" spans="2:4" x14ac:dyDescent="0.25">
      <c r="B1784" s="68"/>
      <c r="C1784" s="50"/>
      <c r="D1784" s="15"/>
    </row>
    <row r="1785" spans="2:4" x14ac:dyDescent="0.25">
      <c r="B1785" s="68"/>
      <c r="C1785" s="50"/>
      <c r="D1785" s="15"/>
    </row>
    <row r="1786" spans="2:4" x14ac:dyDescent="0.25">
      <c r="B1786" s="68"/>
      <c r="C1786" s="50"/>
      <c r="D1786" s="15"/>
    </row>
    <row r="1787" spans="2:4" x14ac:dyDescent="0.25">
      <c r="B1787" s="68"/>
      <c r="C1787" s="50"/>
      <c r="D1787" s="15"/>
    </row>
    <row r="1788" spans="2:4" x14ac:dyDescent="0.25">
      <c r="B1788" s="68"/>
      <c r="C1788" s="50"/>
      <c r="D1788" s="15"/>
    </row>
    <row r="1789" spans="2:4" x14ac:dyDescent="0.25">
      <c r="B1789" s="68"/>
      <c r="C1789" s="50"/>
      <c r="D1789" s="15"/>
    </row>
    <row r="1790" spans="2:4" x14ac:dyDescent="0.25">
      <c r="B1790" s="68"/>
      <c r="C1790" s="50"/>
      <c r="D1790" s="15"/>
    </row>
    <row r="1791" spans="2:4" x14ac:dyDescent="0.25">
      <c r="B1791" s="68"/>
      <c r="C1791" s="50"/>
      <c r="D1791" s="15"/>
    </row>
    <row r="1792" spans="2:4" x14ac:dyDescent="0.25">
      <c r="B1792" s="68"/>
      <c r="C1792" s="50"/>
      <c r="D1792" s="15"/>
    </row>
    <row r="1793" spans="2:4" x14ac:dyDescent="0.25">
      <c r="B1793" s="68"/>
      <c r="C1793" s="50"/>
      <c r="D1793" s="15"/>
    </row>
    <row r="1794" spans="2:4" x14ac:dyDescent="0.25">
      <c r="B1794" s="68"/>
      <c r="C1794" s="50"/>
      <c r="D1794" s="15"/>
    </row>
    <row r="1795" spans="2:4" x14ac:dyDescent="0.25">
      <c r="B1795" s="68"/>
      <c r="C1795" s="50"/>
      <c r="D1795" s="15"/>
    </row>
    <row r="1796" spans="2:4" x14ac:dyDescent="0.25">
      <c r="B1796" s="68"/>
      <c r="C1796" s="50"/>
      <c r="D1796" s="15"/>
    </row>
    <row r="1797" spans="2:4" x14ac:dyDescent="0.25">
      <c r="B1797" s="68"/>
      <c r="C1797" s="50"/>
      <c r="D1797" s="15"/>
    </row>
    <row r="1798" spans="2:4" x14ac:dyDescent="0.25">
      <c r="B1798" s="68"/>
      <c r="C1798" s="50"/>
      <c r="D1798" s="15"/>
    </row>
    <row r="1799" spans="2:4" x14ac:dyDescent="0.25">
      <c r="B1799" s="68"/>
      <c r="C1799" s="50"/>
      <c r="D1799" s="15"/>
    </row>
    <row r="1800" spans="2:4" x14ac:dyDescent="0.25">
      <c r="B1800" s="68"/>
      <c r="C1800" s="50"/>
      <c r="D1800" s="15"/>
    </row>
    <row r="1801" spans="2:4" x14ac:dyDescent="0.25">
      <c r="B1801" s="68"/>
      <c r="C1801" s="50"/>
      <c r="D1801" s="15"/>
    </row>
    <row r="1802" spans="2:4" x14ac:dyDescent="0.25">
      <c r="B1802" s="68"/>
      <c r="C1802" s="50"/>
      <c r="D1802" s="15"/>
    </row>
    <row r="1803" spans="2:4" x14ac:dyDescent="0.25">
      <c r="B1803" s="68"/>
      <c r="C1803" s="50"/>
      <c r="D1803" s="15"/>
    </row>
    <row r="1804" spans="2:4" x14ac:dyDescent="0.25">
      <c r="B1804" s="68"/>
      <c r="C1804" s="50"/>
      <c r="D1804" s="15"/>
    </row>
    <row r="1805" spans="2:4" x14ac:dyDescent="0.25">
      <c r="B1805" s="68"/>
      <c r="C1805" s="50"/>
      <c r="D1805" s="15"/>
    </row>
    <row r="1806" spans="2:4" x14ac:dyDescent="0.25">
      <c r="B1806" s="68"/>
      <c r="C1806" s="50"/>
      <c r="D1806" s="15"/>
    </row>
    <row r="1807" spans="2:4" x14ac:dyDescent="0.25">
      <c r="B1807" s="68"/>
      <c r="C1807" s="50"/>
      <c r="D1807" s="15"/>
    </row>
    <row r="1808" spans="2:4" x14ac:dyDescent="0.25">
      <c r="B1808" s="68"/>
      <c r="C1808" s="50"/>
      <c r="D1808" s="15"/>
    </row>
    <row r="1809" spans="2:4" x14ac:dyDescent="0.25">
      <c r="B1809" s="68"/>
      <c r="C1809" s="50"/>
      <c r="D1809" s="15"/>
    </row>
    <row r="1810" spans="2:4" x14ac:dyDescent="0.25">
      <c r="B1810" s="68"/>
      <c r="C1810" s="50"/>
      <c r="D1810" s="15"/>
    </row>
    <row r="1811" spans="2:4" x14ac:dyDescent="0.25">
      <c r="B1811" s="68"/>
      <c r="C1811" s="50"/>
      <c r="D1811" s="15"/>
    </row>
    <row r="1812" spans="2:4" x14ac:dyDescent="0.25">
      <c r="B1812" s="68"/>
      <c r="C1812" s="50"/>
      <c r="D1812" s="15"/>
    </row>
    <row r="1813" spans="2:4" x14ac:dyDescent="0.25">
      <c r="B1813" s="68"/>
      <c r="C1813" s="50"/>
      <c r="D1813" s="15"/>
    </row>
    <row r="1814" spans="2:4" x14ac:dyDescent="0.25">
      <c r="B1814" s="68"/>
      <c r="C1814" s="50"/>
      <c r="D1814" s="15"/>
    </row>
    <row r="1815" spans="2:4" x14ac:dyDescent="0.25">
      <c r="B1815" s="68"/>
      <c r="C1815" s="50"/>
      <c r="D1815" s="15"/>
    </row>
    <row r="1816" spans="2:4" x14ac:dyDescent="0.25">
      <c r="B1816" s="68"/>
      <c r="C1816" s="50"/>
      <c r="D1816" s="15"/>
    </row>
    <row r="1817" spans="2:4" x14ac:dyDescent="0.25">
      <c r="B1817" s="68"/>
      <c r="C1817" s="50"/>
      <c r="D1817" s="15"/>
    </row>
    <row r="1818" spans="2:4" x14ac:dyDescent="0.25">
      <c r="B1818" s="68"/>
      <c r="C1818" s="50"/>
      <c r="D1818" s="15"/>
    </row>
    <row r="1819" spans="2:4" x14ac:dyDescent="0.25">
      <c r="B1819" s="68"/>
      <c r="C1819" s="50"/>
      <c r="D1819" s="15"/>
    </row>
    <row r="1820" spans="2:4" x14ac:dyDescent="0.25">
      <c r="B1820" s="68"/>
      <c r="C1820" s="50"/>
      <c r="D1820" s="15"/>
    </row>
    <row r="1821" spans="2:4" x14ac:dyDescent="0.25">
      <c r="B1821" s="68"/>
      <c r="C1821" s="50"/>
      <c r="D1821" s="15"/>
    </row>
    <row r="1822" spans="2:4" x14ac:dyDescent="0.25">
      <c r="B1822" s="68"/>
      <c r="C1822" s="50"/>
      <c r="D1822" s="15"/>
    </row>
    <row r="1823" spans="2:4" x14ac:dyDescent="0.25">
      <c r="B1823" s="68"/>
      <c r="C1823" s="50"/>
      <c r="D1823" s="15"/>
    </row>
    <row r="1824" spans="2:4" x14ac:dyDescent="0.25">
      <c r="B1824" s="68"/>
      <c r="C1824" s="50"/>
      <c r="D1824" s="15"/>
    </row>
    <row r="1825" spans="2:4" x14ac:dyDescent="0.25">
      <c r="B1825" s="68"/>
      <c r="C1825" s="50"/>
      <c r="D1825" s="15"/>
    </row>
    <row r="1826" spans="2:4" x14ac:dyDescent="0.25">
      <c r="B1826" s="68"/>
      <c r="C1826" s="50"/>
      <c r="D1826" s="15"/>
    </row>
    <row r="1827" spans="2:4" x14ac:dyDescent="0.25">
      <c r="B1827" s="68"/>
      <c r="C1827" s="50"/>
      <c r="D1827" s="15"/>
    </row>
    <row r="1828" spans="2:4" x14ac:dyDescent="0.25">
      <c r="B1828" s="68"/>
      <c r="C1828" s="50"/>
      <c r="D1828" s="15"/>
    </row>
    <row r="1829" spans="2:4" x14ac:dyDescent="0.25">
      <c r="B1829" s="68"/>
      <c r="C1829" s="50"/>
      <c r="D1829" s="15"/>
    </row>
    <row r="1830" spans="2:4" x14ac:dyDescent="0.25">
      <c r="B1830" s="68"/>
      <c r="C1830" s="50"/>
      <c r="D1830" s="15"/>
    </row>
    <row r="1831" spans="2:4" x14ac:dyDescent="0.25">
      <c r="B1831" s="68"/>
      <c r="C1831" s="50"/>
      <c r="D1831" s="15"/>
    </row>
    <row r="1832" spans="2:4" x14ac:dyDescent="0.25">
      <c r="B1832" s="68"/>
      <c r="C1832" s="50"/>
      <c r="D1832" s="15"/>
    </row>
    <row r="1833" spans="2:4" x14ac:dyDescent="0.25">
      <c r="B1833" s="68"/>
      <c r="C1833" s="50"/>
      <c r="D1833" s="15"/>
    </row>
    <row r="1834" spans="2:4" x14ac:dyDescent="0.25">
      <c r="B1834" s="68"/>
      <c r="C1834" s="50"/>
      <c r="D1834" s="15"/>
    </row>
    <row r="1835" spans="2:4" x14ac:dyDescent="0.25">
      <c r="B1835" s="68"/>
      <c r="C1835" s="50"/>
      <c r="D1835" s="15"/>
    </row>
    <row r="1836" spans="2:4" x14ac:dyDescent="0.25">
      <c r="B1836" s="68"/>
      <c r="C1836" s="50"/>
      <c r="D1836" s="15"/>
    </row>
    <row r="1837" spans="2:4" x14ac:dyDescent="0.25">
      <c r="B1837" s="68"/>
      <c r="C1837" s="50"/>
      <c r="D1837" s="15"/>
    </row>
    <row r="1838" spans="2:4" x14ac:dyDescent="0.25">
      <c r="B1838" s="68"/>
      <c r="C1838" s="50"/>
      <c r="D1838" s="15"/>
    </row>
    <row r="1839" spans="2:4" x14ac:dyDescent="0.25">
      <c r="B1839" s="68"/>
      <c r="C1839" s="50"/>
      <c r="D1839" s="15"/>
    </row>
    <row r="1840" spans="2:4" x14ac:dyDescent="0.25">
      <c r="B1840" s="68"/>
      <c r="C1840" s="50"/>
      <c r="D1840" s="15"/>
    </row>
    <row r="1841" spans="2:4" x14ac:dyDescent="0.25">
      <c r="B1841" s="68"/>
      <c r="C1841" s="50"/>
      <c r="D1841" s="15"/>
    </row>
    <row r="1842" spans="2:4" x14ac:dyDescent="0.25">
      <c r="B1842" s="68"/>
      <c r="C1842" s="50"/>
      <c r="D1842" s="15"/>
    </row>
    <row r="1843" spans="2:4" x14ac:dyDescent="0.25">
      <c r="B1843" s="68"/>
      <c r="C1843" s="50"/>
      <c r="D1843" s="15"/>
    </row>
    <row r="1844" spans="2:4" x14ac:dyDescent="0.25">
      <c r="B1844" s="68"/>
      <c r="C1844" s="50"/>
      <c r="D1844" s="15"/>
    </row>
    <row r="1845" spans="2:4" x14ac:dyDescent="0.25">
      <c r="B1845" s="68"/>
      <c r="C1845" s="50"/>
      <c r="D1845" s="15"/>
    </row>
    <row r="1846" spans="2:4" x14ac:dyDescent="0.25">
      <c r="B1846" s="68"/>
      <c r="C1846" s="50"/>
      <c r="D1846" s="15"/>
    </row>
    <row r="1847" spans="2:4" x14ac:dyDescent="0.25">
      <c r="B1847" s="68"/>
      <c r="C1847" s="50"/>
      <c r="D1847" s="15"/>
    </row>
    <row r="1848" spans="2:4" x14ac:dyDescent="0.25">
      <c r="B1848" s="68"/>
      <c r="C1848" s="50"/>
      <c r="D1848" s="15"/>
    </row>
    <row r="1849" spans="2:4" x14ac:dyDescent="0.25">
      <c r="B1849" s="68"/>
      <c r="C1849" s="50"/>
      <c r="D1849" s="15"/>
    </row>
    <row r="1850" spans="2:4" x14ac:dyDescent="0.25">
      <c r="B1850" s="68"/>
      <c r="C1850" s="50"/>
      <c r="D1850" s="15"/>
    </row>
    <row r="1851" spans="2:4" x14ac:dyDescent="0.25">
      <c r="B1851" s="68"/>
      <c r="C1851" s="50"/>
      <c r="D1851" s="15"/>
    </row>
    <row r="1852" spans="2:4" x14ac:dyDescent="0.25">
      <c r="B1852" s="68"/>
      <c r="C1852" s="50"/>
      <c r="D1852" s="15"/>
    </row>
    <row r="1853" spans="2:4" x14ac:dyDescent="0.25">
      <c r="B1853" s="68"/>
      <c r="C1853" s="50"/>
      <c r="D1853" s="15"/>
    </row>
    <row r="1854" spans="2:4" x14ac:dyDescent="0.25">
      <c r="B1854" s="68"/>
      <c r="C1854" s="50"/>
      <c r="D1854" s="15"/>
    </row>
    <row r="1855" spans="2:4" x14ac:dyDescent="0.25">
      <c r="B1855" s="68"/>
      <c r="C1855" s="50"/>
      <c r="D1855" s="15"/>
    </row>
    <row r="1856" spans="2:4" x14ac:dyDescent="0.25">
      <c r="B1856" s="68"/>
      <c r="C1856" s="50"/>
      <c r="D1856" s="15"/>
    </row>
    <row r="1857" spans="2:4" x14ac:dyDescent="0.25">
      <c r="B1857" s="68"/>
      <c r="C1857" s="50"/>
      <c r="D1857" s="15"/>
    </row>
    <row r="1858" spans="2:4" x14ac:dyDescent="0.25">
      <c r="B1858" s="68"/>
      <c r="C1858" s="50"/>
      <c r="D1858" s="15"/>
    </row>
    <row r="1859" spans="2:4" x14ac:dyDescent="0.25">
      <c r="B1859" s="68"/>
      <c r="C1859" s="50"/>
      <c r="D1859" s="15"/>
    </row>
    <row r="1860" spans="2:4" x14ac:dyDescent="0.25">
      <c r="B1860" s="68"/>
      <c r="C1860" s="50"/>
      <c r="D1860" s="15"/>
    </row>
    <row r="1861" spans="2:4" x14ac:dyDescent="0.25">
      <c r="B1861" s="68"/>
      <c r="C1861" s="50"/>
      <c r="D1861" s="15"/>
    </row>
    <row r="1862" spans="2:4" x14ac:dyDescent="0.25">
      <c r="B1862" s="68"/>
      <c r="C1862" s="50"/>
      <c r="D1862" s="15"/>
    </row>
    <row r="1863" spans="2:4" x14ac:dyDescent="0.25">
      <c r="B1863" s="68"/>
      <c r="C1863" s="50"/>
      <c r="D1863" s="15"/>
    </row>
    <row r="1864" spans="2:4" x14ac:dyDescent="0.25">
      <c r="B1864" s="68"/>
      <c r="C1864" s="50"/>
      <c r="D1864" s="15"/>
    </row>
    <row r="1865" spans="2:4" x14ac:dyDescent="0.25">
      <c r="B1865" s="68"/>
      <c r="C1865" s="50"/>
      <c r="D1865" s="15"/>
    </row>
    <row r="1866" spans="2:4" x14ac:dyDescent="0.25">
      <c r="B1866" s="68"/>
      <c r="C1866" s="50"/>
      <c r="D1866" s="15"/>
    </row>
    <row r="1867" spans="2:4" x14ac:dyDescent="0.25">
      <c r="B1867" s="68"/>
      <c r="C1867" s="50"/>
      <c r="D1867" s="15"/>
    </row>
    <row r="1868" spans="2:4" x14ac:dyDescent="0.25">
      <c r="B1868" s="68"/>
      <c r="C1868" s="50"/>
      <c r="D1868" s="15"/>
    </row>
    <row r="1869" spans="2:4" x14ac:dyDescent="0.25">
      <c r="B1869" s="68"/>
      <c r="C1869" s="50"/>
      <c r="D1869" s="15"/>
    </row>
    <row r="1870" spans="2:4" x14ac:dyDescent="0.25">
      <c r="B1870" s="68"/>
      <c r="C1870" s="50"/>
      <c r="D1870" s="15"/>
    </row>
    <row r="1871" spans="2:4" x14ac:dyDescent="0.25">
      <c r="B1871" s="68"/>
      <c r="C1871" s="50"/>
      <c r="D1871" s="15"/>
    </row>
    <row r="1872" spans="2:4" x14ac:dyDescent="0.25">
      <c r="B1872" s="68"/>
      <c r="C1872" s="50"/>
      <c r="D1872" s="15"/>
    </row>
    <row r="1873" spans="2:4" x14ac:dyDescent="0.25">
      <c r="B1873" s="68"/>
      <c r="C1873" s="50"/>
      <c r="D1873" s="15"/>
    </row>
    <row r="1874" spans="2:4" x14ac:dyDescent="0.25">
      <c r="B1874" s="68"/>
      <c r="C1874" s="50"/>
      <c r="D1874" s="15"/>
    </row>
    <row r="1875" spans="2:4" x14ac:dyDescent="0.25">
      <c r="B1875" s="68"/>
      <c r="C1875" s="50"/>
      <c r="D1875" s="15"/>
    </row>
    <row r="1876" spans="2:4" x14ac:dyDescent="0.25">
      <c r="B1876" s="68"/>
      <c r="C1876" s="50"/>
      <c r="D1876" s="15"/>
    </row>
    <row r="1877" spans="2:4" x14ac:dyDescent="0.25">
      <c r="B1877" s="68"/>
      <c r="C1877" s="50"/>
      <c r="D1877" s="15"/>
    </row>
    <row r="1878" spans="2:4" x14ac:dyDescent="0.25">
      <c r="B1878" s="68"/>
      <c r="C1878" s="50"/>
      <c r="D1878" s="15"/>
    </row>
    <row r="1879" spans="2:4" x14ac:dyDescent="0.25">
      <c r="B1879" s="68"/>
      <c r="C1879" s="50"/>
      <c r="D1879" s="15"/>
    </row>
    <row r="1880" spans="2:4" x14ac:dyDescent="0.25">
      <c r="B1880" s="68"/>
      <c r="C1880" s="50"/>
      <c r="D1880" s="15"/>
    </row>
    <row r="1881" spans="2:4" x14ac:dyDescent="0.25">
      <c r="B1881" s="68"/>
      <c r="C1881" s="50"/>
      <c r="D1881" s="15"/>
    </row>
    <row r="1882" spans="2:4" x14ac:dyDescent="0.25">
      <c r="B1882" s="68"/>
      <c r="C1882" s="50"/>
      <c r="D1882" s="15"/>
    </row>
    <row r="1883" spans="2:4" x14ac:dyDescent="0.25">
      <c r="B1883" s="68"/>
      <c r="C1883" s="50"/>
      <c r="D1883" s="15"/>
    </row>
    <row r="1884" spans="2:4" x14ac:dyDescent="0.25">
      <c r="B1884" s="68"/>
      <c r="C1884" s="50"/>
      <c r="D1884" s="15"/>
    </row>
    <row r="1885" spans="2:4" x14ac:dyDescent="0.25">
      <c r="B1885" s="68"/>
      <c r="C1885" s="50"/>
      <c r="D1885" s="15"/>
    </row>
    <row r="1886" spans="2:4" x14ac:dyDescent="0.25">
      <c r="B1886" s="68"/>
      <c r="C1886" s="50"/>
      <c r="D1886" s="15"/>
    </row>
    <row r="1887" spans="2:4" x14ac:dyDescent="0.25">
      <c r="B1887" s="68"/>
      <c r="C1887" s="50"/>
      <c r="D1887" s="15"/>
    </row>
    <row r="1888" spans="2:4" x14ac:dyDescent="0.25">
      <c r="B1888" s="68"/>
      <c r="C1888" s="50"/>
      <c r="D1888" s="15"/>
    </row>
    <row r="1889" spans="2:4" x14ac:dyDescent="0.25">
      <c r="B1889" s="68"/>
      <c r="C1889" s="50"/>
      <c r="D1889" s="15"/>
    </row>
    <row r="1890" spans="2:4" x14ac:dyDescent="0.25">
      <c r="B1890" s="68"/>
      <c r="C1890" s="50"/>
      <c r="D1890" s="15"/>
    </row>
    <row r="1891" spans="2:4" x14ac:dyDescent="0.25">
      <c r="B1891" s="68"/>
      <c r="C1891" s="50"/>
      <c r="D1891" s="15"/>
    </row>
    <row r="1892" spans="2:4" x14ac:dyDescent="0.25">
      <c r="B1892" s="68"/>
      <c r="C1892" s="50"/>
      <c r="D1892" s="15"/>
    </row>
    <row r="1893" spans="2:4" x14ac:dyDescent="0.25">
      <c r="B1893" s="68"/>
      <c r="C1893" s="50"/>
      <c r="D1893" s="15"/>
    </row>
    <row r="1894" spans="2:4" x14ac:dyDescent="0.25">
      <c r="B1894" s="68"/>
      <c r="C1894" s="50"/>
      <c r="D1894" s="15"/>
    </row>
    <row r="1895" spans="2:4" x14ac:dyDescent="0.25">
      <c r="B1895" s="68"/>
      <c r="C1895" s="50"/>
      <c r="D1895" s="15"/>
    </row>
    <row r="1896" spans="2:4" x14ac:dyDescent="0.25">
      <c r="B1896" s="68"/>
      <c r="C1896" s="50"/>
      <c r="D1896" s="15"/>
    </row>
    <row r="1897" spans="2:4" x14ac:dyDescent="0.25">
      <c r="B1897" s="68"/>
      <c r="C1897" s="50"/>
      <c r="D1897" s="15"/>
    </row>
    <row r="1898" spans="2:4" x14ac:dyDescent="0.25">
      <c r="B1898" s="68"/>
      <c r="C1898" s="50"/>
      <c r="D1898" s="15"/>
    </row>
    <row r="1899" spans="2:4" x14ac:dyDescent="0.25">
      <c r="B1899" s="68"/>
      <c r="C1899" s="50"/>
      <c r="D1899" s="15"/>
    </row>
    <row r="1900" spans="2:4" x14ac:dyDescent="0.25">
      <c r="B1900" s="68"/>
      <c r="C1900" s="50"/>
      <c r="D1900" s="15"/>
    </row>
    <row r="1901" spans="2:4" x14ac:dyDescent="0.25">
      <c r="B1901" s="68"/>
      <c r="C1901" s="50"/>
      <c r="D1901" s="15"/>
    </row>
    <row r="1902" spans="2:4" x14ac:dyDescent="0.25">
      <c r="B1902" s="68"/>
      <c r="C1902" s="50"/>
      <c r="D1902" s="15"/>
    </row>
    <row r="1903" spans="2:4" x14ac:dyDescent="0.25">
      <c r="B1903" s="68"/>
      <c r="C1903" s="50"/>
      <c r="D1903" s="15"/>
    </row>
    <row r="1904" spans="2:4" x14ac:dyDescent="0.25">
      <c r="B1904" s="68"/>
      <c r="C1904" s="50"/>
      <c r="D1904" s="15"/>
    </row>
    <row r="1905" spans="2:4" x14ac:dyDescent="0.25">
      <c r="B1905" s="68"/>
      <c r="C1905" s="50"/>
      <c r="D1905" s="15"/>
    </row>
    <row r="1906" spans="2:4" x14ac:dyDescent="0.25">
      <c r="B1906" s="68"/>
      <c r="C1906" s="50"/>
      <c r="D1906" s="15"/>
    </row>
    <row r="1907" spans="2:4" x14ac:dyDescent="0.25">
      <c r="B1907" s="68"/>
      <c r="C1907" s="50"/>
      <c r="D1907" s="15"/>
    </row>
    <row r="1908" spans="2:4" x14ac:dyDescent="0.25">
      <c r="B1908" s="68"/>
      <c r="C1908" s="50"/>
      <c r="D1908" s="15"/>
    </row>
    <row r="1909" spans="2:4" x14ac:dyDescent="0.25">
      <c r="B1909" s="68"/>
      <c r="C1909" s="50"/>
      <c r="D1909" s="15"/>
    </row>
    <row r="1910" spans="2:4" x14ac:dyDescent="0.25">
      <c r="B1910" s="68"/>
      <c r="C1910" s="50"/>
      <c r="D1910" s="15"/>
    </row>
    <row r="1911" spans="2:4" x14ac:dyDescent="0.25">
      <c r="B1911" s="68"/>
      <c r="C1911" s="50"/>
      <c r="D1911" s="15"/>
    </row>
    <row r="1912" spans="2:4" x14ac:dyDescent="0.25">
      <c r="B1912" s="68"/>
      <c r="C1912" s="50"/>
      <c r="D1912" s="15"/>
    </row>
    <row r="1913" spans="2:4" x14ac:dyDescent="0.25">
      <c r="B1913" s="68"/>
      <c r="C1913" s="50"/>
      <c r="D1913" s="15"/>
    </row>
    <row r="1914" spans="2:4" x14ac:dyDescent="0.25">
      <c r="B1914" s="68"/>
      <c r="C1914" s="50"/>
      <c r="D1914" s="15"/>
    </row>
    <row r="1915" spans="2:4" x14ac:dyDescent="0.25">
      <c r="B1915" s="68"/>
      <c r="C1915" s="50"/>
      <c r="D1915" s="15"/>
    </row>
    <row r="1916" spans="2:4" x14ac:dyDescent="0.25">
      <c r="B1916" s="68"/>
      <c r="C1916" s="50"/>
      <c r="D1916" s="15"/>
    </row>
    <row r="1917" spans="2:4" x14ac:dyDescent="0.25">
      <c r="B1917" s="68"/>
      <c r="C1917" s="50"/>
      <c r="D1917" s="15"/>
    </row>
    <row r="1918" spans="2:4" x14ac:dyDescent="0.25">
      <c r="B1918" s="68"/>
      <c r="C1918" s="50"/>
      <c r="D1918" s="15"/>
    </row>
    <row r="1919" spans="2:4" x14ac:dyDescent="0.25">
      <c r="B1919" s="68"/>
      <c r="C1919" s="50"/>
      <c r="D1919" s="15"/>
    </row>
    <row r="1920" spans="2:4" x14ac:dyDescent="0.25">
      <c r="B1920" s="68"/>
      <c r="C1920" s="50"/>
      <c r="D1920" s="15"/>
    </row>
    <row r="1921" spans="2:4" x14ac:dyDescent="0.25">
      <c r="B1921" s="68"/>
      <c r="C1921" s="50"/>
      <c r="D1921" s="15"/>
    </row>
    <row r="1922" spans="2:4" x14ac:dyDescent="0.25">
      <c r="B1922" s="68"/>
      <c r="C1922" s="50"/>
      <c r="D1922" s="15"/>
    </row>
    <row r="1923" spans="2:4" x14ac:dyDescent="0.25">
      <c r="B1923" s="68"/>
      <c r="C1923" s="50"/>
      <c r="D1923" s="15"/>
    </row>
    <row r="1924" spans="2:4" x14ac:dyDescent="0.25">
      <c r="B1924" s="68"/>
      <c r="C1924" s="50"/>
      <c r="D1924" s="15"/>
    </row>
    <row r="1925" spans="2:4" x14ac:dyDescent="0.25">
      <c r="B1925" s="68"/>
      <c r="C1925" s="50"/>
      <c r="D1925" s="15"/>
    </row>
    <row r="1926" spans="2:4" x14ac:dyDescent="0.25">
      <c r="B1926" s="68"/>
      <c r="C1926" s="50"/>
      <c r="D1926" s="15"/>
    </row>
    <row r="1927" spans="2:4" x14ac:dyDescent="0.25">
      <c r="B1927" s="68"/>
      <c r="C1927" s="50"/>
      <c r="D1927" s="15"/>
    </row>
    <row r="1928" spans="2:4" x14ac:dyDescent="0.25">
      <c r="B1928" s="68"/>
      <c r="C1928" s="50"/>
      <c r="D1928" s="15"/>
    </row>
    <row r="1929" spans="2:4" x14ac:dyDescent="0.25">
      <c r="B1929" s="68"/>
      <c r="C1929" s="50"/>
      <c r="D1929" s="15"/>
    </row>
    <row r="1930" spans="2:4" x14ac:dyDescent="0.25">
      <c r="B1930" s="68"/>
      <c r="C1930" s="50"/>
      <c r="D1930" s="15"/>
    </row>
    <row r="1931" spans="2:4" x14ac:dyDescent="0.25">
      <c r="B1931" s="68"/>
      <c r="C1931" s="50"/>
      <c r="D1931" s="15"/>
    </row>
    <row r="1932" spans="2:4" x14ac:dyDescent="0.25">
      <c r="B1932" s="68"/>
      <c r="C1932" s="50"/>
      <c r="D1932" s="15"/>
    </row>
    <row r="1933" spans="2:4" x14ac:dyDescent="0.25">
      <c r="B1933" s="68"/>
      <c r="C1933" s="50"/>
      <c r="D1933" s="15"/>
    </row>
    <row r="1934" spans="2:4" x14ac:dyDescent="0.25">
      <c r="B1934" s="68"/>
      <c r="C1934" s="50"/>
      <c r="D1934" s="15"/>
    </row>
    <row r="1935" spans="2:4" x14ac:dyDescent="0.25">
      <c r="B1935" s="68"/>
      <c r="C1935" s="50"/>
      <c r="D1935" s="15"/>
    </row>
    <row r="1936" spans="2:4" x14ac:dyDescent="0.25">
      <c r="B1936" s="68"/>
      <c r="C1936" s="50"/>
      <c r="D1936" s="15"/>
    </row>
    <row r="1937" spans="2:4" x14ac:dyDescent="0.25">
      <c r="B1937" s="68"/>
      <c r="C1937" s="50"/>
      <c r="D1937" s="15"/>
    </row>
    <row r="1938" spans="2:4" x14ac:dyDescent="0.25">
      <c r="B1938" s="68"/>
      <c r="C1938" s="50"/>
      <c r="D1938" s="15"/>
    </row>
    <row r="1939" spans="2:4" x14ac:dyDescent="0.25">
      <c r="B1939" s="68"/>
      <c r="C1939" s="50"/>
      <c r="D1939" s="15"/>
    </row>
    <row r="1940" spans="2:4" x14ac:dyDescent="0.25">
      <c r="B1940" s="68"/>
      <c r="C1940" s="50"/>
      <c r="D1940" s="15"/>
    </row>
    <row r="1941" spans="2:4" x14ac:dyDescent="0.25">
      <c r="B1941" s="68"/>
      <c r="C1941" s="50"/>
      <c r="D1941" s="15"/>
    </row>
    <row r="1942" spans="2:4" x14ac:dyDescent="0.25">
      <c r="B1942" s="68"/>
      <c r="C1942" s="50"/>
      <c r="D1942" s="15"/>
    </row>
    <row r="1943" spans="2:4" x14ac:dyDescent="0.25">
      <c r="B1943" s="68"/>
      <c r="C1943" s="50"/>
      <c r="D1943" s="15"/>
    </row>
    <row r="1944" spans="2:4" x14ac:dyDescent="0.25">
      <c r="B1944" s="68"/>
      <c r="C1944" s="50"/>
      <c r="D1944" s="15"/>
    </row>
    <row r="1945" spans="2:4" x14ac:dyDescent="0.25">
      <c r="B1945" s="68"/>
      <c r="C1945" s="50"/>
      <c r="D1945" s="15"/>
    </row>
    <row r="1946" spans="2:4" x14ac:dyDescent="0.25">
      <c r="B1946" s="68"/>
      <c r="C1946" s="50"/>
      <c r="D1946" s="15"/>
    </row>
    <row r="1947" spans="2:4" x14ac:dyDescent="0.25">
      <c r="B1947" s="68"/>
      <c r="C1947" s="50"/>
      <c r="D1947" s="15"/>
    </row>
    <row r="1948" spans="2:4" x14ac:dyDescent="0.25">
      <c r="B1948" s="68"/>
      <c r="C1948" s="50"/>
      <c r="D1948" s="15"/>
    </row>
    <row r="1949" spans="2:4" x14ac:dyDescent="0.25">
      <c r="B1949" s="68"/>
      <c r="C1949" s="50"/>
      <c r="D1949" s="15"/>
    </row>
    <row r="1950" spans="2:4" x14ac:dyDescent="0.25">
      <c r="B1950" s="68"/>
      <c r="C1950" s="50"/>
      <c r="D1950" s="15"/>
    </row>
    <row r="1951" spans="2:4" x14ac:dyDescent="0.25">
      <c r="B1951" s="68"/>
      <c r="C1951" s="50"/>
      <c r="D1951" s="15"/>
    </row>
    <row r="1952" spans="2:4" x14ac:dyDescent="0.25">
      <c r="B1952" s="68"/>
      <c r="C1952" s="50"/>
      <c r="D1952" s="15"/>
    </row>
    <row r="1953" spans="2:4" x14ac:dyDescent="0.25">
      <c r="B1953" s="68"/>
      <c r="C1953" s="50"/>
      <c r="D1953" s="15"/>
    </row>
    <row r="1954" spans="2:4" x14ac:dyDescent="0.25">
      <c r="B1954" s="68"/>
      <c r="C1954" s="50"/>
      <c r="D1954" s="15"/>
    </row>
    <row r="1955" spans="2:4" x14ac:dyDescent="0.25">
      <c r="B1955" s="68"/>
      <c r="C1955" s="50"/>
      <c r="D1955" s="15"/>
    </row>
    <row r="1956" spans="2:4" x14ac:dyDescent="0.25">
      <c r="B1956" s="68"/>
      <c r="C1956" s="50"/>
      <c r="D1956" s="15"/>
    </row>
    <row r="1957" spans="2:4" x14ac:dyDescent="0.25">
      <c r="B1957" s="68"/>
      <c r="C1957" s="50"/>
      <c r="D1957" s="15"/>
    </row>
    <row r="1958" spans="2:4" x14ac:dyDescent="0.25">
      <c r="B1958" s="68"/>
      <c r="C1958" s="50"/>
      <c r="D1958" s="15"/>
    </row>
    <row r="1959" spans="2:4" x14ac:dyDescent="0.25">
      <c r="B1959" s="68"/>
      <c r="C1959" s="50"/>
      <c r="D1959" s="15"/>
    </row>
    <row r="1960" spans="2:4" x14ac:dyDescent="0.25">
      <c r="B1960" s="68"/>
      <c r="C1960" s="50"/>
      <c r="D1960" s="15"/>
    </row>
    <row r="1961" spans="2:4" x14ac:dyDescent="0.25">
      <c r="B1961" s="68"/>
      <c r="C1961" s="50"/>
      <c r="D1961" s="15"/>
    </row>
    <row r="1962" spans="2:4" x14ac:dyDescent="0.25">
      <c r="B1962" s="68"/>
      <c r="C1962" s="50"/>
      <c r="D1962" s="15"/>
    </row>
    <row r="1963" spans="2:4" x14ac:dyDescent="0.25">
      <c r="B1963" s="68"/>
      <c r="C1963" s="50"/>
      <c r="D1963" s="15"/>
    </row>
    <row r="1964" spans="2:4" x14ac:dyDescent="0.25">
      <c r="B1964" s="68"/>
      <c r="C1964" s="50"/>
      <c r="D1964" s="15"/>
    </row>
    <row r="1965" spans="2:4" x14ac:dyDescent="0.25">
      <c r="B1965" s="68"/>
      <c r="C1965" s="50"/>
      <c r="D1965" s="15"/>
    </row>
    <row r="1966" spans="2:4" x14ac:dyDescent="0.25">
      <c r="B1966" s="68"/>
      <c r="C1966" s="50"/>
      <c r="D1966" s="15"/>
    </row>
    <row r="1967" spans="2:4" x14ac:dyDescent="0.25">
      <c r="B1967" s="68"/>
      <c r="C1967" s="50"/>
      <c r="D1967" s="15"/>
    </row>
    <row r="1968" spans="2:4" x14ac:dyDescent="0.25">
      <c r="B1968" s="68"/>
      <c r="C1968" s="50"/>
      <c r="D1968" s="15"/>
    </row>
    <row r="1969" spans="2:4" x14ac:dyDescent="0.25">
      <c r="B1969" s="68"/>
      <c r="C1969" s="50"/>
      <c r="D1969" s="15"/>
    </row>
    <row r="1970" spans="2:4" x14ac:dyDescent="0.25">
      <c r="B1970" s="68"/>
      <c r="C1970" s="50"/>
      <c r="D1970" s="15"/>
    </row>
    <row r="1971" spans="2:4" x14ac:dyDescent="0.25">
      <c r="B1971" s="68"/>
      <c r="C1971" s="50"/>
      <c r="D1971" s="15"/>
    </row>
    <row r="1972" spans="2:4" x14ac:dyDescent="0.25">
      <c r="B1972" s="68"/>
      <c r="C1972" s="50"/>
      <c r="D1972" s="15"/>
    </row>
    <row r="1973" spans="2:4" x14ac:dyDescent="0.25">
      <c r="B1973" s="68"/>
      <c r="C1973" s="50"/>
      <c r="D1973" s="15"/>
    </row>
    <row r="1974" spans="2:4" x14ac:dyDescent="0.25">
      <c r="B1974" s="68"/>
      <c r="C1974" s="50"/>
      <c r="D1974" s="15"/>
    </row>
    <row r="1975" spans="2:4" x14ac:dyDescent="0.25">
      <c r="B1975" s="68"/>
      <c r="C1975" s="50"/>
      <c r="D1975" s="15"/>
    </row>
    <row r="1976" spans="2:4" x14ac:dyDescent="0.25">
      <c r="B1976" s="68"/>
      <c r="C1976" s="50"/>
      <c r="D1976" s="15"/>
    </row>
    <row r="1977" spans="2:4" x14ac:dyDescent="0.25">
      <c r="B1977" s="68"/>
      <c r="C1977" s="50"/>
      <c r="D1977" s="15"/>
    </row>
    <row r="1978" spans="2:4" x14ac:dyDescent="0.25">
      <c r="B1978" s="68"/>
      <c r="C1978" s="50"/>
      <c r="D1978" s="15"/>
    </row>
    <row r="1979" spans="2:4" x14ac:dyDescent="0.25">
      <c r="B1979" s="68"/>
      <c r="C1979" s="50"/>
      <c r="D1979" s="15"/>
    </row>
    <row r="1980" spans="2:4" x14ac:dyDescent="0.25">
      <c r="B1980" s="68"/>
      <c r="C1980" s="50"/>
      <c r="D1980" s="15"/>
    </row>
    <row r="1981" spans="2:4" x14ac:dyDescent="0.25">
      <c r="B1981" s="68"/>
      <c r="C1981" s="50"/>
      <c r="D1981" s="15"/>
    </row>
    <row r="1982" spans="2:4" x14ac:dyDescent="0.25">
      <c r="B1982" s="68"/>
      <c r="C1982" s="50"/>
      <c r="D1982" s="15"/>
    </row>
    <row r="1983" spans="2:4" x14ac:dyDescent="0.25">
      <c r="B1983" s="68"/>
      <c r="C1983" s="50"/>
      <c r="D1983" s="15"/>
    </row>
    <row r="1984" spans="2:4" x14ac:dyDescent="0.25">
      <c r="B1984" s="68"/>
      <c r="C1984" s="50"/>
      <c r="D1984" s="15"/>
    </row>
    <row r="1985" spans="2:4" x14ac:dyDescent="0.25">
      <c r="B1985" s="68"/>
      <c r="C1985" s="50"/>
      <c r="D1985" s="15"/>
    </row>
    <row r="1986" spans="2:4" x14ac:dyDescent="0.25">
      <c r="B1986" s="68"/>
      <c r="C1986" s="50"/>
      <c r="D1986" s="15"/>
    </row>
    <row r="1987" spans="2:4" x14ac:dyDescent="0.25">
      <c r="B1987" s="68"/>
      <c r="C1987" s="50"/>
      <c r="D1987" s="15"/>
    </row>
    <row r="1988" spans="2:4" x14ac:dyDescent="0.25">
      <c r="B1988" s="68"/>
      <c r="C1988" s="50"/>
      <c r="D1988" s="15"/>
    </row>
    <row r="1989" spans="2:4" x14ac:dyDescent="0.25">
      <c r="B1989" s="68"/>
      <c r="C1989" s="50"/>
      <c r="D1989" s="15"/>
    </row>
    <row r="1990" spans="2:4" x14ac:dyDescent="0.25">
      <c r="B1990" s="68"/>
      <c r="C1990" s="50"/>
      <c r="D1990" s="15"/>
    </row>
    <row r="1991" spans="2:4" x14ac:dyDescent="0.25">
      <c r="B1991" s="68"/>
      <c r="C1991" s="50"/>
      <c r="D1991" s="15"/>
    </row>
    <row r="1992" spans="2:4" x14ac:dyDescent="0.25">
      <c r="B1992" s="68"/>
      <c r="C1992" s="50"/>
      <c r="D1992" s="15"/>
    </row>
    <row r="1993" spans="2:4" x14ac:dyDescent="0.25">
      <c r="B1993" s="68"/>
      <c r="C1993" s="50"/>
      <c r="D1993" s="15"/>
    </row>
    <row r="1994" spans="2:4" x14ac:dyDescent="0.25">
      <c r="B1994" s="68"/>
      <c r="C1994" s="50"/>
      <c r="D1994" s="15"/>
    </row>
    <row r="1995" spans="2:4" x14ac:dyDescent="0.25">
      <c r="B1995" s="68"/>
      <c r="C1995" s="50"/>
      <c r="D1995" s="15"/>
    </row>
    <row r="1996" spans="2:4" x14ac:dyDescent="0.25">
      <c r="B1996" s="68"/>
      <c r="C1996" s="50"/>
      <c r="D1996" s="15"/>
    </row>
    <row r="1997" spans="2:4" x14ac:dyDescent="0.25">
      <c r="B1997" s="68"/>
      <c r="C1997" s="50"/>
      <c r="D1997" s="15"/>
    </row>
    <row r="1998" spans="2:4" x14ac:dyDescent="0.25">
      <c r="B1998" s="68"/>
      <c r="C1998" s="50"/>
      <c r="D1998" s="15"/>
    </row>
    <row r="1999" spans="2:4" x14ac:dyDescent="0.25">
      <c r="B1999" s="68"/>
      <c r="C1999" s="50"/>
      <c r="D1999" s="15"/>
    </row>
    <row r="2000" spans="2:4" x14ac:dyDescent="0.25">
      <c r="B2000" s="68"/>
      <c r="C2000" s="50"/>
      <c r="D2000" s="15"/>
    </row>
    <row r="2001" spans="2:4" x14ac:dyDescent="0.25">
      <c r="B2001" s="68"/>
      <c r="C2001" s="50"/>
      <c r="D2001" s="15"/>
    </row>
    <row r="2002" spans="2:4" x14ac:dyDescent="0.25">
      <c r="B2002" s="68"/>
      <c r="C2002" s="50"/>
      <c r="D2002" s="15"/>
    </row>
    <row r="2003" spans="2:4" x14ac:dyDescent="0.25">
      <c r="B2003" s="68"/>
      <c r="C2003" s="50"/>
      <c r="D2003" s="15"/>
    </row>
    <row r="2004" spans="2:4" x14ac:dyDescent="0.25">
      <c r="B2004" s="68"/>
      <c r="C2004" s="50"/>
      <c r="D2004" s="15"/>
    </row>
    <row r="2005" spans="2:4" x14ac:dyDescent="0.25">
      <c r="B2005" s="68"/>
      <c r="C2005" s="50"/>
      <c r="D2005" s="15"/>
    </row>
    <row r="2006" spans="2:4" x14ac:dyDescent="0.25">
      <c r="B2006" s="68"/>
      <c r="C2006" s="50"/>
      <c r="D2006" s="15"/>
    </row>
    <row r="2007" spans="2:4" x14ac:dyDescent="0.25">
      <c r="B2007" s="68"/>
      <c r="C2007" s="50"/>
      <c r="D2007" s="15"/>
    </row>
    <row r="2008" spans="2:4" x14ac:dyDescent="0.25">
      <c r="B2008" s="68"/>
      <c r="C2008" s="50"/>
      <c r="D2008" s="15"/>
    </row>
    <row r="2009" spans="2:4" x14ac:dyDescent="0.25">
      <c r="B2009" s="68"/>
      <c r="C2009" s="50"/>
      <c r="D2009" s="15"/>
    </row>
    <row r="2010" spans="2:4" x14ac:dyDescent="0.25">
      <c r="B2010" s="68"/>
      <c r="C2010" s="50"/>
      <c r="D2010" s="15"/>
    </row>
    <row r="2011" spans="2:4" x14ac:dyDescent="0.25">
      <c r="B2011" s="68"/>
      <c r="C2011" s="50"/>
      <c r="D2011" s="15"/>
    </row>
    <row r="2012" spans="2:4" x14ac:dyDescent="0.25">
      <c r="B2012" s="68"/>
      <c r="C2012" s="50"/>
      <c r="D2012" s="15"/>
    </row>
    <row r="2013" spans="2:4" x14ac:dyDescent="0.25">
      <c r="B2013" s="68"/>
      <c r="C2013" s="50"/>
      <c r="D2013" s="15"/>
    </row>
    <row r="2014" spans="2:4" x14ac:dyDescent="0.25">
      <c r="B2014" s="68"/>
      <c r="C2014" s="50"/>
      <c r="D2014" s="15"/>
    </row>
    <row r="2015" spans="2:4" x14ac:dyDescent="0.25">
      <c r="B2015" s="68"/>
      <c r="C2015" s="50"/>
      <c r="D2015" s="15"/>
    </row>
    <row r="2016" spans="2:4" x14ac:dyDescent="0.25">
      <c r="B2016" s="68"/>
      <c r="C2016" s="50"/>
      <c r="D2016" s="15"/>
    </row>
    <row r="2017" spans="2:4" x14ac:dyDescent="0.25">
      <c r="B2017" s="68"/>
      <c r="C2017" s="50"/>
      <c r="D2017" s="15"/>
    </row>
    <row r="2018" spans="2:4" x14ac:dyDescent="0.25">
      <c r="B2018" s="68"/>
      <c r="C2018" s="50"/>
      <c r="D2018" s="15"/>
    </row>
    <row r="2019" spans="2:4" x14ac:dyDescent="0.25">
      <c r="B2019" s="68"/>
      <c r="C2019" s="50"/>
      <c r="D2019" s="15"/>
    </row>
    <row r="2020" spans="2:4" x14ac:dyDescent="0.25">
      <c r="B2020" s="68"/>
      <c r="C2020" s="50"/>
      <c r="D2020" s="15"/>
    </row>
    <row r="2021" spans="2:4" x14ac:dyDescent="0.25">
      <c r="B2021" s="68"/>
      <c r="C2021" s="50"/>
      <c r="D2021" s="15"/>
    </row>
    <row r="2022" spans="2:4" x14ac:dyDescent="0.25">
      <c r="B2022" s="68"/>
      <c r="C2022" s="50"/>
      <c r="D2022" s="15"/>
    </row>
    <row r="2023" spans="2:4" x14ac:dyDescent="0.25">
      <c r="B2023" s="68"/>
      <c r="C2023" s="50"/>
      <c r="D2023" s="15"/>
    </row>
    <row r="2024" spans="2:4" x14ac:dyDescent="0.25">
      <c r="B2024" s="68"/>
      <c r="C2024" s="50"/>
      <c r="D2024" s="15"/>
    </row>
    <row r="2025" spans="2:4" x14ac:dyDescent="0.25">
      <c r="B2025" s="68"/>
      <c r="C2025" s="50"/>
      <c r="D2025" s="15"/>
    </row>
    <row r="2026" spans="2:4" x14ac:dyDescent="0.25">
      <c r="B2026" s="68"/>
      <c r="C2026" s="50"/>
      <c r="D2026" s="15"/>
    </row>
    <row r="2027" spans="2:4" x14ac:dyDescent="0.25">
      <c r="B2027" s="68"/>
      <c r="C2027" s="50"/>
      <c r="D2027" s="15"/>
    </row>
    <row r="2028" spans="2:4" x14ac:dyDescent="0.25">
      <c r="B2028" s="68"/>
      <c r="C2028" s="50"/>
      <c r="D2028" s="15"/>
    </row>
    <row r="2029" spans="2:4" x14ac:dyDescent="0.25">
      <c r="B2029" s="68"/>
      <c r="C2029" s="50"/>
      <c r="D2029" s="15"/>
    </row>
    <row r="2030" spans="2:4" x14ac:dyDescent="0.25">
      <c r="B2030" s="68"/>
      <c r="C2030" s="50"/>
      <c r="D2030" s="15"/>
    </row>
    <row r="2031" spans="2:4" x14ac:dyDescent="0.25">
      <c r="B2031" s="68"/>
      <c r="C2031" s="50"/>
      <c r="D2031" s="15"/>
    </row>
    <row r="2032" spans="2:4" x14ac:dyDescent="0.25">
      <c r="B2032" s="68"/>
      <c r="C2032" s="50"/>
      <c r="D2032" s="15"/>
    </row>
    <row r="2033" spans="2:4" x14ac:dyDescent="0.25">
      <c r="B2033" s="68"/>
      <c r="C2033" s="50"/>
      <c r="D2033" s="15"/>
    </row>
    <row r="2034" spans="2:4" x14ac:dyDescent="0.25">
      <c r="B2034" s="68"/>
      <c r="C2034" s="50"/>
      <c r="D2034" s="15"/>
    </row>
    <row r="2035" spans="2:4" x14ac:dyDescent="0.25">
      <c r="B2035" s="68"/>
      <c r="C2035" s="50"/>
      <c r="D2035" s="15"/>
    </row>
    <row r="2036" spans="2:4" x14ac:dyDescent="0.25">
      <c r="B2036" s="68"/>
      <c r="C2036" s="50"/>
      <c r="D2036" s="15"/>
    </row>
    <row r="2037" spans="2:4" x14ac:dyDescent="0.25">
      <c r="B2037" s="68"/>
      <c r="C2037" s="50"/>
      <c r="D2037" s="15"/>
    </row>
    <row r="2038" spans="2:4" x14ac:dyDescent="0.25">
      <c r="B2038" s="68"/>
      <c r="C2038" s="50"/>
      <c r="D2038" s="15"/>
    </row>
    <row r="2039" spans="2:4" x14ac:dyDescent="0.25">
      <c r="B2039" s="68"/>
      <c r="C2039" s="50"/>
      <c r="D2039" s="15"/>
    </row>
    <row r="2040" spans="2:4" x14ac:dyDescent="0.25">
      <c r="B2040" s="68"/>
      <c r="C2040" s="50"/>
      <c r="D2040" s="15"/>
    </row>
    <row r="2041" spans="2:4" x14ac:dyDescent="0.25">
      <c r="B2041" s="68"/>
      <c r="C2041" s="50"/>
      <c r="D2041" s="15"/>
    </row>
    <row r="2042" spans="2:4" x14ac:dyDescent="0.25">
      <c r="B2042" s="68"/>
      <c r="C2042" s="50"/>
      <c r="D2042" s="15"/>
    </row>
    <row r="2043" spans="2:4" x14ac:dyDescent="0.25">
      <c r="B2043" s="68"/>
      <c r="C2043" s="50"/>
      <c r="D2043" s="15"/>
    </row>
    <row r="2044" spans="2:4" x14ac:dyDescent="0.25">
      <c r="B2044" s="68"/>
      <c r="C2044" s="50"/>
      <c r="D2044" s="15"/>
    </row>
    <row r="2045" spans="2:4" x14ac:dyDescent="0.25">
      <c r="B2045" s="68"/>
      <c r="C2045" s="50"/>
      <c r="D2045" s="15"/>
    </row>
    <row r="2046" spans="2:4" x14ac:dyDescent="0.25">
      <c r="B2046" s="68"/>
      <c r="C2046" s="50"/>
      <c r="D2046" s="15"/>
    </row>
    <row r="2047" spans="2:4" x14ac:dyDescent="0.25">
      <c r="B2047" s="68"/>
      <c r="C2047" s="50"/>
      <c r="D2047" s="15"/>
    </row>
    <row r="2048" spans="2:4" x14ac:dyDescent="0.25">
      <c r="B2048" s="68"/>
      <c r="C2048" s="50"/>
      <c r="D2048" s="15"/>
    </row>
    <row r="2049" spans="2:4" x14ac:dyDescent="0.25">
      <c r="B2049" s="68"/>
      <c r="C2049" s="50"/>
      <c r="D2049" s="15"/>
    </row>
    <row r="2050" spans="2:4" x14ac:dyDescent="0.25">
      <c r="B2050" s="68"/>
      <c r="C2050" s="50"/>
      <c r="D2050" s="15"/>
    </row>
    <row r="2051" spans="2:4" x14ac:dyDescent="0.25">
      <c r="B2051" s="68"/>
      <c r="C2051" s="50"/>
      <c r="D2051" s="15"/>
    </row>
    <row r="2052" spans="2:4" x14ac:dyDescent="0.25">
      <c r="B2052" s="68"/>
      <c r="C2052" s="50"/>
      <c r="D2052" s="15"/>
    </row>
    <row r="2053" spans="2:4" x14ac:dyDescent="0.25">
      <c r="B2053" s="68"/>
      <c r="C2053" s="50"/>
      <c r="D2053" s="15"/>
    </row>
    <row r="2054" spans="2:4" x14ac:dyDescent="0.25">
      <c r="B2054" s="68"/>
      <c r="C2054" s="50"/>
      <c r="D2054" s="15"/>
    </row>
    <row r="2055" spans="2:4" x14ac:dyDescent="0.25">
      <c r="B2055" s="68"/>
      <c r="C2055" s="50"/>
      <c r="D2055" s="15"/>
    </row>
    <row r="2056" spans="2:4" x14ac:dyDescent="0.25">
      <c r="B2056" s="68"/>
      <c r="C2056" s="50"/>
      <c r="D2056" s="15"/>
    </row>
    <row r="2057" spans="2:4" x14ac:dyDescent="0.25">
      <c r="B2057" s="68"/>
      <c r="C2057" s="50"/>
      <c r="D2057" s="15"/>
    </row>
    <row r="2058" spans="2:4" x14ac:dyDescent="0.25">
      <c r="B2058" s="68"/>
      <c r="C2058" s="50"/>
      <c r="D2058" s="15"/>
    </row>
    <row r="2059" spans="2:4" x14ac:dyDescent="0.25">
      <c r="B2059" s="68"/>
      <c r="C2059" s="50"/>
      <c r="D2059" s="15"/>
    </row>
    <row r="2060" spans="2:4" x14ac:dyDescent="0.25">
      <c r="B2060" s="68"/>
      <c r="C2060" s="50"/>
      <c r="D2060" s="15"/>
    </row>
    <row r="2061" spans="2:4" x14ac:dyDescent="0.25">
      <c r="B2061" s="68"/>
      <c r="C2061" s="50"/>
      <c r="D2061" s="15"/>
    </row>
    <row r="2062" spans="2:4" x14ac:dyDescent="0.25">
      <c r="B2062" s="68"/>
      <c r="C2062" s="50"/>
      <c r="D2062" s="15"/>
    </row>
    <row r="2063" spans="2:4" x14ac:dyDescent="0.25">
      <c r="B2063" s="68"/>
      <c r="C2063" s="50"/>
      <c r="D2063" s="15"/>
    </row>
    <row r="2064" spans="2:4" x14ac:dyDescent="0.25">
      <c r="B2064" s="68"/>
      <c r="C2064" s="50"/>
      <c r="D2064" s="15"/>
    </row>
    <row r="2065" spans="2:4" x14ac:dyDescent="0.25">
      <c r="B2065" s="68"/>
      <c r="C2065" s="50"/>
      <c r="D2065" s="15"/>
    </row>
    <row r="2066" spans="2:4" x14ac:dyDescent="0.25">
      <c r="B2066" s="68"/>
      <c r="C2066" s="50"/>
      <c r="D2066" s="15"/>
    </row>
    <row r="2067" spans="2:4" x14ac:dyDescent="0.25">
      <c r="B2067" s="68"/>
      <c r="C2067" s="50"/>
      <c r="D2067" s="15"/>
    </row>
    <row r="2068" spans="2:4" x14ac:dyDescent="0.25">
      <c r="B2068" s="68"/>
      <c r="C2068" s="50"/>
      <c r="D2068" s="15"/>
    </row>
    <row r="2069" spans="2:4" x14ac:dyDescent="0.25">
      <c r="B2069" s="68"/>
      <c r="C2069" s="50"/>
      <c r="D2069" s="15"/>
    </row>
    <row r="2070" spans="2:4" x14ac:dyDescent="0.25">
      <c r="B2070" s="68"/>
      <c r="C2070" s="50"/>
      <c r="D2070" s="15"/>
    </row>
    <row r="2071" spans="2:4" x14ac:dyDescent="0.25">
      <c r="B2071" s="68"/>
      <c r="C2071" s="50"/>
      <c r="D2071" s="15"/>
    </row>
    <row r="2072" spans="2:4" x14ac:dyDescent="0.25">
      <c r="B2072" s="68"/>
      <c r="C2072" s="50"/>
      <c r="D2072" s="15"/>
    </row>
    <row r="2073" spans="2:4" x14ac:dyDescent="0.25">
      <c r="B2073" s="68"/>
      <c r="C2073" s="50"/>
      <c r="D2073" s="15"/>
    </row>
    <row r="2074" spans="2:4" x14ac:dyDescent="0.25">
      <c r="B2074" s="68"/>
      <c r="C2074" s="50"/>
      <c r="D2074" s="15"/>
    </row>
    <row r="2075" spans="2:4" x14ac:dyDescent="0.25">
      <c r="B2075" s="68"/>
      <c r="C2075" s="50"/>
      <c r="D2075" s="15"/>
    </row>
    <row r="2076" spans="2:4" x14ac:dyDescent="0.25">
      <c r="B2076" s="68"/>
      <c r="C2076" s="50"/>
      <c r="D2076" s="15"/>
    </row>
    <row r="2077" spans="2:4" x14ac:dyDescent="0.25">
      <c r="B2077" s="68"/>
      <c r="C2077" s="50"/>
      <c r="D2077" s="15"/>
    </row>
    <row r="2078" spans="2:4" x14ac:dyDescent="0.25">
      <c r="B2078" s="68"/>
      <c r="C2078" s="50"/>
      <c r="D2078" s="15"/>
    </row>
    <row r="2079" spans="2:4" x14ac:dyDescent="0.25">
      <c r="B2079" s="68"/>
      <c r="C2079" s="50"/>
      <c r="D2079" s="15"/>
    </row>
    <row r="2080" spans="2:4" x14ac:dyDescent="0.25">
      <c r="B2080" s="68"/>
      <c r="C2080" s="50"/>
      <c r="D2080" s="15"/>
    </row>
    <row r="2081" spans="2:4" x14ac:dyDescent="0.25">
      <c r="B2081" s="68"/>
      <c r="C2081" s="50"/>
      <c r="D2081" s="15"/>
    </row>
    <row r="2082" spans="2:4" x14ac:dyDescent="0.25">
      <c r="B2082" s="68"/>
      <c r="C2082" s="50"/>
      <c r="D2082" s="15"/>
    </row>
    <row r="2083" spans="2:4" x14ac:dyDescent="0.25">
      <c r="B2083" s="68"/>
      <c r="C2083" s="50"/>
      <c r="D2083" s="15"/>
    </row>
    <row r="2084" spans="2:4" x14ac:dyDescent="0.25">
      <c r="B2084" s="68"/>
      <c r="C2084" s="50"/>
      <c r="D2084" s="15"/>
    </row>
    <row r="2085" spans="2:4" x14ac:dyDescent="0.25">
      <c r="B2085" s="68"/>
      <c r="C2085" s="50"/>
      <c r="D2085" s="15"/>
    </row>
    <row r="2086" spans="2:4" x14ac:dyDescent="0.25">
      <c r="B2086" s="68"/>
      <c r="C2086" s="50"/>
      <c r="D2086" s="15"/>
    </row>
    <row r="2087" spans="2:4" x14ac:dyDescent="0.25">
      <c r="B2087" s="68"/>
      <c r="C2087" s="50"/>
      <c r="D2087" s="15"/>
    </row>
    <row r="2088" spans="2:4" x14ac:dyDescent="0.25">
      <c r="B2088" s="68"/>
      <c r="C2088" s="50"/>
      <c r="D2088" s="15"/>
    </row>
    <row r="2089" spans="2:4" x14ac:dyDescent="0.25">
      <c r="B2089" s="68"/>
      <c r="C2089" s="50"/>
      <c r="D2089" s="15"/>
    </row>
    <row r="2090" spans="2:4" x14ac:dyDescent="0.25">
      <c r="B2090" s="68"/>
      <c r="C2090" s="50"/>
      <c r="D2090" s="15"/>
    </row>
    <row r="2091" spans="2:4" x14ac:dyDescent="0.25">
      <c r="B2091" s="68"/>
      <c r="C2091" s="50"/>
      <c r="D2091" s="15"/>
    </row>
    <row r="2092" spans="2:4" x14ac:dyDescent="0.25">
      <c r="B2092" s="68"/>
      <c r="C2092" s="50"/>
      <c r="D2092" s="15"/>
    </row>
    <row r="2093" spans="2:4" x14ac:dyDescent="0.25">
      <c r="B2093" s="68"/>
      <c r="C2093" s="50"/>
      <c r="D2093" s="15"/>
    </row>
    <row r="2094" spans="2:4" x14ac:dyDescent="0.25">
      <c r="B2094" s="68"/>
      <c r="C2094" s="50"/>
      <c r="D2094" s="15"/>
    </row>
    <row r="2095" spans="2:4" x14ac:dyDescent="0.25">
      <c r="B2095" s="68"/>
      <c r="C2095" s="50"/>
      <c r="D2095" s="15"/>
    </row>
    <row r="2096" spans="2:4" x14ac:dyDescent="0.25">
      <c r="B2096" s="68"/>
      <c r="C2096" s="50"/>
      <c r="D2096" s="15"/>
    </row>
    <row r="2097" spans="2:4" x14ac:dyDescent="0.25">
      <c r="B2097" s="68"/>
      <c r="C2097" s="50"/>
      <c r="D2097" s="15"/>
    </row>
    <row r="2098" spans="2:4" x14ac:dyDescent="0.25">
      <c r="B2098" s="68"/>
      <c r="C2098" s="50"/>
      <c r="D2098" s="15"/>
    </row>
    <row r="2099" spans="2:4" x14ac:dyDescent="0.25">
      <c r="B2099" s="68"/>
      <c r="C2099" s="50"/>
      <c r="D2099" s="15"/>
    </row>
    <row r="2100" spans="2:4" x14ac:dyDescent="0.25">
      <c r="B2100" s="68"/>
      <c r="C2100" s="50"/>
      <c r="D2100" s="15"/>
    </row>
    <row r="2101" spans="2:4" x14ac:dyDescent="0.25">
      <c r="B2101" s="68"/>
      <c r="C2101" s="50"/>
      <c r="D2101" s="15"/>
    </row>
    <row r="2102" spans="2:4" x14ac:dyDescent="0.25">
      <c r="B2102" s="68"/>
      <c r="C2102" s="50"/>
      <c r="D2102" s="15"/>
    </row>
    <row r="2103" spans="2:4" x14ac:dyDescent="0.25">
      <c r="B2103" s="68"/>
      <c r="C2103" s="50"/>
      <c r="D2103" s="15"/>
    </row>
    <row r="2104" spans="2:4" x14ac:dyDescent="0.25">
      <c r="B2104" s="68"/>
      <c r="C2104" s="50"/>
      <c r="D2104" s="15"/>
    </row>
    <row r="2105" spans="2:4" x14ac:dyDescent="0.25">
      <c r="B2105" s="68"/>
      <c r="C2105" s="50"/>
      <c r="D2105" s="15"/>
    </row>
    <row r="2106" spans="2:4" x14ac:dyDescent="0.25">
      <c r="B2106" s="68"/>
      <c r="C2106" s="50"/>
      <c r="D2106" s="15"/>
    </row>
    <row r="2107" spans="2:4" x14ac:dyDescent="0.25">
      <c r="B2107" s="68"/>
      <c r="C2107" s="50"/>
      <c r="D2107" s="15"/>
    </row>
    <row r="2108" spans="2:4" x14ac:dyDescent="0.25">
      <c r="B2108" s="68"/>
      <c r="C2108" s="50"/>
      <c r="D2108" s="15"/>
    </row>
    <row r="2109" spans="2:4" x14ac:dyDescent="0.25">
      <c r="B2109" s="68"/>
      <c r="C2109" s="50"/>
      <c r="D2109" s="15"/>
    </row>
    <row r="2110" spans="2:4" x14ac:dyDescent="0.25">
      <c r="B2110" s="68"/>
      <c r="C2110" s="50"/>
      <c r="D2110" s="15"/>
    </row>
    <row r="2111" spans="2:4" x14ac:dyDescent="0.25">
      <c r="B2111" s="68"/>
      <c r="C2111" s="50"/>
      <c r="D2111" s="15"/>
    </row>
    <row r="2112" spans="2:4" x14ac:dyDescent="0.25">
      <c r="B2112" s="68"/>
      <c r="C2112" s="50"/>
      <c r="D2112" s="15"/>
    </row>
    <row r="2113" spans="2:4" x14ac:dyDescent="0.25">
      <c r="B2113" s="68"/>
      <c r="C2113" s="50"/>
      <c r="D2113" s="15"/>
    </row>
    <row r="2114" spans="2:4" x14ac:dyDescent="0.25">
      <c r="B2114" s="68"/>
      <c r="C2114" s="50"/>
      <c r="D2114" s="15"/>
    </row>
    <row r="2115" spans="2:4" x14ac:dyDescent="0.25">
      <c r="B2115" s="68"/>
      <c r="C2115" s="50"/>
      <c r="D2115" s="15"/>
    </row>
    <row r="2116" spans="2:4" x14ac:dyDescent="0.25">
      <c r="B2116" s="68"/>
      <c r="C2116" s="50"/>
      <c r="D2116" s="15"/>
    </row>
    <row r="2117" spans="2:4" x14ac:dyDescent="0.25">
      <c r="B2117" s="68"/>
      <c r="C2117" s="50"/>
      <c r="D2117" s="15"/>
    </row>
    <row r="2118" spans="2:4" x14ac:dyDescent="0.25">
      <c r="B2118" s="68"/>
      <c r="C2118" s="50"/>
      <c r="D2118" s="15"/>
    </row>
    <row r="2119" spans="2:4" x14ac:dyDescent="0.25">
      <c r="B2119" s="68"/>
      <c r="C2119" s="50"/>
      <c r="D2119" s="15"/>
    </row>
    <row r="2120" spans="2:4" x14ac:dyDescent="0.25">
      <c r="B2120" s="68"/>
      <c r="C2120" s="50"/>
      <c r="D2120" s="15"/>
    </row>
    <row r="2121" spans="2:4" x14ac:dyDescent="0.25">
      <c r="B2121" s="68"/>
      <c r="C2121" s="50"/>
      <c r="D2121" s="15"/>
    </row>
    <row r="2122" spans="2:4" x14ac:dyDescent="0.25">
      <c r="B2122" s="68"/>
      <c r="C2122" s="50"/>
      <c r="D2122" s="15"/>
    </row>
    <row r="2123" spans="2:4" x14ac:dyDescent="0.25">
      <c r="B2123" s="68"/>
      <c r="C2123" s="50"/>
      <c r="D2123" s="15"/>
    </row>
    <row r="2124" spans="2:4" x14ac:dyDescent="0.25">
      <c r="B2124" s="68"/>
      <c r="C2124" s="50"/>
      <c r="D2124" s="15"/>
    </row>
    <row r="2125" spans="2:4" x14ac:dyDescent="0.25">
      <c r="B2125" s="68"/>
      <c r="C2125" s="50"/>
      <c r="D2125" s="15"/>
    </row>
    <row r="2126" spans="2:4" x14ac:dyDescent="0.25">
      <c r="B2126" s="68"/>
      <c r="C2126" s="50"/>
      <c r="D2126" s="15"/>
    </row>
    <row r="2127" spans="2:4" x14ac:dyDescent="0.25">
      <c r="B2127" s="68"/>
      <c r="C2127" s="50"/>
      <c r="D2127" s="15"/>
    </row>
    <row r="2128" spans="2:4" x14ac:dyDescent="0.25">
      <c r="B2128" s="68"/>
      <c r="C2128" s="50"/>
      <c r="D2128" s="15"/>
    </row>
    <row r="2129" spans="2:4" x14ac:dyDescent="0.25">
      <c r="B2129" s="68"/>
      <c r="C2129" s="50"/>
      <c r="D2129" s="15"/>
    </row>
    <row r="2130" spans="2:4" x14ac:dyDescent="0.25">
      <c r="B2130" s="68"/>
      <c r="C2130" s="50"/>
      <c r="D2130" s="15"/>
    </row>
    <row r="2131" spans="2:4" x14ac:dyDescent="0.25">
      <c r="B2131" s="68"/>
      <c r="C2131" s="50"/>
      <c r="D2131" s="15"/>
    </row>
    <row r="2132" spans="2:4" x14ac:dyDescent="0.25">
      <c r="B2132" s="68"/>
      <c r="C2132" s="50"/>
      <c r="D2132" s="15"/>
    </row>
    <row r="2133" spans="2:4" x14ac:dyDescent="0.25">
      <c r="B2133" s="68"/>
      <c r="C2133" s="50"/>
      <c r="D2133" s="15"/>
    </row>
    <row r="2134" spans="2:4" x14ac:dyDescent="0.25">
      <c r="B2134" s="68"/>
      <c r="C2134" s="50"/>
      <c r="D2134" s="15"/>
    </row>
    <row r="2135" spans="2:4" x14ac:dyDescent="0.25">
      <c r="B2135" s="68"/>
      <c r="C2135" s="50"/>
      <c r="D2135" s="15"/>
    </row>
    <row r="2136" spans="2:4" x14ac:dyDescent="0.25">
      <c r="B2136" s="68"/>
      <c r="C2136" s="50"/>
      <c r="D2136" s="15"/>
    </row>
    <row r="2137" spans="2:4" x14ac:dyDescent="0.25">
      <c r="B2137" s="68"/>
      <c r="C2137" s="50"/>
      <c r="D2137" s="15"/>
    </row>
    <row r="2138" spans="2:4" x14ac:dyDescent="0.25">
      <c r="B2138" s="68"/>
      <c r="C2138" s="50"/>
      <c r="D2138" s="15"/>
    </row>
    <row r="2139" spans="2:4" x14ac:dyDescent="0.25">
      <c r="B2139" s="68"/>
      <c r="C2139" s="50"/>
      <c r="D2139" s="15"/>
    </row>
    <row r="2140" spans="2:4" x14ac:dyDescent="0.25">
      <c r="B2140" s="68"/>
      <c r="C2140" s="50"/>
      <c r="D2140" s="15"/>
    </row>
    <row r="2141" spans="2:4" x14ac:dyDescent="0.25">
      <c r="B2141" s="68"/>
      <c r="C2141" s="50"/>
      <c r="D2141" s="15"/>
    </row>
    <row r="2142" spans="2:4" x14ac:dyDescent="0.25">
      <c r="B2142" s="68"/>
      <c r="C2142" s="50"/>
      <c r="D2142" s="15"/>
    </row>
    <row r="2143" spans="2:4" x14ac:dyDescent="0.25">
      <c r="B2143" s="68"/>
      <c r="C2143" s="50"/>
      <c r="D2143" s="15"/>
    </row>
    <row r="2144" spans="2:4" x14ac:dyDescent="0.25">
      <c r="B2144" s="68"/>
      <c r="C2144" s="50"/>
      <c r="D2144" s="15"/>
    </row>
    <row r="2145" spans="2:4" x14ac:dyDescent="0.25">
      <c r="B2145" s="68"/>
      <c r="C2145" s="50"/>
      <c r="D2145" s="15"/>
    </row>
    <row r="2146" spans="2:4" x14ac:dyDescent="0.25">
      <c r="B2146" s="68"/>
      <c r="C2146" s="50"/>
      <c r="D2146" s="15"/>
    </row>
    <row r="2147" spans="2:4" x14ac:dyDescent="0.25">
      <c r="B2147" s="68"/>
      <c r="C2147" s="50"/>
      <c r="D2147" s="15"/>
    </row>
    <row r="2148" spans="2:4" x14ac:dyDescent="0.25">
      <c r="B2148" s="68"/>
      <c r="C2148" s="50"/>
      <c r="D2148" s="15"/>
    </row>
    <row r="2149" spans="2:4" x14ac:dyDescent="0.25">
      <c r="B2149" s="68"/>
      <c r="C2149" s="50"/>
      <c r="D2149" s="15"/>
    </row>
    <row r="2150" spans="2:4" x14ac:dyDescent="0.25">
      <c r="B2150" s="68"/>
      <c r="C2150" s="50"/>
      <c r="D2150" s="15"/>
    </row>
    <row r="2151" spans="2:4" x14ac:dyDescent="0.25">
      <c r="B2151" s="68"/>
      <c r="C2151" s="50"/>
      <c r="D2151" s="15"/>
    </row>
    <row r="2152" spans="2:4" x14ac:dyDescent="0.25">
      <c r="B2152" s="68"/>
      <c r="C2152" s="50"/>
      <c r="D2152" s="15"/>
    </row>
    <row r="2153" spans="2:4" x14ac:dyDescent="0.25">
      <c r="B2153" s="68"/>
      <c r="C2153" s="50"/>
      <c r="D2153" s="15"/>
    </row>
    <row r="2154" spans="2:4" x14ac:dyDescent="0.25">
      <c r="B2154" s="68"/>
      <c r="C2154" s="50"/>
      <c r="D2154" s="15"/>
    </row>
    <row r="2155" spans="2:4" x14ac:dyDescent="0.25">
      <c r="B2155" s="68"/>
      <c r="C2155" s="50"/>
      <c r="D2155" s="15"/>
    </row>
    <row r="2156" spans="2:4" x14ac:dyDescent="0.25">
      <c r="B2156" s="68"/>
      <c r="C2156" s="50"/>
      <c r="D2156" s="15"/>
    </row>
    <row r="2157" spans="2:4" x14ac:dyDescent="0.25">
      <c r="B2157" s="68"/>
      <c r="C2157" s="50"/>
      <c r="D2157" s="15"/>
    </row>
    <row r="2158" spans="2:4" x14ac:dyDescent="0.25">
      <c r="B2158" s="68"/>
      <c r="C2158" s="50"/>
      <c r="D2158" s="15"/>
    </row>
    <row r="2159" spans="2:4" x14ac:dyDescent="0.25">
      <c r="B2159" s="68"/>
      <c r="C2159" s="50"/>
      <c r="D2159" s="15"/>
    </row>
    <row r="2160" spans="2:4" x14ac:dyDescent="0.25">
      <c r="B2160" s="68"/>
      <c r="C2160" s="50"/>
      <c r="D2160" s="15"/>
    </row>
    <row r="2161" spans="2:4" x14ac:dyDescent="0.25">
      <c r="B2161" s="68"/>
      <c r="C2161" s="50"/>
      <c r="D2161" s="15"/>
    </row>
    <row r="2162" spans="2:4" x14ac:dyDescent="0.25">
      <c r="B2162" s="68"/>
      <c r="C2162" s="50"/>
      <c r="D2162" s="15"/>
    </row>
    <row r="2163" spans="2:4" x14ac:dyDescent="0.25">
      <c r="B2163" s="68"/>
      <c r="C2163" s="50"/>
      <c r="D2163" s="15"/>
    </row>
    <row r="2164" spans="2:4" x14ac:dyDescent="0.25">
      <c r="B2164" s="68"/>
      <c r="C2164" s="50"/>
      <c r="D2164" s="15"/>
    </row>
    <row r="2165" spans="2:4" x14ac:dyDescent="0.25">
      <c r="B2165" s="68"/>
      <c r="C2165" s="50"/>
      <c r="D2165" s="15"/>
    </row>
    <row r="2166" spans="2:4" x14ac:dyDescent="0.25">
      <c r="B2166" s="68"/>
      <c r="C2166" s="50"/>
      <c r="D2166" s="15"/>
    </row>
    <row r="2167" spans="2:4" x14ac:dyDescent="0.25">
      <c r="B2167" s="68"/>
      <c r="C2167" s="50"/>
      <c r="D2167" s="15"/>
    </row>
    <row r="2168" spans="2:4" x14ac:dyDescent="0.25">
      <c r="B2168" s="68"/>
      <c r="C2168" s="50"/>
      <c r="D2168" s="15"/>
    </row>
    <row r="2169" spans="2:4" x14ac:dyDescent="0.25">
      <c r="B2169" s="68"/>
      <c r="C2169" s="50"/>
      <c r="D2169" s="15"/>
    </row>
    <row r="2170" spans="2:4" x14ac:dyDescent="0.25">
      <c r="B2170" s="68"/>
      <c r="C2170" s="50"/>
      <c r="D2170" s="15"/>
    </row>
    <row r="2171" spans="2:4" x14ac:dyDescent="0.25">
      <c r="B2171" s="68"/>
      <c r="C2171" s="50"/>
      <c r="D2171" s="15"/>
    </row>
    <row r="2172" spans="2:4" x14ac:dyDescent="0.25">
      <c r="B2172" s="68"/>
      <c r="C2172" s="50"/>
      <c r="D2172" s="15"/>
    </row>
    <row r="2173" spans="2:4" x14ac:dyDescent="0.25">
      <c r="B2173" s="68"/>
      <c r="C2173" s="50"/>
      <c r="D2173" s="15"/>
    </row>
    <row r="2174" spans="2:4" x14ac:dyDescent="0.25">
      <c r="B2174" s="68"/>
      <c r="C2174" s="50"/>
      <c r="D2174" s="15"/>
    </row>
    <row r="2175" spans="2:4" x14ac:dyDescent="0.25">
      <c r="B2175" s="68"/>
      <c r="C2175" s="50"/>
      <c r="D2175" s="15"/>
    </row>
    <row r="2176" spans="2:4" x14ac:dyDescent="0.25">
      <c r="B2176" s="68"/>
      <c r="C2176" s="50"/>
      <c r="D2176" s="15"/>
    </row>
    <row r="2177" spans="2:4" x14ac:dyDescent="0.25">
      <c r="B2177" s="68"/>
      <c r="C2177" s="50"/>
      <c r="D2177" s="15"/>
    </row>
    <row r="2178" spans="2:4" x14ac:dyDescent="0.25">
      <c r="B2178" s="68"/>
      <c r="C2178" s="50"/>
      <c r="D2178" s="15"/>
    </row>
    <row r="2179" spans="2:4" x14ac:dyDescent="0.25">
      <c r="B2179" s="68"/>
      <c r="C2179" s="50"/>
      <c r="D2179" s="15"/>
    </row>
    <row r="2180" spans="2:4" x14ac:dyDescent="0.25">
      <c r="B2180" s="68"/>
      <c r="C2180" s="50"/>
      <c r="D2180" s="15"/>
    </row>
    <row r="2181" spans="2:4" x14ac:dyDescent="0.25">
      <c r="B2181" s="68"/>
      <c r="C2181" s="50"/>
      <c r="D2181" s="15"/>
    </row>
    <row r="2182" spans="2:4" x14ac:dyDescent="0.25">
      <c r="B2182" s="68"/>
      <c r="C2182" s="50"/>
      <c r="D2182" s="15"/>
    </row>
    <row r="2183" spans="2:4" x14ac:dyDescent="0.25">
      <c r="B2183" s="68"/>
      <c r="C2183" s="50"/>
      <c r="D2183" s="15"/>
    </row>
    <row r="2184" spans="2:4" x14ac:dyDescent="0.25">
      <c r="B2184" s="68"/>
      <c r="C2184" s="50"/>
      <c r="D2184" s="15"/>
    </row>
    <row r="2185" spans="2:4" x14ac:dyDescent="0.25">
      <c r="B2185" s="68"/>
      <c r="C2185" s="50"/>
      <c r="D2185" s="15"/>
    </row>
    <row r="2186" spans="2:4" x14ac:dyDescent="0.25">
      <c r="B2186" s="68"/>
      <c r="C2186" s="50"/>
      <c r="D2186" s="15"/>
    </row>
    <row r="2187" spans="2:4" x14ac:dyDescent="0.25">
      <c r="B2187" s="68"/>
      <c r="C2187" s="50"/>
      <c r="D2187" s="15"/>
    </row>
    <row r="2188" spans="2:4" x14ac:dyDescent="0.25">
      <c r="B2188" s="68"/>
      <c r="C2188" s="50"/>
      <c r="D2188" s="15"/>
    </row>
    <row r="2189" spans="2:4" x14ac:dyDescent="0.25">
      <c r="B2189" s="68"/>
      <c r="C2189" s="50"/>
      <c r="D2189" s="15"/>
    </row>
    <row r="2190" spans="2:4" x14ac:dyDescent="0.25">
      <c r="B2190" s="68"/>
      <c r="C2190" s="50"/>
      <c r="D2190" s="15"/>
    </row>
    <row r="2191" spans="2:4" x14ac:dyDescent="0.25">
      <c r="B2191" s="68"/>
      <c r="C2191" s="50"/>
      <c r="D2191" s="15"/>
    </row>
    <row r="2192" spans="2:4" x14ac:dyDescent="0.25">
      <c r="B2192" s="68"/>
      <c r="C2192" s="50"/>
      <c r="D2192" s="15"/>
    </row>
    <row r="2193" spans="2:4" x14ac:dyDescent="0.25">
      <c r="B2193" s="68"/>
      <c r="C2193" s="50"/>
      <c r="D2193" s="15"/>
    </row>
    <row r="2194" spans="2:4" x14ac:dyDescent="0.25">
      <c r="B2194" s="68"/>
      <c r="C2194" s="50"/>
      <c r="D2194" s="15"/>
    </row>
    <row r="2195" spans="2:4" x14ac:dyDescent="0.25">
      <c r="B2195" s="68"/>
      <c r="C2195" s="50"/>
      <c r="D2195" s="15"/>
    </row>
    <row r="2196" spans="2:4" x14ac:dyDescent="0.25">
      <c r="B2196" s="68"/>
      <c r="C2196" s="50"/>
      <c r="D2196" s="15"/>
    </row>
    <row r="2197" spans="2:4" x14ac:dyDescent="0.25">
      <c r="B2197" s="68"/>
      <c r="C2197" s="50"/>
      <c r="D2197" s="15"/>
    </row>
    <row r="2198" spans="2:4" x14ac:dyDescent="0.25">
      <c r="B2198" s="68"/>
      <c r="C2198" s="50"/>
      <c r="D2198" s="15"/>
    </row>
    <row r="2199" spans="2:4" x14ac:dyDescent="0.25">
      <c r="B2199" s="68"/>
      <c r="C2199" s="50"/>
      <c r="D2199" s="15"/>
    </row>
    <row r="2200" spans="2:4" x14ac:dyDescent="0.25">
      <c r="B2200" s="68"/>
      <c r="C2200" s="50"/>
      <c r="D2200" s="15"/>
    </row>
    <row r="2201" spans="2:4" x14ac:dyDescent="0.25">
      <c r="B2201" s="68"/>
      <c r="C2201" s="50"/>
      <c r="D2201" s="15"/>
    </row>
    <row r="2202" spans="2:4" x14ac:dyDescent="0.25">
      <c r="B2202" s="68"/>
      <c r="C2202" s="50"/>
      <c r="D2202" s="15"/>
    </row>
    <row r="2203" spans="2:4" x14ac:dyDescent="0.25">
      <c r="B2203" s="68"/>
      <c r="C2203" s="50"/>
      <c r="D2203" s="15"/>
    </row>
    <row r="2204" spans="2:4" x14ac:dyDescent="0.25">
      <c r="B2204" s="68"/>
      <c r="C2204" s="50"/>
      <c r="D2204" s="15"/>
    </row>
    <row r="2205" spans="2:4" x14ac:dyDescent="0.25">
      <c r="B2205" s="68"/>
      <c r="C2205" s="50"/>
      <c r="D2205" s="15"/>
    </row>
    <row r="2206" spans="2:4" x14ac:dyDescent="0.25">
      <c r="B2206" s="68"/>
      <c r="C2206" s="50"/>
      <c r="D2206" s="15"/>
    </row>
    <row r="2207" spans="2:4" x14ac:dyDescent="0.25">
      <c r="B2207" s="68"/>
      <c r="C2207" s="50"/>
      <c r="D2207" s="15"/>
    </row>
    <row r="2208" spans="2:4" x14ac:dyDescent="0.25">
      <c r="B2208" s="68"/>
      <c r="C2208" s="50"/>
      <c r="D2208" s="15"/>
    </row>
    <row r="2209" spans="2:4" x14ac:dyDescent="0.25">
      <c r="B2209" s="68"/>
      <c r="C2209" s="50"/>
      <c r="D2209" s="15"/>
    </row>
    <row r="2210" spans="2:4" x14ac:dyDescent="0.25">
      <c r="B2210" s="68"/>
      <c r="C2210" s="50"/>
      <c r="D2210" s="15"/>
    </row>
    <row r="2211" spans="2:4" x14ac:dyDescent="0.25">
      <c r="B2211" s="68"/>
      <c r="C2211" s="50"/>
      <c r="D2211" s="15"/>
    </row>
    <row r="2212" spans="2:4" x14ac:dyDescent="0.25">
      <c r="B2212" s="68"/>
      <c r="C2212" s="50"/>
      <c r="D2212" s="15"/>
    </row>
    <row r="2213" spans="2:4" x14ac:dyDescent="0.25">
      <c r="B2213" s="68"/>
      <c r="C2213" s="50"/>
      <c r="D2213" s="15"/>
    </row>
    <row r="2214" spans="2:4" x14ac:dyDescent="0.25">
      <c r="B2214" s="68"/>
      <c r="C2214" s="50"/>
      <c r="D2214" s="15"/>
    </row>
    <row r="2215" spans="2:4" x14ac:dyDescent="0.25">
      <c r="B2215" s="68"/>
      <c r="C2215" s="50"/>
      <c r="D2215" s="15"/>
    </row>
    <row r="2216" spans="2:4" x14ac:dyDescent="0.25">
      <c r="B2216" s="68"/>
      <c r="C2216" s="50"/>
      <c r="D2216" s="15"/>
    </row>
    <row r="2217" spans="2:4" x14ac:dyDescent="0.25">
      <c r="B2217" s="68"/>
      <c r="C2217" s="50"/>
      <c r="D2217" s="15"/>
    </row>
    <row r="2218" spans="2:4" x14ac:dyDescent="0.25">
      <c r="B2218" s="68"/>
      <c r="C2218" s="50"/>
      <c r="D2218" s="15"/>
    </row>
    <row r="2219" spans="2:4" x14ac:dyDescent="0.25">
      <c r="B2219" s="68"/>
      <c r="C2219" s="50"/>
      <c r="D2219" s="15"/>
    </row>
    <row r="2220" spans="2:4" x14ac:dyDescent="0.25">
      <c r="B2220" s="68"/>
      <c r="C2220" s="50"/>
      <c r="D2220" s="15"/>
    </row>
    <row r="2221" spans="2:4" x14ac:dyDescent="0.25">
      <c r="B2221" s="68"/>
      <c r="C2221" s="50"/>
      <c r="D2221" s="15"/>
    </row>
    <row r="2222" spans="2:4" x14ac:dyDescent="0.25">
      <c r="B2222" s="68"/>
      <c r="C2222" s="50"/>
      <c r="D2222" s="15"/>
    </row>
    <row r="2223" spans="2:4" x14ac:dyDescent="0.25">
      <c r="B2223" s="68"/>
      <c r="C2223" s="50"/>
      <c r="D2223" s="15"/>
    </row>
    <row r="2224" spans="2:4" x14ac:dyDescent="0.25">
      <c r="B2224" s="68"/>
      <c r="C2224" s="50"/>
      <c r="D2224" s="15"/>
    </row>
    <row r="2225" spans="2:4" x14ac:dyDescent="0.25">
      <c r="B2225" s="68"/>
      <c r="C2225" s="50"/>
      <c r="D2225" s="15"/>
    </row>
    <row r="2226" spans="2:4" x14ac:dyDescent="0.25">
      <c r="B2226" s="68"/>
      <c r="C2226" s="50"/>
      <c r="D2226" s="15"/>
    </row>
    <row r="2227" spans="2:4" x14ac:dyDescent="0.25">
      <c r="B2227" s="68"/>
      <c r="C2227" s="50"/>
      <c r="D2227" s="15"/>
    </row>
    <row r="2228" spans="2:4" x14ac:dyDescent="0.25">
      <c r="B2228" s="68"/>
      <c r="C2228" s="50"/>
      <c r="D2228" s="15"/>
    </row>
    <row r="2229" spans="2:4" x14ac:dyDescent="0.25">
      <c r="B2229" s="68"/>
      <c r="C2229" s="50"/>
      <c r="D2229" s="15"/>
    </row>
    <row r="2230" spans="2:4" x14ac:dyDescent="0.25">
      <c r="B2230" s="68"/>
      <c r="C2230" s="50"/>
      <c r="D2230" s="15"/>
    </row>
    <row r="2231" spans="2:4" x14ac:dyDescent="0.25">
      <c r="B2231" s="68"/>
      <c r="C2231" s="50"/>
      <c r="D2231" s="15"/>
    </row>
    <row r="2232" spans="2:4" x14ac:dyDescent="0.25">
      <c r="B2232" s="68"/>
      <c r="C2232" s="50"/>
      <c r="D2232" s="15"/>
    </row>
    <row r="2233" spans="2:4" x14ac:dyDescent="0.25">
      <c r="B2233" s="68"/>
      <c r="C2233" s="50"/>
      <c r="D2233" s="15"/>
    </row>
    <row r="2234" spans="2:4" x14ac:dyDescent="0.25">
      <c r="B2234" s="68"/>
      <c r="C2234" s="50"/>
      <c r="D2234" s="15"/>
    </row>
    <row r="2235" spans="2:4" x14ac:dyDescent="0.25">
      <c r="B2235" s="68"/>
      <c r="C2235" s="50"/>
      <c r="D2235" s="15"/>
    </row>
    <row r="2236" spans="2:4" x14ac:dyDescent="0.25">
      <c r="B2236" s="68"/>
      <c r="C2236" s="50"/>
      <c r="D2236" s="15"/>
    </row>
    <row r="2237" spans="2:4" x14ac:dyDescent="0.25">
      <c r="B2237" s="68"/>
      <c r="C2237" s="50"/>
      <c r="D2237" s="15"/>
    </row>
    <row r="2238" spans="2:4" x14ac:dyDescent="0.25">
      <c r="B2238" s="68"/>
      <c r="C2238" s="50"/>
      <c r="D2238" s="15"/>
    </row>
    <row r="2239" spans="2:4" x14ac:dyDescent="0.25">
      <c r="B2239" s="68"/>
      <c r="C2239" s="50"/>
      <c r="D2239" s="15"/>
    </row>
    <row r="2240" spans="2:4" x14ac:dyDescent="0.25">
      <c r="B2240" s="68"/>
      <c r="C2240" s="50"/>
      <c r="D2240" s="15"/>
    </row>
    <row r="2241" spans="2:4" x14ac:dyDescent="0.25">
      <c r="B2241" s="68"/>
      <c r="C2241" s="50"/>
      <c r="D2241" s="15"/>
    </row>
    <row r="2242" spans="2:4" x14ac:dyDescent="0.25">
      <c r="B2242" s="68"/>
      <c r="C2242" s="50"/>
      <c r="D2242" s="15"/>
    </row>
    <row r="2243" spans="2:4" x14ac:dyDescent="0.25">
      <c r="B2243" s="68"/>
      <c r="C2243" s="50"/>
      <c r="D2243" s="15"/>
    </row>
    <row r="2244" spans="2:4" x14ac:dyDescent="0.25">
      <c r="B2244" s="68"/>
      <c r="C2244" s="50"/>
      <c r="D2244" s="15"/>
    </row>
    <row r="2245" spans="2:4" x14ac:dyDescent="0.25">
      <c r="B2245" s="68"/>
      <c r="C2245" s="50"/>
      <c r="D2245" s="15"/>
    </row>
    <row r="2246" spans="2:4" x14ac:dyDescent="0.25">
      <c r="B2246" s="68"/>
      <c r="C2246" s="50"/>
      <c r="D2246" s="15"/>
    </row>
    <row r="2247" spans="2:4" x14ac:dyDescent="0.25">
      <c r="B2247" s="68"/>
      <c r="C2247" s="50"/>
      <c r="D2247" s="15"/>
    </row>
    <row r="2248" spans="2:4" x14ac:dyDescent="0.25">
      <c r="B2248" s="68"/>
      <c r="C2248" s="50"/>
      <c r="D2248" s="15"/>
    </row>
    <row r="2249" spans="2:4" x14ac:dyDescent="0.25">
      <c r="B2249" s="68"/>
      <c r="C2249" s="50"/>
      <c r="D2249" s="15"/>
    </row>
    <row r="2250" spans="2:4" x14ac:dyDescent="0.25">
      <c r="B2250" s="68"/>
      <c r="C2250" s="50"/>
      <c r="D2250" s="15"/>
    </row>
    <row r="2251" spans="2:4" x14ac:dyDescent="0.25">
      <c r="B2251" s="68"/>
      <c r="C2251" s="50"/>
      <c r="D2251" s="15"/>
    </row>
    <row r="2252" spans="2:4" x14ac:dyDescent="0.25">
      <c r="B2252" s="68"/>
      <c r="C2252" s="50"/>
      <c r="D2252" s="15"/>
    </row>
    <row r="2253" spans="2:4" x14ac:dyDescent="0.25">
      <c r="B2253" s="68"/>
      <c r="C2253" s="50"/>
      <c r="D2253" s="15"/>
    </row>
    <row r="2254" spans="2:4" x14ac:dyDescent="0.25">
      <c r="B2254" s="68"/>
      <c r="C2254" s="50"/>
      <c r="D2254" s="15"/>
    </row>
    <row r="2255" spans="2:4" x14ac:dyDescent="0.25">
      <c r="B2255" s="68"/>
      <c r="C2255" s="50"/>
      <c r="D2255" s="15"/>
    </row>
    <row r="2256" spans="2:4" x14ac:dyDescent="0.25">
      <c r="B2256" s="68"/>
      <c r="C2256" s="50"/>
      <c r="D2256" s="15"/>
    </row>
    <row r="2257" spans="2:4" x14ac:dyDescent="0.25">
      <c r="B2257" s="68"/>
      <c r="C2257" s="50"/>
      <c r="D2257" s="15"/>
    </row>
    <row r="2258" spans="2:4" x14ac:dyDescent="0.25">
      <c r="B2258" s="68"/>
      <c r="C2258" s="50"/>
      <c r="D2258" s="15"/>
    </row>
    <row r="2259" spans="2:4" x14ac:dyDescent="0.25">
      <c r="B2259" s="68"/>
      <c r="C2259" s="50"/>
      <c r="D2259" s="15"/>
    </row>
    <row r="2260" spans="2:4" x14ac:dyDescent="0.25">
      <c r="B2260" s="68"/>
      <c r="C2260" s="50"/>
      <c r="D2260" s="15"/>
    </row>
    <row r="2261" spans="2:4" x14ac:dyDescent="0.25">
      <c r="B2261" s="68"/>
      <c r="C2261" s="50"/>
      <c r="D2261" s="15"/>
    </row>
    <row r="2262" spans="2:4" x14ac:dyDescent="0.25">
      <c r="B2262" s="68"/>
      <c r="C2262" s="50"/>
      <c r="D2262" s="15"/>
    </row>
    <row r="2263" spans="2:4" x14ac:dyDescent="0.25">
      <c r="B2263" s="68"/>
      <c r="C2263" s="50"/>
      <c r="D2263" s="15"/>
    </row>
    <row r="2264" spans="2:4" x14ac:dyDescent="0.25">
      <c r="B2264" s="68"/>
      <c r="C2264" s="50"/>
      <c r="D2264" s="15"/>
    </row>
    <row r="2265" spans="2:4" x14ac:dyDescent="0.25">
      <c r="B2265" s="68"/>
      <c r="C2265" s="50"/>
      <c r="D2265" s="15"/>
    </row>
    <row r="2266" spans="2:4" x14ac:dyDescent="0.25">
      <c r="B2266" s="68"/>
      <c r="C2266" s="50"/>
      <c r="D2266" s="15"/>
    </row>
    <row r="2267" spans="2:4" x14ac:dyDescent="0.25">
      <c r="B2267" s="68"/>
      <c r="C2267" s="50"/>
      <c r="D2267" s="15"/>
    </row>
    <row r="2268" spans="2:4" x14ac:dyDescent="0.25">
      <c r="B2268" s="68"/>
      <c r="C2268" s="50"/>
      <c r="D2268" s="15"/>
    </row>
    <row r="2269" spans="2:4" x14ac:dyDescent="0.25">
      <c r="B2269" s="68"/>
      <c r="C2269" s="50"/>
      <c r="D2269" s="15"/>
    </row>
    <row r="2270" spans="2:4" x14ac:dyDescent="0.25">
      <c r="B2270" s="68"/>
      <c r="C2270" s="50"/>
      <c r="D2270" s="15"/>
    </row>
    <row r="2271" spans="2:4" x14ac:dyDescent="0.25">
      <c r="B2271" s="68"/>
      <c r="C2271" s="50"/>
      <c r="D2271" s="15"/>
    </row>
    <row r="2272" spans="2:4" x14ac:dyDescent="0.25">
      <c r="B2272" s="68"/>
      <c r="C2272" s="50"/>
      <c r="D2272" s="15"/>
    </row>
    <row r="2273" spans="2:4" x14ac:dyDescent="0.25">
      <c r="B2273" s="68"/>
      <c r="C2273" s="50"/>
      <c r="D2273" s="15"/>
    </row>
    <row r="2274" spans="2:4" x14ac:dyDescent="0.25">
      <c r="B2274" s="68"/>
      <c r="C2274" s="50"/>
      <c r="D2274" s="15"/>
    </row>
    <row r="2275" spans="2:4" x14ac:dyDescent="0.25">
      <c r="B2275" s="68"/>
      <c r="C2275" s="50"/>
      <c r="D2275" s="15"/>
    </row>
    <row r="2276" spans="2:4" x14ac:dyDescent="0.25">
      <c r="B2276" s="68"/>
      <c r="C2276" s="50"/>
      <c r="D2276" s="15"/>
    </row>
    <row r="2277" spans="2:4" x14ac:dyDescent="0.25">
      <c r="B2277" s="68"/>
      <c r="C2277" s="50"/>
      <c r="D2277" s="15"/>
    </row>
    <row r="2278" spans="2:4" x14ac:dyDescent="0.25">
      <c r="B2278" s="68"/>
      <c r="C2278" s="50"/>
      <c r="D2278" s="15"/>
    </row>
    <row r="2279" spans="2:4" x14ac:dyDescent="0.25">
      <c r="B2279" s="68"/>
      <c r="C2279" s="50"/>
      <c r="D2279" s="15"/>
    </row>
    <row r="2280" spans="2:4" x14ac:dyDescent="0.25">
      <c r="B2280" s="68"/>
      <c r="C2280" s="50"/>
      <c r="D2280" s="15"/>
    </row>
    <row r="2281" spans="2:4" x14ac:dyDescent="0.25">
      <c r="B2281" s="68"/>
      <c r="C2281" s="50"/>
      <c r="D2281" s="15"/>
    </row>
    <row r="2282" spans="2:4" x14ac:dyDescent="0.25">
      <c r="B2282" s="68"/>
      <c r="C2282" s="50"/>
      <c r="D2282" s="15"/>
    </row>
    <row r="2283" spans="2:4" x14ac:dyDescent="0.25">
      <c r="B2283" s="68"/>
      <c r="C2283" s="50"/>
      <c r="D2283" s="15"/>
    </row>
    <row r="2284" spans="2:4" x14ac:dyDescent="0.25">
      <c r="B2284" s="68"/>
      <c r="C2284" s="50"/>
      <c r="D2284" s="15"/>
    </row>
    <row r="2285" spans="2:4" x14ac:dyDescent="0.25">
      <c r="B2285" s="68"/>
      <c r="C2285" s="50"/>
      <c r="D2285" s="15"/>
    </row>
    <row r="2286" spans="2:4" x14ac:dyDescent="0.25">
      <c r="B2286" s="68"/>
      <c r="C2286" s="50"/>
      <c r="D2286" s="15"/>
    </row>
    <row r="2287" spans="2:4" x14ac:dyDescent="0.25">
      <c r="B2287" s="68"/>
      <c r="C2287" s="50"/>
      <c r="D2287" s="15"/>
    </row>
    <row r="2288" spans="2:4" x14ac:dyDescent="0.25">
      <c r="B2288" s="68"/>
      <c r="C2288" s="50"/>
      <c r="D2288" s="15"/>
    </row>
    <row r="2289" spans="2:4" x14ac:dyDescent="0.25">
      <c r="B2289" s="68"/>
      <c r="C2289" s="50"/>
      <c r="D2289" s="15"/>
    </row>
    <row r="2290" spans="2:4" x14ac:dyDescent="0.25">
      <c r="B2290" s="68"/>
      <c r="C2290" s="50"/>
      <c r="D2290" s="15"/>
    </row>
    <row r="2291" spans="2:4" x14ac:dyDescent="0.25">
      <c r="B2291" s="68"/>
      <c r="C2291" s="50"/>
      <c r="D2291" s="15"/>
    </row>
    <row r="2292" spans="2:4" x14ac:dyDescent="0.25">
      <c r="B2292" s="68"/>
      <c r="C2292" s="50"/>
      <c r="D2292" s="15"/>
    </row>
    <row r="2293" spans="2:4" x14ac:dyDescent="0.25">
      <c r="B2293" s="68"/>
      <c r="C2293" s="50"/>
      <c r="D2293" s="15"/>
    </row>
    <row r="2294" spans="2:4" x14ac:dyDescent="0.25">
      <c r="B2294" s="68"/>
      <c r="C2294" s="50"/>
      <c r="D2294" s="15"/>
    </row>
    <row r="2295" spans="2:4" x14ac:dyDescent="0.25">
      <c r="B2295" s="68"/>
      <c r="C2295" s="50"/>
      <c r="D2295" s="15"/>
    </row>
    <row r="2296" spans="2:4" x14ac:dyDescent="0.25">
      <c r="B2296" s="68"/>
      <c r="C2296" s="50"/>
      <c r="D2296" s="15"/>
    </row>
    <row r="2297" spans="2:4" x14ac:dyDescent="0.25">
      <c r="B2297" s="68"/>
      <c r="C2297" s="50"/>
      <c r="D2297" s="15"/>
    </row>
    <row r="2298" spans="2:4" x14ac:dyDescent="0.25">
      <c r="B2298" s="68"/>
      <c r="C2298" s="50"/>
      <c r="D2298" s="15"/>
    </row>
    <row r="2299" spans="2:4" x14ac:dyDescent="0.25">
      <c r="B2299" s="68"/>
      <c r="C2299" s="50"/>
      <c r="D2299" s="15"/>
    </row>
    <row r="2300" spans="2:4" x14ac:dyDescent="0.25">
      <c r="B2300" s="68"/>
      <c r="C2300" s="50"/>
      <c r="D2300" s="15"/>
    </row>
    <row r="2301" spans="2:4" x14ac:dyDescent="0.25">
      <c r="B2301" s="68"/>
      <c r="C2301" s="50"/>
      <c r="D2301" s="15"/>
    </row>
    <row r="2302" spans="2:4" x14ac:dyDescent="0.25">
      <c r="B2302" s="68"/>
      <c r="C2302" s="50"/>
      <c r="D2302" s="15"/>
    </row>
    <row r="2303" spans="2:4" x14ac:dyDescent="0.25">
      <c r="B2303" s="68"/>
      <c r="C2303" s="50"/>
      <c r="D2303" s="15"/>
    </row>
    <row r="2304" spans="2:4" x14ac:dyDescent="0.25">
      <c r="B2304" s="68"/>
      <c r="C2304" s="50"/>
      <c r="D2304" s="15"/>
    </row>
    <row r="2305" spans="2:4" x14ac:dyDescent="0.25">
      <c r="B2305" s="68"/>
      <c r="C2305" s="50"/>
      <c r="D2305" s="15"/>
    </row>
    <row r="2306" spans="2:4" x14ac:dyDescent="0.25">
      <c r="B2306" s="68"/>
      <c r="C2306" s="50"/>
      <c r="D2306" s="15"/>
    </row>
    <row r="2307" spans="2:4" x14ac:dyDescent="0.25">
      <c r="B2307" s="68"/>
      <c r="C2307" s="50"/>
      <c r="D2307" s="15"/>
    </row>
    <row r="2308" spans="2:4" x14ac:dyDescent="0.25">
      <c r="B2308" s="68"/>
      <c r="C2308" s="50"/>
      <c r="D2308" s="15"/>
    </row>
    <row r="2309" spans="2:4" x14ac:dyDescent="0.25">
      <c r="B2309" s="68"/>
      <c r="C2309" s="50"/>
      <c r="D2309" s="15"/>
    </row>
    <row r="2310" spans="2:4" x14ac:dyDescent="0.25">
      <c r="B2310" s="68"/>
      <c r="C2310" s="50"/>
      <c r="D2310" s="15"/>
    </row>
    <row r="2311" spans="2:4" x14ac:dyDescent="0.25">
      <c r="B2311" s="68"/>
      <c r="C2311" s="50"/>
      <c r="D2311" s="15"/>
    </row>
    <row r="2312" spans="2:4" x14ac:dyDescent="0.25">
      <c r="B2312" s="68"/>
      <c r="C2312" s="50"/>
      <c r="D2312" s="15"/>
    </row>
    <row r="2313" spans="2:4" x14ac:dyDescent="0.25">
      <c r="B2313" s="68"/>
      <c r="C2313" s="50"/>
      <c r="D2313" s="15"/>
    </row>
    <row r="2314" spans="2:4" x14ac:dyDescent="0.25">
      <c r="B2314" s="68"/>
      <c r="C2314" s="50"/>
      <c r="D2314" s="15"/>
    </row>
    <row r="2315" spans="2:4" x14ac:dyDescent="0.25">
      <c r="B2315" s="68"/>
      <c r="C2315" s="50"/>
      <c r="D2315" s="15"/>
    </row>
    <row r="2316" spans="2:4" x14ac:dyDescent="0.25">
      <c r="B2316" s="68"/>
      <c r="C2316" s="50"/>
      <c r="D2316" s="15"/>
    </row>
    <row r="2317" spans="2:4" x14ac:dyDescent="0.25">
      <c r="B2317" s="68"/>
      <c r="C2317" s="50"/>
      <c r="D2317" s="15"/>
    </row>
    <row r="2318" spans="2:4" x14ac:dyDescent="0.25">
      <c r="B2318" s="68"/>
      <c r="C2318" s="50"/>
      <c r="D2318" s="15"/>
    </row>
    <row r="2319" spans="2:4" x14ac:dyDescent="0.25">
      <c r="B2319" s="68"/>
      <c r="C2319" s="50"/>
      <c r="D2319" s="15"/>
    </row>
    <row r="2320" spans="2:4" x14ac:dyDescent="0.25">
      <c r="B2320" s="68"/>
      <c r="C2320" s="50"/>
      <c r="D2320" s="15"/>
    </row>
    <row r="2321" spans="2:4" x14ac:dyDescent="0.25">
      <c r="B2321" s="68"/>
      <c r="C2321" s="50"/>
      <c r="D2321" s="15"/>
    </row>
    <row r="2322" spans="2:4" x14ac:dyDescent="0.25">
      <c r="B2322" s="68"/>
      <c r="C2322" s="50"/>
      <c r="D2322" s="15"/>
    </row>
    <row r="2323" spans="2:4" x14ac:dyDescent="0.25">
      <c r="B2323" s="68"/>
      <c r="C2323" s="50"/>
      <c r="D2323" s="15"/>
    </row>
    <row r="2324" spans="2:4" x14ac:dyDescent="0.25">
      <c r="B2324" s="68"/>
      <c r="C2324" s="50"/>
      <c r="D2324" s="15"/>
    </row>
    <row r="2325" spans="2:4" x14ac:dyDescent="0.25">
      <c r="B2325" s="68"/>
      <c r="C2325" s="50"/>
      <c r="D2325" s="15"/>
    </row>
    <row r="2326" spans="2:4" x14ac:dyDescent="0.25">
      <c r="B2326" s="68"/>
      <c r="C2326" s="50"/>
      <c r="D2326" s="15"/>
    </row>
    <row r="2327" spans="2:4" x14ac:dyDescent="0.25">
      <c r="B2327" s="68"/>
      <c r="C2327" s="50"/>
      <c r="D2327" s="15"/>
    </row>
    <row r="2328" spans="2:4" x14ac:dyDescent="0.25">
      <c r="B2328" s="68"/>
      <c r="C2328" s="50"/>
      <c r="D2328" s="15"/>
    </row>
    <row r="2329" spans="2:4" x14ac:dyDescent="0.25">
      <c r="B2329" s="68"/>
      <c r="C2329" s="50"/>
      <c r="D2329" s="15"/>
    </row>
    <row r="2330" spans="2:4" x14ac:dyDescent="0.25">
      <c r="B2330" s="68"/>
      <c r="C2330" s="50"/>
      <c r="D2330" s="15"/>
    </row>
    <row r="2331" spans="2:4" x14ac:dyDescent="0.25">
      <c r="B2331" s="68"/>
      <c r="C2331" s="50"/>
      <c r="D2331" s="15"/>
    </row>
    <row r="2332" spans="2:4" x14ac:dyDescent="0.25">
      <c r="B2332" s="68"/>
      <c r="C2332" s="50"/>
      <c r="D2332" s="15"/>
    </row>
    <row r="2333" spans="2:4" x14ac:dyDescent="0.25">
      <c r="B2333" s="68"/>
      <c r="C2333" s="50"/>
      <c r="D2333" s="15"/>
    </row>
    <row r="2334" spans="2:4" x14ac:dyDescent="0.25">
      <c r="B2334" s="68"/>
      <c r="C2334" s="50"/>
      <c r="D2334" s="15"/>
    </row>
    <row r="2335" spans="2:4" x14ac:dyDescent="0.25">
      <c r="B2335" s="68"/>
      <c r="C2335" s="50"/>
      <c r="D2335" s="15"/>
    </row>
    <row r="2336" spans="2:4" x14ac:dyDescent="0.25">
      <c r="B2336" s="68"/>
      <c r="C2336" s="50"/>
      <c r="D2336" s="15"/>
    </row>
    <row r="2337" spans="2:4" x14ac:dyDescent="0.25">
      <c r="B2337" s="68"/>
      <c r="C2337" s="50"/>
      <c r="D2337" s="15"/>
    </row>
    <row r="2338" spans="2:4" x14ac:dyDescent="0.25">
      <c r="B2338" s="68"/>
      <c r="C2338" s="50"/>
      <c r="D2338" s="15"/>
    </row>
    <row r="2339" spans="2:4" x14ac:dyDescent="0.25">
      <c r="B2339" s="68"/>
      <c r="C2339" s="50"/>
      <c r="D2339" s="15"/>
    </row>
    <row r="2340" spans="2:4" x14ac:dyDescent="0.25">
      <c r="B2340" s="68"/>
      <c r="C2340" s="50"/>
      <c r="D2340" s="15"/>
    </row>
    <row r="2341" spans="2:4" x14ac:dyDescent="0.25">
      <c r="B2341" s="68"/>
      <c r="C2341" s="50"/>
      <c r="D2341" s="15"/>
    </row>
    <row r="2342" spans="2:4" x14ac:dyDescent="0.25">
      <c r="B2342" s="68"/>
      <c r="C2342" s="50"/>
      <c r="D2342" s="15"/>
    </row>
    <row r="2343" spans="2:4" x14ac:dyDescent="0.25">
      <c r="B2343" s="68"/>
      <c r="C2343" s="50"/>
      <c r="D2343" s="15"/>
    </row>
    <row r="2344" spans="2:4" x14ac:dyDescent="0.25">
      <c r="B2344" s="68"/>
      <c r="C2344" s="50"/>
      <c r="D2344" s="15"/>
    </row>
    <row r="2345" spans="2:4" x14ac:dyDescent="0.25">
      <c r="B2345" s="68"/>
      <c r="C2345" s="50"/>
      <c r="D2345" s="15"/>
    </row>
    <row r="2346" spans="2:4" x14ac:dyDescent="0.25">
      <c r="B2346" s="68"/>
      <c r="C2346" s="50"/>
      <c r="D2346" s="15"/>
    </row>
    <row r="2347" spans="2:4" x14ac:dyDescent="0.25">
      <c r="B2347" s="68"/>
      <c r="C2347" s="50"/>
      <c r="D2347" s="15"/>
    </row>
    <row r="2348" spans="2:4" x14ac:dyDescent="0.25">
      <c r="B2348" s="68"/>
      <c r="C2348" s="50"/>
      <c r="D2348" s="15"/>
    </row>
    <row r="2349" spans="2:4" x14ac:dyDescent="0.25">
      <c r="B2349" s="68"/>
      <c r="C2349" s="50"/>
      <c r="D2349" s="15"/>
    </row>
    <row r="2350" spans="2:4" x14ac:dyDescent="0.25">
      <c r="B2350" s="68"/>
      <c r="C2350" s="50"/>
      <c r="D2350" s="15"/>
    </row>
    <row r="2351" spans="2:4" x14ac:dyDescent="0.25">
      <c r="B2351" s="68"/>
      <c r="C2351" s="50"/>
      <c r="D2351" s="15"/>
    </row>
    <row r="2352" spans="2:4" x14ac:dyDescent="0.25">
      <c r="B2352" s="68"/>
      <c r="C2352" s="50"/>
      <c r="D2352" s="15"/>
    </row>
    <row r="2353" spans="2:4" x14ac:dyDescent="0.25">
      <c r="B2353" s="68"/>
      <c r="C2353" s="50"/>
      <c r="D2353" s="15"/>
    </row>
    <row r="2354" spans="2:4" x14ac:dyDescent="0.25">
      <c r="B2354" s="68"/>
      <c r="C2354" s="50"/>
      <c r="D2354" s="15"/>
    </row>
    <row r="2355" spans="2:4" x14ac:dyDescent="0.25">
      <c r="B2355" s="68"/>
      <c r="C2355" s="50"/>
      <c r="D2355" s="15"/>
    </row>
    <row r="2356" spans="2:4" x14ac:dyDescent="0.25">
      <c r="B2356" s="68"/>
      <c r="C2356" s="50"/>
      <c r="D2356" s="15"/>
    </row>
    <row r="2357" spans="2:4" x14ac:dyDescent="0.25">
      <c r="B2357" s="68"/>
      <c r="C2357" s="50"/>
      <c r="D2357" s="15"/>
    </row>
    <row r="2358" spans="2:4" x14ac:dyDescent="0.25">
      <c r="B2358" s="68"/>
      <c r="C2358" s="50"/>
      <c r="D2358" s="15"/>
    </row>
    <row r="2359" spans="2:4" x14ac:dyDescent="0.25">
      <c r="B2359" s="68"/>
      <c r="C2359" s="50"/>
      <c r="D2359" s="15"/>
    </row>
    <row r="2360" spans="2:4" x14ac:dyDescent="0.25">
      <c r="B2360" s="68"/>
      <c r="C2360" s="50"/>
      <c r="D2360" s="15"/>
    </row>
    <row r="2361" spans="2:4" x14ac:dyDescent="0.25">
      <c r="B2361" s="68"/>
      <c r="C2361" s="50"/>
      <c r="D2361" s="15"/>
    </row>
    <row r="2362" spans="2:4" x14ac:dyDescent="0.25">
      <c r="B2362" s="68"/>
      <c r="C2362" s="50"/>
      <c r="D2362" s="15"/>
    </row>
    <row r="2363" spans="2:4" x14ac:dyDescent="0.25">
      <c r="B2363" s="68"/>
      <c r="C2363" s="50"/>
      <c r="D2363" s="15"/>
    </row>
    <row r="2364" spans="2:4" x14ac:dyDescent="0.25">
      <c r="B2364" s="68"/>
      <c r="C2364" s="50"/>
      <c r="D2364" s="15"/>
    </row>
    <row r="2365" spans="2:4" x14ac:dyDescent="0.25">
      <c r="B2365" s="68"/>
      <c r="C2365" s="50"/>
      <c r="D2365" s="15"/>
    </row>
    <row r="2366" spans="2:4" x14ac:dyDescent="0.25">
      <c r="B2366" s="68"/>
      <c r="C2366" s="50"/>
      <c r="D2366" s="15"/>
    </row>
    <row r="2367" spans="2:4" x14ac:dyDescent="0.25">
      <c r="B2367" s="68"/>
      <c r="C2367" s="50"/>
      <c r="D2367" s="15"/>
    </row>
    <row r="2368" spans="2:4" x14ac:dyDescent="0.25">
      <c r="B2368" s="68"/>
      <c r="C2368" s="50"/>
      <c r="D2368" s="15"/>
    </row>
    <row r="2369" spans="2:4" x14ac:dyDescent="0.25">
      <c r="B2369" s="68"/>
      <c r="C2369" s="50"/>
      <c r="D2369" s="15"/>
    </row>
    <row r="2370" spans="2:4" x14ac:dyDescent="0.25">
      <c r="B2370" s="68"/>
      <c r="C2370" s="50"/>
      <c r="D2370" s="15"/>
    </row>
    <row r="2371" spans="2:4" x14ac:dyDescent="0.25">
      <c r="B2371" s="68"/>
      <c r="C2371" s="50"/>
      <c r="D2371" s="15"/>
    </row>
    <row r="2372" spans="2:4" x14ac:dyDescent="0.25">
      <c r="B2372" s="68"/>
      <c r="C2372" s="50"/>
      <c r="D2372" s="15"/>
    </row>
    <row r="2373" spans="2:4" x14ac:dyDescent="0.25">
      <c r="B2373" s="68"/>
      <c r="C2373" s="50"/>
      <c r="D2373" s="15"/>
    </row>
    <row r="2374" spans="2:4" x14ac:dyDescent="0.25">
      <c r="B2374" s="68"/>
      <c r="C2374" s="50"/>
      <c r="D2374" s="15"/>
    </row>
    <row r="2375" spans="2:4" x14ac:dyDescent="0.25">
      <c r="B2375" s="68"/>
      <c r="C2375" s="50"/>
      <c r="D2375" s="15"/>
    </row>
    <row r="2376" spans="2:4" x14ac:dyDescent="0.25">
      <c r="B2376" s="68"/>
      <c r="C2376" s="50"/>
      <c r="D2376" s="15"/>
    </row>
    <row r="2377" spans="2:4" x14ac:dyDescent="0.25">
      <c r="B2377" s="68"/>
      <c r="C2377" s="50"/>
      <c r="D2377" s="15"/>
    </row>
    <row r="2378" spans="2:4" x14ac:dyDescent="0.25">
      <c r="B2378" s="68"/>
      <c r="C2378" s="50"/>
      <c r="D2378" s="15"/>
    </row>
    <row r="2379" spans="2:4" x14ac:dyDescent="0.25">
      <c r="B2379" s="68"/>
      <c r="C2379" s="50"/>
      <c r="D2379" s="15"/>
    </row>
    <row r="2380" spans="2:4" x14ac:dyDescent="0.25">
      <c r="B2380" s="68"/>
      <c r="C2380" s="50"/>
      <c r="D2380" s="15"/>
    </row>
    <row r="2381" spans="2:4" x14ac:dyDescent="0.25">
      <c r="B2381" s="68"/>
      <c r="C2381" s="50"/>
      <c r="D2381" s="15"/>
    </row>
    <row r="2382" spans="2:4" x14ac:dyDescent="0.25">
      <c r="B2382" s="68"/>
      <c r="C2382" s="50"/>
      <c r="D2382" s="15"/>
    </row>
    <row r="2383" spans="2:4" x14ac:dyDescent="0.25">
      <c r="B2383" s="68"/>
      <c r="C2383" s="50"/>
      <c r="D2383" s="15"/>
    </row>
    <row r="2384" spans="2:4" x14ac:dyDescent="0.25">
      <c r="B2384" s="68"/>
      <c r="C2384" s="50"/>
      <c r="D2384" s="15"/>
    </row>
    <row r="2385" spans="2:4" x14ac:dyDescent="0.25">
      <c r="B2385" s="68"/>
      <c r="C2385" s="50"/>
      <c r="D2385" s="15"/>
    </row>
    <row r="2386" spans="2:4" x14ac:dyDescent="0.25">
      <c r="B2386" s="68"/>
      <c r="C2386" s="50"/>
      <c r="D2386" s="15"/>
    </row>
    <row r="2387" spans="2:4" x14ac:dyDescent="0.25">
      <c r="B2387" s="68"/>
      <c r="C2387" s="50"/>
      <c r="D2387" s="15"/>
    </row>
    <row r="2388" spans="2:4" x14ac:dyDescent="0.25">
      <c r="B2388" s="68"/>
      <c r="C2388" s="50"/>
      <c r="D2388" s="15"/>
    </row>
    <row r="2389" spans="2:4" x14ac:dyDescent="0.25">
      <c r="B2389" s="68"/>
      <c r="C2389" s="50"/>
      <c r="D2389" s="15"/>
    </row>
    <row r="2390" spans="2:4" x14ac:dyDescent="0.25">
      <c r="B2390" s="68"/>
      <c r="C2390" s="50"/>
      <c r="D2390" s="15"/>
    </row>
    <row r="2391" spans="2:4" x14ac:dyDescent="0.25">
      <c r="B2391" s="68"/>
      <c r="C2391" s="50"/>
      <c r="D2391" s="15"/>
    </row>
    <row r="2392" spans="2:4" x14ac:dyDescent="0.25">
      <c r="B2392" s="68"/>
      <c r="C2392" s="50"/>
      <c r="D2392" s="15"/>
    </row>
    <row r="2393" spans="2:4" x14ac:dyDescent="0.25">
      <c r="B2393" s="68"/>
      <c r="C2393" s="50"/>
      <c r="D2393" s="15"/>
    </row>
    <row r="2394" spans="2:4" x14ac:dyDescent="0.25">
      <c r="B2394" s="68"/>
      <c r="C2394" s="50"/>
      <c r="D2394" s="15"/>
    </row>
    <row r="2395" spans="2:4" x14ac:dyDescent="0.25">
      <c r="B2395" s="68"/>
      <c r="C2395" s="50"/>
      <c r="D2395" s="15"/>
    </row>
    <row r="2396" spans="2:4" x14ac:dyDescent="0.25">
      <c r="B2396" s="68"/>
      <c r="C2396" s="50"/>
      <c r="D2396" s="15"/>
    </row>
    <row r="2397" spans="2:4" x14ac:dyDescent="0.25">
      <c r="B2397" s="68"/>
      <c r="C2397" s="50"/>
      <c r="D2397" s="15"/>
    </row>
    <row r="2398" spans="2:4" x14ac:dyDescent="0.25">
      <c r="B2398" s="68"/>
      <c r="C2398" s="50"/>
      <c r="D2398" s="15"/>
    </row>
    <row r="2399" spans="2:4" x14ac:dyDescent="0.25">
      <c r="B2399" s="68"/>
      <c r="C2399" s="50"/>
      <c r="D2399" s="15"/>
    </row>
    <row r="2400" spans="2:4" x14ac:dyDescent="0.25">
      <c r="B2400" s="68"/>
      <c r="C2400" s="50"/>
      <c r="D2400" s="15"/>
    </row>
    <row r="2401" spans="2:4" x14ac:dyDescent="0.25">
      <c r="B2401" s="68"/>
      <c r="C2401" s="50"/>
      <c r="D2401" s="15"/>
    </row>
    <row r="2402" spans="2:4" x14ac:dyDescent="0.25">
      <c r="B2402" s="68"/>
      <c r="C2402" s="50"/>
      <c r="D2402" s="15"/>
    </row>
    <row r="2403" spans="2:4" x14ac:dyDescent="0.25">
      <c r="B2403" s="68"/>
      <c r="C2403" s="50"/>
      <c r="D2403" s="15"/>
    </row>
    <row r="2404" spans="2:4" x14ac:dyDescent="0.25">
      <c r="B2404" s="68"/>
      <c r="C2404" s="50"/>
      <c r="D2404" s="15"/>
    </row>
    <row r="2405" spans="2:4" x14ac:dyDescent="0.25">
      <c r="B2405" s="68"/>
      <c r="C2405" s="50"/>
      <c r="D2405" s="15"/>
    </row>
    <row r="2406" spans="2:4" x14ac:dyDescent="0.25">
      <c r="B2406" s="68"/>
      <c r="C2406" s="50"/>
      <c r="D2406" s="15"/>
    </row>
    <row r="2407" spans="2:4" x14ac:dyDescent="0.25">
      <c r="B2407" s="68"/>
      <c r="C2407" s="50"/>
      <c r="D2407" s="15"/>
    </row>
    <row r="2408" spans="2:4" x14ac:dyDescent="0.25">
      <c r="B2408" s="68"/>
      <c r="C2408" s="50"/>
      <c r="D2408" s="15"/>
    </row>
    <row r="2409" spans="2:4" x14ac:dyDescent="0.25">
      <c r="B2409" s="68"/>
      <c r="C2409" s="50"/>
      <c r="D2409" s="15"/>
    </row>
    <row r="2410" spans="2:4" x14ac:dyDescent="0.25">
      <c r="B2410" s="68"/>
      <c r="C2410" s="50"/>
      <c r="D2410" s="15"/>
    </row>
    <row r="2411" spans="2:4" x14ac:dyDescent="0.25">
      <c r="B2411" s="68"/>
      <c r="C2411" s="50"/>
      <c r="D2411" s="15"/>
    </row>
    <row r="2412" spans="2:4" x14ac:dyDescent="0.25">
      <c r="B2412" s="68"/>
      <c r="C2412" s="50"/>
      <c r="D2412" s="15"/>
    </row>
    <row r="2413" spans="2:4" x14ac:dyDescent="0.25">
      <c r="B2413" s="68"/>
      <c r="C2413" s="50"/>
      <c r="D2413" s="15"/>
    </row>
    <row r="2414" spans="2:4" x14ac:dyDescent="0.25">
      <c r="B2414" s="68"/>
      <c r="C2414" s="50"/>
      <c r="D2414" s="15"/>
    </row>
    <row r="2415" spans="2:4" x14ac:dyDescent="0.25">
      <c r="B2415" s="68"/>
      <c r="C2415" s="50"/>
      <c r="D2415" s="15"/>
    </row>
    <row r="2416" spans="2:4" x14ac:dyDescent="0.25">
      <c r="B2416" s="68"/>
      <c r="C2416" s="50"/>
      <c r="D2416" s="15"/>
    </row>
    <row r="2417" spans="2:4" x14ac:dyDescent="0.25">
      <c r="B2417" s="68"/>
      <c r="C2417" s="50"/>
      <c r="D2417" s="15"/>
    </row>
    <row r="2418" spans="2:4" x14ac:dyDescent="0.25">
      <c r="B2418" s="68"/>
      <c r="C2418" s="50"/>
      <c r="D2418" s="15"/>
    </row>
    <row r="2419" spans="2:4" x14ac:dyDescent="0.25">
      <c r="B2419" s="68"/>
      <c r="C2419" s="50"/>
      <c r="D2419" s="15"/>
    </row>
    <row r="2420" spans="2:4" x14ac:dyDescent="0.25">
      <c r="B2420" s="68"/>
      <c r="C2420" s="50"/>
      <c r="D2420" s="15"/>
    </row>
    <row r="2421" spans="2:4" x14ac:dyDescent="0.25">
      <c r="B2421" s="68"/>
      <c r="C2421" s="50"/>
      <c r="D2421" s="15"/>
    </row>
    <row r="2422" spans="2:4" x14ac:dyDescent="0.25">
      <c r="B2422" s="68"/>
      <c r="C2422" s="50"/>
      <c r="D2422" s="15"/>
    </row>
    <row r="2423" spans="2:4" x14ac:dyDescent="0.25">
      <c r="B2423" s="68"/>
      <c r="C2423" s="50"/>
      <c r="D2423" s="15"/>
    </row>
    <row r="2424" spans="2:4" x14ac:dyDescent="0.25">
      <c r="B2424" s="68"/>
      <c r="C2424" s="50"/>
      <c r="D2424" s="15"/>
    </row>
    <row r="2425" spans="2:4" x14ac:dyDescent="0.25">
      <c r="B2425" s="68"/>
      <c r="C2425" s="50"/>
      <c r="D2425" s="15"/>
    </row>
    <row r="2426" spans="2:4" x14ac:dyDescent="0.25">
      <c r="B2426" s="68"/>
      <c r="C2426" s="50"/>
      <c r="D2426" s="15"/>
    </row>
    <row r="2427" spans="2:4" x14ac:dyDescent="0.25">
      <c r="B2427" s="68"/>
      <c r="C2427" s="50"/>
      <c r="D2427" s="15"/>
    </row>
    <row r="2428" spans="2:4" x14ac:dyDescent="0.25">
      <c r="B2428" s="68"/>
      <c r="C2428" s="50"/>
      <c r="D2428" s="15"/>
    </row>
    <row r="2429" spans="2:4" x14ac:dyDescent="0.25">
      <c r="B2429" s="68"/>
      <c r="C2429" s="50"/>
      <c r="D2429" s="15"/>
    </row>
    <row r="2430" spans="2:4" x14ac:dyDescent="0.25">
      <c r="B2430" s="68"/>
      <c r="C2430" s="50"/>
      <c r="D2430" s="15"/>
    </row>
    <row r="2431" spans="2:4" x14ac:dyDescent="0.25">
      <c r="B2431" s="68"/>
      <c r="C2431" s="50"/>
      <c r="D2431" s="15"/>
    </row>
    <row r="2432" spans="2:4" x14ac:dyDescent="0.25">
      <c r="B2432" s="68"/>
      <c r="C2432" s="50"/>
      <c r="D2432" s="15"/>
    </row>
    <row r="2433" spans="2:4" x14ac:dyDescent="0.25">
      <c r="B2433" s="68"/>
      <c r="C2433" s="50"/>
      <c r="D2433" s="15"/>
    </row>
    <row r="2434" spans="2:4" x14ac:dyDescent="0.25">
      <c r="B2434" s="68"/>
      <c r="C2434" s="50"/>
      <c r="D2434" s="15"/>
    </row>
    <row r="2435" spans="2:4" x14ac:dyDescent="0.25">
      <c r="B2435" s="68"/>
      <c r="C2435" s="50"/>
      <c r="D2435" s="15"/>
    </row>
    <row r="2436" spans="2:4" x14ac:dyDescent="0.25">
      <c r="B2436" s="68"/>
      <c r="C2436" s="50"/>
      <c r="D2436" s="15"/>
    </row>
    <row r="2437" spans="2:4" x14ac:dyDescent="0.25">
      <c r="B2437" s="68"/>
      <c r="C2437" s="50"/>
      <c r="D2437" s="15"/>
    </row>
    <row r="2438" spans="2:4" x14ac:dyDescent="0.25">
      <c r="B2438" s="68"/>
      <c r="C2438" s="50"/>
      <c r="D2438" s="15"/>
    </row>
    <row r="2439" spans="2:4" x14ac:dyDescent="0.25">
      <c r="B2439" s="68"/>
      <c r="C2439" s="50"/>
      <c r="D2439" s="15"/>
    </row>
    <row r="2440" spans="2:4" x14ac:dyDescent="0.25">
      <c r="B2440" s="68"/>
      <c r="C2440" s="50"/>
      <c r="D2440" s="15"/>
    </row>
    <row r="2441" spans="2:4" x14ac:dyDescent="0.25">
      <c r="B2441" s="68"/>
      <c r="C2441" s="50"/>
      <c r="D2441" s="15"/>
    </row>
    <row r="2442" spans="2:4" x14ac:dyDescent="0.25">
      <c r="B2442" s="68"/>
      <c r="C2442" s="50"/>
      <c r="D2442" s="15"/>
    </row>
    <row r="2443" spans="2:4" x14ac:dyDescent="0.25">
      <c r="B2443" s="68"/>
      <c r="C2443" s="50"/>
      <c r="D2443" s="15"/>
    </row>
    <row r="2444" spans="2:4" x14ac:dyDescent="0.25">
      <c r="B2444" s="68"/>
      <c r="C2444" s="50"/>
      <c r="D2444" s="15"/>
    </row>
    <row r="2445" spans="2:4" x14ac:dyDescent="0.25">
      <c r="B2445" s="68"/>
      <c r="C2445" s="50"/>
      <c r="D2445" s="15"/>
    </row>
    <row r="2446" spans="2:4" x14ac:dyDescent="0.25">
      <c r="B2446" s="68"/>
      <c r="C2446" s="50"/>
      <c r="D2446" s="15"/>
    </row>
    <row r="2447" spans="2:4" x14ac:dyDescent="0.25">
      <c r="B2447" s="68"/>
      <c r="C2447" s="50"/>
      <c r="D2447" s="15"/>
    </row>
    <row r="2448" spans="2:4" x14ac:dyDescent="0.25">
      <c r="B2448" s="68"/>
      <c r="C2448" s="50"/>
      <c r="D2448" s="15"/>
    </row>
    <row r="2449" spans="2:4" x14ac:dyDescent="0.25">
      <c r="B2449" s="68"/>
      <c r="C2449" s="50"/>
      <c r="D2449" s="15"/>
    </row>
    <row r="2450" spans="2:4" x14ac:dyDescent="0.25">
      <c r="B2450" s="68"/>
      <c r="C2450" s="50"/>
      <c r="D2450" s="15"/>
    </row>
    <row r="2451" spans="2:4" x14ac:dyDescent="0.25">
      <c r="B2451" s="68"/>
      <c r="C2451" s="50"/>
      <c r="D2451" s="15"/>
    </row>
    <row r="2452" spans="2:4" x14ac:dyDescent="0.25">
      <c r="B2452" s="68"/>
      <c r="C2452" s="50"/>
      <c r="D2452" s="15"/>
    </row>
    <row r="2453" spans="2:4" x14ac:dyDescent="0.25">
      <c r="B2453" s="68"/>
      <c r="C2453" s="50"/>
      <c r="D2453" s="15"/>
    </row>
    <row r="2454" spans="2:4" x14ac:dyDescent="0.25">
      <c r="B2454" s="68"/>
      <c r="C2454" s="50"/>
      <c r="D2454" s="15"/>
    </row>
    <row r="2455" spans="2:4" x14ac:dyDescent="0.25">
      <c r="B2455" s="68"/>
      <c r="C2455" s="50"/>
      <c r="D2455" s="15"/>
    </row>
    <row r="2456" spans="2:4" x14ac:dyDescent="0.25">
      <c r="B2456" s="68"/>
      <c r="C2456" s="50"/>
      <c r="D2456" s="15"/>
    </row>
    <row r="2457" spans="2:4" x14ac:dyDescent="0.25">
      <c r="B2457" s="68"/>
      <c r="C2457" s="50"/>
      <c r="D2457" s="15"/>
    </row>
    <row r="2458" spans="2:4" x14ac:dyDescent="0.25">
      <c r="B2458" s="68"/>
      <c r="C2458" s="50"/>
      <c r="D2458" s="15"/>
    </row>
    <row r="2459" spans="2:4" x14ac:dyDescent="0.25">
      <c r="B2459" s="68"/>
      <c r="C2459" s="50"/>
      <c r="D2459" s="15"/>
    </row>
    <row r="2460" spans="2:4" x14ac:dyDescent="0.25">
      <c r="B2460" s="68"/>
      <c r="C2460" s="50"/>
      <c r="D2460" s="15"/>
    </row>
    <row r="2461" spans="2:4" x14ac:dyDescent="0.25">
      <c r="B2461" s="68"/>
      <c r="C2461" s="50"/>
      <c r="D2461" s="15"/>
    </row>
    <row r="2462" spans="2:4" x14ac:dyDescent="0.25">
      <c r="B2462" s="68"/>
      <c r="C2462" s="50"/>
      <c r="D2462" s="15"/>
    </row>
    <row r="2463" spans="2:4" x14ac:dyDescent="0.25">
      <c r="B2463" s="68"/>
      <c r="C2463" s="50"/>
      <c r="D2463" s="15"/>
    </row>
    <row r="2464" spans="2:4" x14ac:dyDescent="0.25">
      <c r="B2464" s="68"/>
      <c r="C2464" s="50"/>
      <c r="D2464" s="15"/>
    </row>
    <row r="2465" spans="2:4" x14ac:dyDescent="0.25">
      <c r="B2465" s="68"/>
      <c r="C2465" s="50"/>
      <c r="D2465" s="15"/>
    </row>
    <row r="2466" spans="2:4" x14ac:dyDescent="0.25">
      <c r="B2466" s="68"/>
      <c r="C2466" s="50"/>
      <c r="D2466" s="15"/>
    </row>
    <row r="2467" spans="2:4" x14ac:dyDescent="0.25">
      <c r="B2467" s="68"/>
      <c r="C2467" s="50"/>
      <c r="D2467" s="15"/>
    </row>
    <row r="2468" spans="2:4" x14ac:dyDescent="0.25">
      <c r="B2468" s="68"/>
      <c r="C2468" s="50"/>
      <c r="D2468" s="15"/>
    </row>
    <row r="2469" spans="2:4" x14ac:dyDescent="0.25">
      <c r="B2469" s="68"/>
      <c r="C2469" s="50"/>
      <c r="D2469" s="15"/>
    </row>
    <row r="2470" spans="2:4" x14ac:dyDescent="0.25">
      <c r="B2470" s="68"/>
      <c r="C2470" s="50"/>
      <c r="D2470" s="15"/>
    </row>
    <row r="2471" spans="2:4" x14ac:dyDescent="0.25">
      <c r="B2471" s="68"/>
      <c r="C2471" s="50"/>
      <c r="D2471" s="15"/>
    </row>
    <row r="2472" spans="2:4" x14ac:dyDescent="0.25">
      <c r="B2472" s="68"/>
      <c r="C2472" s="50"/>
      <c r="D2472" s="15"/>
    </row>
    <row r="2473" spans="2:4" x14ac:dyDescent="0.25">
      <c r="B2473" s="68"/>
      <c r="C2473" s="50"/>
      <c r="D2473" s="15"/>
    </row>
    <row r="2474" spans="2:4" x14ac:dyDescent="0.25">
      <c r="B2474" s="68"/>
      <c r="C2474" s="50"/>
      <c r="D2474" s="15"/>
    </row>
    <row r="2475" spans="2:4" x14ac:dyDescent="0.25">
      <c r="B2475" s="68"/>
      <c r="C2475" s="50"/>
      <c r="D2475" s="15"/>
    </row>
    <row r="2476" spans="2:4" x14ac:dyDescent="0.25">
      <c r="B2476" s="68"/>
      <c r="C2476" s="50"/>
      <c r="D2476" s="15"/>
    </row>
    <row r="2477" spans="2:4" x14ac:dyDescent="0.25">
      <c r="B2477" s="68"/>
      <c r="C2477" s="50"/>
      <c r="D2477" s="15"/>
    </row>
    <row r="2478" spans="2:4" x14ac:dyDescent="0.25">
      <c r="B2478" s="68"/>
      <c r="C2478" s="50"/>
      <c r="D2478" s="15"/>
    </row>
    <row r="2479" spans="2:4" x14ac:dyDescent="0.25">
      <c r="B2479" s="68"/>
      <c r="C2479" s="50"/>
      <c r="D2479" s="15"/>
    </row>
    <row r="2480" spans="2:4" x14ac:dyDescent="0.25">
      <c r="B2480" s="68"/>
      <c r="C2480" s="50"/>
      <c r="D2480" s="15"/>
    </row>
    <row r="2481" spans="2:4" x14ac:dyDescent="0.25">
      <c r="B2481" s="68"/>
      <c r="C2481" s="50"/>
      <c r="D2481" s="15"/>
    </row>
    <row r="2482" spans="2:4" x14ac:dyDescent="0.25">
      <c r="B2482" s="68"/>
      <c r="C2482" s="50"/>
      <c r="D2482" s="15"/>
    </row>
    <row r="2483" spans="2:4" x14ac:dyDescent="0.25">
      <c r="B2483" s="68"/>
      <c r="C2483" s="50"/>
      <c r="D2483" s="15"/>
    </row>
    <row r="2484" spans="2:4" x14ac:dyDescent="0.25">
      <c r="B2484" s="68"/>
      <c r="C2484" s="50"/>
      <c r="D2484" s="15"/>
    </row>
    <row r="2485" spans="2:4" x14ac:dyDescent="0.25">
      <c r="B2485" s="68"/>
      <c r="C2485" s="50"/>
      <c r="D2485" s="15"/>
    </row>
    <row r="2486" spans="2:4" x14ac:dyDescent="0.25">
      <c r="B2486" s="68"/>
      <c r="C2486" s="50"/>
      <c r="D2486" s="15"/>
    </row>
    <row r="2487" spans="2:4" x14ac:dyDescent="0.25">
      <c r="B2487" s="68"/>
      <c r="C2487" s="50"/>
      <c r="D2487" s="15"/>
    </row>
    <row r="2488" spans="2:4" x14ac:dyDescent="0.25">
      <c r="B2488" s="68"/>
      <c r="C2488" s="50"/>
      <c r="D2488" s="15"/>
    </row>
    <row r="2489" spans="2:4" x14ac:dyDescent="0.25">
      <c r="B2489" s="68"/>
      <c r="C2489" s="50"/>
      <c r="D2489" s="15"/>
    </row>
    <row r="2490" spans="2:4" x14ac:dyDescent="0.25">
      <c r="B2490" s="68"/>
      <c r="C2490" s="50"/>
      <c r="D2490" s="15"/>
    </row>
    <row r="2491" spans="2:4" x14ac:dyDescent="0.25">
      <c r="B2491" s="68"/>
      <c r="C2491" s="50"/>
      <c r="D2491" s="15"/>
    </row>
    <row r="2492" spans="2:4" x14ac:dyDescent="0.25">
      <c r="B2492" s="68"/>
      <c r="C2492" s="50"/>
      <c r="D2492" s="15"/>
    </row>
    <row r="2493" spans="2:4" x14ac:dyDescent="0.25">
      <c r="B2493" s="68"/>
      <c r="C2493" s="50"/>
      <c r="D2493" s="15"/>
    </row>
    <row r="2494" spans="2:4" x14ac:dyDescent="0.25">
      <c r="B2494" s="68"/>
      <c r="C2494" s="50"/>
      <c r="D2494" s="15"/>
    </row>
    <row r="2495" spans="2:4" x14ac:dyDescent="0.25">
      <c r="B2495" s="68"/>
      <c r="C2495" s="50"/>
      <c r="D2495" s="15"/>
    </row>
    <row r="2496" spans="2:4" x14ac:dyDescent="0.25">
      <c r="B2496" s="68"/>
      <c r="C2496" s="50"/>
      <c r="D2496" s="15"/>
    </row>
    <row r="2497" spans="2:4" x14ac:dyDescent="0.25">
      <c r="B2497" s="68"/>
      <c r="C2497" s="50"/>
      <c r="D2497" s="15"/>
    </row>
    <row r="2498" spans="2:4" x14ac:dyDescent="0.25">
      <c r="B2498" s="68"/>
      <c r="C2498" s="50"/>
      <c r="D2498" s="15"/>
    </row>
    <row r="2499" spans="2:4" x14ac:dyDescent="0.25">
      <c r="B2499" s="68"/>
      <c r="C2499" s="50"/>
      <c r="D2499" s="15"/>
    </row>
    <row r="2500" spans="2:4" x14ac:dyDescent="0.25">
      <c r="B2500" s="68"/>
      <c r="C2500" s="50"/>
      <c r="D2500" s="15"/>
    </row>
    <row r="2501" spans="2:4" x14ac:dyDescent="0.25">
      <c r="B2501" s="68"/>
      <c r="C2501" s="50"/>
      <c r="D2501" s="15"/>
    </row>
    <row r="2502" spans="2:4" x14ac:dyDescent="0.25">
      <c r="B2502" s="68"/>
      <c r="C2502" s="50"/>
      <c r="D2502" s="15"/>
    </row>
    <row r="2503" spans="2:4" x14ac:dyDescent="0.25">
      <c r="B2503" s="68"/>
      <c r="C2503" s="50"/>
      <c r="D2503" s="15"/>
    </row>
    <row r="2504" spans="2:4" x14ac:dyDescent="0.25">
      <c r="B2504" s="68"/>
      <c r="C2504" s="50"/>
      <c r="D2504" s="15"/>
    </row>
    <row r="2505" spans="2:4" x14ac:dyDescent="0.25">
      <c r="B2505" s="68"/>
      <c r="C2505" s="50"/>
      <c r="D2505" s="15"/>
    </row>
    <row r="2506" spans="2:4" x14ac:dyDescent="0.25">
      <c r="B2506" s="68"/>
      <c r="C2506" s="50"/>
      <c r="D2506" s="15"/>
    </row>
    <row r="2507" spans="2:4" x14ac:dyDescent="0.25">
      <c r="B2507" s="68"/>
      <c r="C2507" s="50"/>
      <c r="D2507" s="15"/>
    </row>
    <row r="2508" spans="2:4" x14ac:dyDescent="0.25">
      <c r="B2508" s="68"/>
      <c r="C2508" s="50"/>
      <c r="D2508" s="15"/>
    </row>
    <row r="2509" spans="2:4" x14ac:dyDescent="0.25">
      <c r="B2509" s="68"/>
      <c r="C2509" s="50"/>
      <c r="D2509" s="15"/>
    </row>
    <row r="2510" spans="2:4" x14ac:dyDescent="0.25">
      <c r="B2510" s="68"/>
      <c r="C2510" s="50"/>
      <c r="D2510" s="15"/>
    </row>
    <row r="2511" spans="2:4" x14ac:dyDescent="0.25">
      <c r="B2511" s="68"/>
      <c r="C2511" s="50"/>
      <c r="D2511" s="15"/>
    </row>
    <row r="2512" spans="2:4" x14ac:dyDescent="0.25">
      <c r="B2512" s="68"/>
      <c r="C2512" s="50"/>
      <c r="D2512" s="15"/>
    </row>
    <row r="2513" spans="2:4" x14ac:dyDescent="0.25">
      <c r="B2513" s="68"/>
      <c r="C2513" s="50"/>
      <c r="D2513" s="15"/>
    </row>
    <row r="2514" spans="2:4" x14ac:dyDescent="0.25">
      <c r="B2514" s="68"/>
      <c r="C2514" s="50"/>
      <c r="D2514" s="15"/>
    </row>
    <row r="2515" spans="2:4" x14ac:dyDescent="0.25">
      <c r="B2515" s="68"/>
      <c r="C2515" s="50"/>
      <c r="D2515" s="15"/>
    </row>
    <row r="2516" spans="2:4" x14ac:dyDescent="0.25">
      <c r="B2516" s="68"/>
      <c r="C2516" s="50"/>
      <c r="D2516" s="15"/>
    </row>
    <row r="2517" spans="2:4" x14ac:dyDescent="0.25">
      <c r="B2517" s="68"/>
      <c r="C2517" s="50"/>
      <c r="D2517" s="15"/>
    </row>
    <row r="2518" spans="2:4" x14ac:dyDescent="0.25">
      <c r="B2518" s="68"/>
      <c r="C2518" s="50"/>
      <c r="D2518" s="15"/>
    </row>
    <row r="2519" spans="2:4" x14ac:dyDescent="0.25">
      <c r="B2519" s="68"/>
      <c r="C2519" s="50"/>
      <c r="D2519" s="15"/>
    </row>
    <row r="2520" spans="2:4" x14ac:dyDescent="0.25">
      <c r="B2520" s="68"/>
      <c r="C2520" s="50"/>
      <c r="D2520" s="15"/>
    </row>
    <row r="2521" spans="2:4" x14ac:dyDescent="0.25">
      <c r="B2521" s="68"/>
      <c r="C2521" s="50"/>
      <c r="D2521" s="15"/>
    </row>
    <row r="2522" spans="2:4" x14ac:dyDescent="0.25">
      <c r="B2522" s="68"/>
      <c r="C2522" s="50"/>
      <c r="D2522" s="15"/>
    </row>
    <row r="2523" spans="2:4" x14ac:dyDescent="0.25">
      <c r="B2523" s="68"/>
      <c r="C2523" s="50"/>
      <c r="D2523" s="15"/>
    </row>
    <row r="2524" spans="2:4" x14ac:dyDescent="0.25">
      <c r="B2524" s="68"/>
      <c r="C2524" s="50"/>
      <c r="D2524" s="15"/>
    </row>
    <row r="2525" spans="2:4" x14ac:dyDescent="0.25">
      <c r="B2525" s="68"/>
      <c r="C2525" s="50"/>
      <c r="D2525" s="15"/>
    </row>
    <row r="2526" spans="2:4" x14ac:dyDescent="0.25">
      <c r="B2526" s="68"/>
      <c r="C2526" s="50"/>
      <c r="D2526" s="15"/>
    </row>
    <row r="2527" spans="2:4" x14ac:dyDescent="0.25">
      <c r="B2527" s="68"/>
      <c r="C2527" s="50"/>
      <c r="D2527" s="15"/>
    </row>
    <row r="2528" spans="2:4" x14ac:dyDescent="0.25">
      <c r="B2528" s="68"/>
      <c r="C2528" s="50"/>
      <c r="D2528" s="15"/>
    </row>
    <row r="2529" spans="2:4" x14ac:dyDescent="0.25">
      <c r="B2529" s="68"/>
      <c r="C2529" s="50"/>
      <c r="D2529" s="15"/>
    </row>
    <row r="2530" spans="2:4" x14ac:dyDescent="0.25">
      <c r="B2530" s="68"/>
      <c r="C2530" s="50"/>
      <c r="D2530" s="15"/>
    </row>
    <row r="2531" spans="2:4" x14ac:dyDescent="0.25">
      <c r="B2531" s="68"/>
      <c r="C2531" s="50"/>
      <c r="D2531" s="15"/>
    </row>
    <row r="2532" spans="2:4" x14ac:dyDescent="0.25">
      <c r="B2532" s="68"/>
      <c r="C2532" s="50"/>
      <c r="D2532" s="15"/>
    </row>
    <row r="2533" spans="2:4" x14ac:dyDescent="0.25">
      <c r="B2533" s="68"/>
      <c r="C2533" s="50"/>
      <c r="D2533" s="15"/>
    </row>
    <row r="2534" spans="2:4" x14ac:dyDescent="0.25">
      <c r="B2534" s="68"/>
      <c r="C2534" s="50"/>
      <c r="D2534" s="15"/>
    </row>
    <row r="2535" spans="2:4" x14ac:dyDescent="0.25">
      <c r="B2535" s="68"/>
      <c r="C2535" s="50"/>
      <c r="D2535" s="15"/>
    </row>
    <row r="2536" spans="2:4" x14ac:dyDescent="0.25">
      <c r="B2536" s="68"/>
      <c r="C2536" s="50"/>
      <c r="D2536" s="15"/>
    </row>
    <row r="2537" spans="2:4" x14ac:dyDescent="0.25">
      <c r="B2537" s="68"/>
      <c r="C2537" s="50"/>
      <c r="D2537" s="15"/>
    </row>
    <row r="2538" spans="2:4" x14ac:dyDescent="0.25">
      <c r="B2538" s="68"/>
      <c r="C2538" s="50"/>
      <c r="D2538" s="15"/>
    </row>
    <row r="2539" spans="2:4" x14ac:dyDescent="0.25">
      <c r="B2539" s="68"/>
      <c r="C2539" s="50"/>
      <c r="D2539" s="15"/>
    </row>
    <row r="2540" spans="2:4" x14ac:dyDescent="0.25">
      <c r="B2540" s="68"/>
      <c r="C2540" s="50"/>
      <c r="D2540" s="15"/>
    </row>
    <row r="2541" spans="2:4" x14ac:dyDescent="0.25">
      <c r="B2541" s="68"/>
      <c r="C2541" s="50"/>
      <c r="D2541" s="15"/>
    </row>
    <row r="2542" spans="2:4" x14ac:dyDescent="0.25">
      <c r="B2542" s="68"/>
      <c r="C2542" s="50"/>
      <c r="D2542" s="15"/>
    </row>
    <row r="2543" spans="2:4" x14ac:dyDescent="0.25">
      <c r="B2543" s="68"/>
      <c r="C2543" s="50"/>
      <c r="D2543" s="15"/>
    </row>
    <row r="2544" spans="2:4" x14ac:dyDescent="0.25">
      <c r="B2544" s="68"/>
      <c r="C2544" s="50"/>
      <c r="D2544" s="15"/>
    </row>
    <row r="2545" spans="2:4" x14ac:dyDescent="0.25">
      <c r="B2545" s="68"/>
      <c r="C2545" s="50"/>
      <c r="D2545" s="15"/>
    </row>
    <row r="2546" spans="2:4" x14ac:dyDescent="0.25">
      <c r="B2546" s="68"/>
      <c r="C2546" s="50"/>
      <c r="D2546" s="15"/>
    </row>
    <row r="2547" spans="2:4" x14ac:dyDescent="0.25">
      <c r="B2547" s="68"/>
      <c r="C2547" s="50"/>
      <c r="D2547" s="15"/>
    </row>
    <row r="2548" spans="2:4" x14ac:dyDescent="0.25">
      <c r="B2548" s="68"/>
      <c r="C2548" s="50"/>
      <c r="D2548" s="15"/>
    </row>
    <row r="2549" spans="2:4" x14ac:dyDescent="0.25">
      <c r="B2549" s="68"/>
      <c r="C2549" s="50"/>
      <c r="D2549" s="15"/>
    </row>
    <row r="2550" spans="2:4" x14ac:dyDescent="0.25">
      <c r="B2550" s="68"/>
      <c r="C2550" s="50"/>
      <c r="D2550" s="15"/>
    </row>
    <row r="2551" spans="2:4" x14ac:dyDescent="0.25">
      <c r="B2551" s="68"/>
      <c r="C2551" s="50"/>
      <c r="D2551" s="15"/>
    </row>
    <row r="2552" spans="2:4" x14ac:dyDescent="0.25">
      <c r="B2552" s="68"/>
      <c r="C2552" s="50"/>
      <c r="D2552" s="15"/>
    </row>
    <row r="2553" spans="2:4" x14ac:dyDescent="0.25">
      <c r="B2553" s="68"/>
      <c r="C2553" s="50"/>
      <c r="D2553" s="15"/>
    </row>
    <row r="2554" spans="2:4" x14ac:dyDescent="0.25">
      <c r="B2554" s="68"/>
      <c r="C2554" s="50"/>
      <c r="D2554" s="15"/>
    </row>
    <row r="2555" spans="2:4" x14ac:dyDescent="0.25">
      <c r="B2555" s="68"/>
      <c r="C2555" s="50"/>
      <c r="D2555" s="15"/>
    </row>
    <row r="2556" spans="2:4" x14ac:dyDescent="0.25">
      <c r="B2556" s="68"/>
      <c r="C2556" s="50"/>
      <c r="D2556" s="15"/>
    </row>
    <row r="2557" spans="2:4" x14ac:dyDescent="0.25">
      <c r="B2557" s="68"/>
      <c r="C2557" s="50"/>
      <c r="D2557" s="15"/>
    </row>
    <row r="2558" spans="2:4" x14ac:dyDescent="0.25">
      <c r="B2558" s="68"/>
      <c r="C2558" s="50"/>
      <c r="D2558" s="15"/>
    </row>
    <row r="2559" spans="2:4" x14ac:dyDescent="0.25">
      <c r="B2559" s="68"/>
      <c r="C2559" s="50"/>
      <c r="D2559" s="15"/>
    </row>
    <row r="2560" spans="2:4" x14ac:dyDescent="0.25">
      <c r="B2560" s="68"/>
      <c r="C2560" s="50"/>
      <c r="D2560" s="15"/>
    </row>
    <row r="2561" spans="2:4" x14ac:dyDescent="0.25">
      <c r="B2561" s="68"/>
      <c r="C2561" s="50"/>
      <c r="D2561" s="15"/>
    </row>
    <row r="2562" spans="2:4" x14ac:dyDescent="0.25">
      <c r="B2562" s="68"/>
      <c r="C2562" s="50"/>
      <c r="D2562" s="15"/>
    </row>
    <row r="2563" spans="2:4" x14ac:dyDescent="0.25">
      <c r="B2563" s="68"/>
      <c r="C2563" s="50"/>
      <c r="D2563" s="15"/>
    </row>
    <row r="2564" spans="2:4" x14ac:dyDescent="0.25">
      <c r="B2564" s="68"/>
      <c r="C2564" s="50"/>
      <c r="D2564" s="15"/>
    </row>
    <row r="2565" spans="2:4" x14ac:dyDescent="0.25">
      <c r="B2565" s="68"/>
      <c r="C2565" s="50"/>
      <c r="D2565" s="15"/>
    </row>
    <row r="2566" spans="2:4" x14ac:dyDescent="0.25">
      <c r="B2566" s="68"/>
      <c r="C2566" s="50"/>
      <c r="D2566" s="15"/>
    </row>
    <row r="2567" spans="2:4" x14ac:dyDescent="0.25">
      <c r="B2567" s="68"/>
      <c r="C2567" s="50"/>
      <c r="D2567" s="15"/>
    </row>
    <row r="2568" spans="2:4" x14ac:dyDescent="0.25">
      <c r="B2568" s="68"/>
      <c r="C2568" s="50"/>
      <c r="D2568" s="15"/>
    </row>
    <row r="2569" spans="2:4" x14ac:dyDescent="0.25">
      <c r="B2569" s="68"/>
      <c r="C2569" s="50"/>
      <c r="D2569" s="15"/>
    </row>
    <row r="2570" spans="2:4" x14ac:dyDescent="0.25">
      <c r="B2570" s="68"/>
      <c r="C2570" s="50"/>
      <c r="D2570" s="15"/>
    </row>
    <row r="2571" spans="2:4" x14ac:dyDescent="0.25">
      <c r="B2571" s="68"/>
      <c r="C2571" s="50"/>
      <c r="D2571" s="15"/>
    </row>
    <row r="2572" spans="2:4" x14ac:dyDescent="0.25">
      <c r="B2572" s="68"/>
      <c r="C2572" s="50"/>
      <c r="D2572" s="15"/>
    </row>
    <row r="2573" spans="2:4" x14ac:dyDescent="0.25">
      <c r="B2573" s="68"/>
      <c r="C2573" s="50"/>
      <c r="D2573" s="15"/>
    </row>
    <row r="2574" spans="2:4" x14ac:dyDescent="0.25">
      <c r="B2574" s="68"/>
      <c r="C2574" s="50"/>
      <c r="D2574" s="15"/>
    </row>
    <row r="2575" spans="2:4" x14ac:dyDescent="0.25">
      <c r="B2575" s="68"/>
      <c r="C2575" s="50"/>
      <c r="D2575" s="15"/>
    </row>
    <row r="2576" spans="2:4" x14ac:dyDescent="0.25">
      <c r="B2576" s="68"/>
      <c r="C2576" s="50"/>
      <c r="D2576" s="15"/>
    </row>
    <row r="2577" spans="2:4" x14ac:dyDescent="0.25">
      <c r="B2577" s="68"/>
      <c r="C2577" s="50"/>
      <c r="D2577" s="15"/>
    </row>
    <row r="2578" spans="2:4" x14ac:dyDescent="0.25">
      <c r="B2578" s="68"/>
      <c r="C2578" s="50"/>
      <c r="D2578" s="15"/>
    </row>
    <row r="2579" spans="2:4" x14ac:dyDescent="0.25">
      <c r="B2579" s="68"/>
      <c r="C2579" s="50"/>
      <c r="D2579" s="15"/>
    </row>
    <row r="2580" spans="2:4" x14ac:dyDescent="0.25">
      <c r="B2580" s="68"/>
      <c r="C2580" s="50"/>
      <c r="D2580" s="15"/>
    </row>
    <row r="2581" spans="2:4" x14ac:dyDescent="0.25">
      <c r="B2581" s="68"/>
      <c r="C2581" s="50"/>
      <c r="D2581" s="15"/>
    </row>
    <row r="2582" spans="2:4" x14ac:dyDescent="0.25">
      <c r="B2582" s="68"/>
      <c r="C2582" s="50"/>
      <c r="D2582" s="15"/>
    </row>
    <row r="2583" spans="2:4" x14ac:dyDescent="0.25">
      <c r="B2583" s="68"/>
      <c r="C2583" s="50"/>
      <c r="D2583" s="15"/>
    </row>
    <row r="2584" spans="2:4" x14ac:dyDescent="0.25">
      <c r="B2584" s="68"/>
      <c r="C2584" s="50"/>
      <c r="D2584" s="15"/>
    </row>
    <row r="2585" spans="2:4" x14ac:dyDescent="0.25">
      <c r="B2585" s="68"/>
      <c r="C2585" s="50"/>
      <c r="D2585" s="15"/>
    </row>
    <row r="2586" spans="2:4" x14ac:dyDescent="0.25">
      <c r="B2586" s="68"/>
      <c r="C2586" s="50"/>
      <c r="D2586" s="15"/>
    </row>
    <row r="2587" spans="2:4" x14ac:dyDescent="0.25">
      <c r="B2587" s="68"/>
      <c r="C2587" s="50"/>
      <c r="D2587" s="15"/>
    </row>
    <row r="2588" spans="2:4" x14ac:dyDescent="0.25">
      <c r="B2588" s="68"/>
      <c r="C2588" s="50"/>
      <c r="D2588" s="15"/>
    </row>
    <row r="2589" spans="2:4" x14ac:dyDescent="0.25">
      <c r="B2589" s="68"/>
      <c r="C2589" s="50"/>
      <c r="D2589" s="15"/>
    </row>
    <row r="2590" spans="2:4" x14ac:dyDescent="0.25">
      <c r="B2590" s="68"/>
      <c r="C2590" s="50"/>
      <c r="D2590" s="15"/>
    </row>
    <row r="2591" spans="2:4" x14ac:dyDescent="0.25">
      <c r="B2591" s="68"/>
      <c r="C2591" s="50"/>
      <c r="D2591" s="15"/>
    </row>
    <row r="2592" spans="2:4" x14ac:dyDescent="0.25">
      <c r="B2592" s="68"/>
      <c r="C2592" s="50"/>
      <c r="D2592" s="15"/>
    </row>
    <row r="2593" spans="2:4" x14ac:dyDescent="0.25">
      <c r="B2593" s="68"/>
      <c r="C2593" s="50"/>
      <c r="D2593" s="15"/>
    </row>
    <row r="2594" spans="2:4" x14ac:dyDescent="0.25">
      <c r="B2594" s="68"/>
      <c r="C2594" s="50"/>
      <c r="D2594" s="15"/>
    </row>
    <row r="2595" spans="2:4" x14ac:dyDescent="0.25">
      <c r="B2595" s="68"/>
      <c r="C2595" s="50"/>
      <c r="D2595" s="15"/>
    </row>
    <row r="2596" spans="2:4" x14ac:dyDescent="0.25">
      <c r="B2596" s="68"/>
      <c r="C2596" s="50"/>
      <c r="D2596" s="15"/>
    </row>
    <row r="2597" spans="2:4" x14ac:dyDescent="0.25">
      <c r="B2597" s="68"/>
      <c r="C2597" s="50"/>
      <c r="D2597" s="15"/>
    </row>
    <row r="2598" spans="2:4" x14ac:dyDescent="0.25">
      <c r="B2598" s="68"/>
      <c r="C2598" s="50"/>
      <c r="D2598" s="15"/>
    </row>
    <row r="2599" spans="2:4" x14ac:dyDescent="0.25">
      <c r="B2599" s="68"/>
      <c r="C2599" s="50"/>
      <c r="D2599" s="15"/>
    </row>
    <row r="2600" spans="2:4" x14ac:dyDescent="0.25">
      <c r="B2600" s="68"/>
      <c r="C2600" s="50"/>
      <c r="D2600" s="15"/>
    </row>
    <row r="2601" spans="2:4" x14ac:dyDescent="0.25">
      <c r="B2601" s="68"/>
      <c r="C2601" s="50"/>
      <c r="D2601" s="15"/>
    </row>
    <row r="2602" spans="2:4" x14ac:dyDescent="0.25">
      <c r="B2602" s="68"/>
      <c r="C2602" s="50"/>
      <c r="D2602" s="15"/>
    </row>
    <row r="2603" spans="2:4" x14ac:dyDescent="0.25">
      <c r="B2603" s="68"/>
      <c r="C2603" s="50"/>
      <c r="D2603" s="15"/>
    </row>
    <row r="2604" spans="2:4" x14ac:dyDescent="0.25">
      <c r="B2604" s="68"/>
      <c r="C2604" s="50"/>
      <c r="D2604" s="15"/>
    </row>
    <row r="2605" spans="2:4" x14ac:dyDescent="0.25">
      <c r="B2605" s="68"/>
      <c r="C2605" s="50"/>
      <c r="D2605" s="15"/>
    </row>
    <row r="2606" spans="2:4" x14ac:dyDescent="0.25">
      <c r="B2606" s="68"/>
      <c r="C2606" s="50"/>
      <c r="D2606" s="15"/>
    </row>
    <row r="2607" spans="2:4" x14ac:dyDescent="0.25">
      <c r="B2607" s="68"/>
      <c r="C2607" s="50"/>
      <c r="D2607" s="15"/>
    </row>
    <row r="2608" spans="2:4" x14ac:dyDescent="0.25">
      <c r="B2608" s="68"/>
      <c r="C2608" s="50"/>
      <c r="D2608" s="15"/>
    </row>
    <row r="2609" spans="2:4" x14ac:dyDescent="0.25">
      <c r="B2609" s="68"/>
      <c r="C2609" s="50"/>
      <c r="D2609" s="15"/>
    </row>
    <row r="2610" spans="2:4" x14ac:dyDescent="0.25">
      <c r="B2610" s="68"/>
      <c r="C2610" s="50"/>
      <c r="D2610" s="15"/>
    </row>
    <row r="2611" spans="2:4" x14ac:dyDescent="0.25">
      <c r="B2611" s="68"/>
      <c r="C2611" s="50"/>
      <c r="D2611" s="15"/>
    </row>
    <row r="2612" spans="2:4" x14ac:dyDescent="0.25">
      <c r="B2612" s="68"/>
      <c r="C2612" s="50"/>
      <c r="D2612" s="15"/>
    </row>
    <row r="2613" spans="2:4" x14ac:dyDescent="0.25">
      <c r="B2613" s="68"/>
      <c r="C2613" s="50"/>
      <c r="D2613" s="15"/>
    </row>
    <row r="2614" spans="2:4" x14ac:dyDescent="0.25">
      <c r="B2614" s="68"/>
      <c r="C2614" s="50"/>
      <c r="D2614" s="15"/>
    </row>
    <row r="2615" spans="2:4" x14ac:dyDescent="0.25">
      <c r="B2615" s="68"/>
      <c r="C2615" s="50"/>
      <c r="D2615" s="15"/>
    </row>
    <row r="2616" spans="2:4" x14ac:dyDescent="0.25">
      <c r="B2616" s="68"/>
      <c r="C2616" s="50"/>
      <c r="D2616" s="15"/>
    </row>
    <row r="2617" spans="2:4" x14ac:dyDescent="0.25">
      <c r="B2617" s="68"/>
      <c r="C2617" s="50"/>
      <c r="D2617" s="15"/>
    </row>
    <row r="2618" spans="2:4" x14ac:dyDescent="0.25">
      <c r="B2618" s="68"/>
      <c r="C2618" s="50"/>
      <c r="D2618" s="15"/>
    </row>
    <row r="2619" spans="2:4" x14ac:dyDescent="0.25">
      <c r="B2619" s="68"/>
      <c r="C2619" s="50"/>
      <c r="D2619" s="15"/>
    </row>
    <row r="2620" spans="2:4" x14ac:dyDescent="0.25">
      <c r="B2620" s="68"/>
      <c r="C2620" s="50"/>
      <c r="D2620" s="15"/>
    </row>
    <row r="2621" spans="2:4" x14ac:dyDescent="0.25">
      <c r="B2621" s="68"/>
      <c r="C2621" s="50"/>
      <c r="D2621" s="15"/>
    </row>
    <row r="2622" spans="2:4" x14ac:dyDescent="0.25">
      <c r="B2622" s="68"/>
      <c r="C2622" s="50"/>
      <c r="D2622" s="15"/>
    </row>
    <row r="2623" spans="2:4" x14ac:dyDescent="0.25">
      <c r="B2623" s="68"/>
      <c r="C2623" s="50"/>
      <c r="D2623" s="15"/>
    </row>
    <row r="2624" spans="2:4" x14ac:dyDescent="0.25">
      <c r="B2624" s="68"/>
      <c r="C2624" s="50"/>
      <c r="D2624" s="15"/>
    </row>
    <row r="2625" spans="2:4" x14ac:dyDescent="0.25">
      <c r="B2625" s="68"/>
      <c r="C2625" s="50"/>
      <c r="D2625" s="15"/>
    </row>
    <row r="2626" spans="2:4" x14ac:dyDescent="0.25">
      <c r="B2626" s="68"/>
      <c r="C2626" s="50"/>
      <c r="D2626" s="15"/>
    </row>
    <row r="2627" spans="2:4" x14ac:dyDescent="0.25">
      <c r="B2627" s="68"/>
      <c r="C2627" s="50"/>
      <c r="D2627" s="15"/>
    </row>
    <row r="2628" spans="2:4" x14ac:dyDescent="0.25">
      <c r="B2628" s="68"/>
      <c r="C2628" s="50"/>
      <c r="D2628" s="15"/>
    </row>
    <row r="2629" spans="2:4" x14ac:dyDescent="0.25">
      <c r="B2629" s="68"/>
      <c r="C2629" s="50"/>
      <c r="D2629" s="15"/>
    </row>
    <row r="2630" spans="2:4" x14ac:dyDescent="0.25">
      <c r="B2630" s="68"/>
      <c r="C2630" s="50"/>
      <c r="D2630" s="15"/>
    </row>
    <row r="2631" spans="2:4" x14ac:dyDescent="0.25">
      <c r="B2631" s="68"/>
      <c r="C2631" s="50"/>
      <c r="D2631" s="15"/>
    </row>
    <row r="2632" spans="2:4" x14ac:dyDescent="0.25">
      <c r="B2632" s="68"/>
      <c r="C2632" s="50"/>
      <c r="D2632" s="15"/>
    </row>
    <row r="2633" spans="2:4" x14ac:dyDescent="0.25">
      <c r="B2633" s="68"/>
      <c r="C2633" s="50"/>
      <c r="D2633" s="15"/>
    </row>
    <row r="2634" spans="2:4" x14ac:dyDescent="0.25">
      <c r="B2634" s="68"/>
      <c r="C2634" s="50"/>
      <c r="D2634" s="15"/>
    </row>
    <row r="2635" spans="2:4" x14ac:dyDescent="0.25">
      <c r="B2635" s="68"/>
      <c r="C2635" s="50"/>
      <c r="D2635" s="15"/>
    </row>
    <row r="2636" spans="2:4" x14ac:dyDescent="0.25">
      <c r="B2636" s="68"/>
      <c r="C2636" s="50"/>
      <c r="D2636" s="15"/>
    </row>
    <row r="2637" spans="2:4" x14ac:dyDescent="0.25">
      <c r="B2637" s="68"/>
      <c r="C2637" s="50"/>
      <c r="D2637" s="15"/>
    </row>
    <row r="2638" spans="2:4" x14ac:dyDescent="0.25">
      <c r="B2638" s="68"/>
      <c r="C2638" s="50"/>
      <c r="D2638" s="15"/>
    </row>
    <row r="2639" spans="2:4" x14ac:dyDescent="0.25">
      <c r="B2639" s="68"/>
      <c r="C2639" s="50"/>
      <c r="D2639" s="15"/>
    </row>
    <row r="2640" spans="2:4" x14ac:dyDescent="0.25">
      <c r="B2640" s="68"/>
      <c r="C2640" s="50"/>
      <c r="D2640" s="15"/>
    </row>
    <row r="2641" spans="2:4" x14ac:dyDescent="0.25">
      <c r="B2641" s="68"/>
      <c r="C2641" s="50"/>
      <c r="D2641" s="15"/>
    </row>
    <row r="2642" spans="2:4" x14ac:dyDescent="0.25">
      <c r="B2642" s="68"/>
      <c r="C2642" s="50"/>
      <c r="D2642" s="15"/>
    </row>
    <row r="2643" spans="2:4" x14ac:dyDescent="0.25">
      <c r="B2643" s="68"/>
      <c r="C2643" s="50"/>
      <c r="D2643" s="15"/>
    </row>
    <row r="2644" spans="2:4" x14ac:dyDescent="0.25">
      <c r="B2644" s="68"/>
      <c r="C2644" s="50"/>
      <c r="D2644" s="15"/>
    </row>
    <row r="2645" spans="2:4" x14ac:dyDescent="0.25">
      <c r="B2645" s="68"/>
      <c r="C2645" s="50"/>
      <c r="D2645" s="15"/>
    </row>
    <row r="2646" spans="2:4" x14ac:dyDescent="0.25">
      <c r="B2646" s="68"/>
      <c r="C2646" s="50"/>
      <c r="D2646" s="15"/>
    </row>
    <row r="2647" spans="2:4" x14ac:dyDescent="0.25">
      <c r="B2647" s="68"/>
      <c r="C2647" s="50"/>
      <c r="D2647" s="15"/>
    </row>
    <row r="2648" spans="2:4" x14ac:dyDescent="0.25">
      <c r="B2648" s="68"/>
      <c r="C2648" s="50"/>
      <c r="D2648" s="15"/>
    </row>
    <row r="2649" spans="2:4" x14ac:dyDescent="0.25">
      <c r="B2649" s="68"/>
      <c r="C2649" s="50"/>
      <c r="D2649" s="15"/>
    </row>
    <row r="2650" spans="2:4" x14ac:dyDescent="0.25">
      <c r="B2650" s="68"/>
      <c r="C2650" s="50"/>
      <c r="D2650" s="15"/>
    </row>
    <row r="2651" spans="2:4" x14ac:dyDescent="0.25">
      <c r="B2651" s="68"/>
      <c r="C2651" s="50"/>
      <c r="D2651" s="15"/>
    </row>
    <row r="2652" spans="2:4" x14ac:dyDescent="0.25">
      <c r="B2652" s="68"/>
      <c r="C2652" s="50"/>
      <c r="D2652" s="15"/>
    </row>
    <row r="2653" spans="2:4" x14ac:dyDescent="0.25">
      <c r="B2653" s="68"/>
      <c r="C2653" s="50"/>
      <c r="D2653" s="15"/>
    </row>
    <row r="2654" spans="2:4" x14ac:dyDescent="0.25">
      <c r="B2654" s="68"/>
      <c r="C2654" s="50"/>
      <c r="D2654" s="15"/>
    </row>
    <row r="2655" spans="2:4" x14ac:dyDescent="0.25">
      <c r="B2655" s="68"/>
      <c r="C2655" s="50"/>
      <c r="D2655" s="15"/>
    </row>
    <row r="2656" spans="2:4" x14ac:dyDescent="0.25">
      <c r="B2656" s="68"/>
      <c r="C2656" s="50"/>
      <c r="D2656" s="15"/>
    </row>
    <row r="2657" spans="2:4" x14ac:dyDescent="0.25">
      <c r="B2657" s="68"/>
      <c r="C2657" s="50"/>
      <c r="D2657" s="15"/>
    </row>
    <row r="2658" spans="2:4" x14ac:dyDescent="0.25">
      <c r="B2658" s="68"/>
      <c r="C2658" s="50"/>
      <c r="D2658" s="15"/>
    </row>
    <row r="2659" spans="2:4" x14ac:dyDescent="0.25">
      <c r="B2659" s="68"/>
      <c r="C2659" s="50"/>
      <c r="D2659" s="15"/>
    </row>
    <row r="2660" spans="2:4" x14ac:dyDescent="0.25">
      <c r="B2660" s="68"/>
      <c r="C2660" s="50"/>
      <c r="D2660" s="15"/>
    </row>
    <row r="2661" spans="2:4" x14ac:dyDescent="0.25">
      <c r="B2661" s="68"/>
      <c r="C2661" s="50"/>
      <c r="D2661" s="15"/>
    </row>
    <row r="2662" spans="2:4" x14ac:dyDescent="0.25">
      <c r="B2662" s="68"/>
      <c r="C2662" s="50"/>
      <c r="D2662" s="15"/>
    </row>
    <row r="2663" spans="2:4" x14ac:dyDescent="0.25">
      <c r="B2663" s="68"/>
      <c r="C2663" s="50"/>
      <c r="D2663" s="15"/>
    </row>
    <row r="2664" spans="2:4" x14ac:dyDescent="0.25">
      <c r="B2664" s="68"/>
      <c r="C2664" s="50"/>
      <c r="D2664" s="15"/>
    </row>
    <row r="2665" spans="2:4" x14ac:dyDescent="0.25">
      <c r="B2665" s="68"/>
      <c r="C2665" s="50"/>
      <c r="D2665" s="15"/>
    </row>
    <row r="2666" spans="2:4" x14ac:dyDescent="0.25">
      <c r="B2666" s="68"/>
      <c r="C2666" s="50"/>
      <c r="D2666" s="15"/>
    </row>
    <row r="2667" spans="2:4" x14ac:dyDescent="0.25">
      <c r="B2667" s="68"/>
      <c r="C2667" s="50"/>
      <c r="D2667" s="15"/>
    </row>
    <row r="2668" spans="2:4" x14ac:dyDescent="0.25">
      <c r="B2668" s="68"/>
      <c r="C2668" s="50"/>
      <c r="D2668" s="15"/>
    </row>
    <row r="2669" spans="2:4" x14ac:dyDescent="0.25">
      <c r="B2669" s="68"/>
      <c r="C2669" s="50"/>
      <c r="D2669" s="15"/>
    </row>
    <row r="2670" spans="2:4" x14ac:dyDescent="0.25">
      <c r="B2670" s="68"/>
      <c r="C2670" s="50"/>
      <c r="D2670" s="15"/>
    </row>
    <row r="2671" spans="2:4" x14ac:dyDescent="0.25">
      <c r="B2671" s="68"/>
      <c r="C2671" s="50"/>
      <c r="D2671" s="15"/>
    </row>
    <row r="2672" spans="2:4" x14ac:dyDescent="0.25">
      <c r="B2672" s="68"/>
      <c r="C2672" s="50"/>
      <c r="D2672" s="15"/>
    </row>
    <row r="2673" spans="2:4" x14ac:dyDescent="0.25">
      <c r="B2673" s="68"/>
      <c r="C2673" s="50"/>
      <c r="D2673" s="15"/>
    </row>
    <row r="2674" spans="2:4" x14ac:dyDescent="0.25">
      <c r="B2674" s="68"/>
      <c r="C2674" s="50"/>
      <c r="D2674" s="15"/>
    </row>
    <row r="2675" spans="2:4" x14ac:dyDescent="0.25">
      <c r="B2675" s="68"/>
      <c r="C2675" s="50"/>
      <c r="D2675" s="15"/>
    </row>
    <row r="2676" spans="2:4" x14ac:dyDescent="0.25">
      <c r="B2676" s="68"/>
      <c r="C2676" s="50"/>
      <c r="D2676" s="15"/>
    </row>
    <row r="2677" spans="2:4" x14ac:dyDescent="0.25">
      <c r="B2677" s="68"/>
      <c r="C2677" s="50"/>
      <c r="D2677" s="15"/>
    </row>
    <row r="2678" spans="2:4" x14ac:dyDescent="0.25">
      <c r="B2678" s="68"/>
      <c r="C2678" s="50"/>
      <c r="D2678" s="15"/>
    </row>
    <row r="2679" spans="2:4" x14ac:dyDescent="0.25">
      <c r="B2679" s="68"/>
      <c r="C2679" s="50"/>
      <c r="D2679" s="15"/>
    </row>
    <row r="2680" spans="2:4" x14ac:dyDescent="0.25">
      <c r="B2680" s="68"/>
      <c r="C2680" s="50"/>
      <c r="D2680" s="15"/>
    </row>
    <row r="2681" spans="2:4" x14ac:dyDescent="0.25">
      <c r="B2681" s="68"/>
      <c r="C2681" s="50"/>
      <c r="D2681" s="15"/>
    </row>
    <row r="2682" spans="2:4" x14ac:dyDescent="0.25">
      <c r="B2682" s="68"/>
      <c r="C2682" s="50"/>
      <c r="D2682" s="15"/>
    </row>
    <row r="2683" spans="2:4" x14ac:dyDescent="0.25">
      <c r="B2683" s="68"/>
      <c r="C2683" s="50"/>
      <c r="D2683" s="15"/>
    </row>
    <row r="2684" spans="2:4" x14ac:dyDescent="0.25">
      <c r="B2684" s="68"/>
      <c r="C2684" s="50"/>
      <c r="D2684" s="15"/>
    </row>
    <row r="2685" spans="2:4" x14ac:dyDescent="0.25">
      <c r="B2685" s="68"/>
      <c r="C2685" s="50"/>
      <c r="D2685" s="15"/>
    </row>
    <row r="2686" spans="2:4" x14ac:dyDescent="0.25">
      <c r="B2686" s="68"/>
      <c r="C2686" s="50"/>
      <c r="D2686" s="15"/>
    </row>
    <row r="2687" spans="2:4" x14ac:dyDescent="0.25">
      <c r="B2687" s="68"/>
      <c r="C2687" s="50"/>
      <c r="D2687" s="15"/>
    </row>
    <row r="2688" spans="2:4" x14ac:dyDescent="0.25">
      <c r="B2688" s="68"/>
      <c r="C2688" s="50"/>
      <c r="D2688" s="15"/>
    </row>
    <row r="2689" spans="2:4" x14ac:dyDescent="0.25">
      <c r="B2689" s="68"/>
      <c r="C2689" s="50"/>
      <c r="D2689" s="15"/>
    </row>
    <row r="2690" spans="2:4" x14ac:dyDescent="0.25">
      <c r="B2690" s="68"/>
      <c r="C2690" s="50"/>
      <c r="D2690" s="15"/>
    </row>
    <row r="2691" spans="2:4" x14ac:dyDescent="0.25">
      <c r="B2691" s="68"/>
      <c r="C2691" s="50"/>
      <c r="D2691" s="15"/>
    </row>
    <row r="2692" spans="2:4" x14ac:dyDescent="0.25">
      <c r="B2692" s="68"/>
      <c r="C2692" s="50"/>
      <c r="D2692" s="15"/>
    </row>
    <row r="2693" spans="2:4" x14ac:dyDescent="0.25">
      <c r="B2693" s="68"/>
      <c r="C2693" s="50"/>
      <c r="D2693" s="15"/>
    </row>
    <row r="2694" spans="2:4" x14ac:dyDescent="0.25">
      <c r="B2694" s="68"/>
      <c r="C2694" s="50"/>
      <c r="D2694" s="15"/>
    </row>
    <row r="2695" spans="2:4" x14ac:dyDescent="0.25">
      <c r="B2695" s="68"/>
      <c r="C2695" s="50"/>
      <c r="D2695" s="15"/>
    </row>
    <row r="2696" spans="2:4" x14ac:dyDescent="0.25">
      <c r="B2696" s="68"/>
      <c r="C2696" s="50"/>
      <c r="D2696" s="15"/>
    </row>
    <row r="2697" spans="2:4" x14ac:dyDescent="0.25">
      <c r="B2697" s="68"/>
      <c r="C2697" s="50"/>
      <c r="D2697" s="15"/>
    </row>
    <row r="2698" spans="2:4" x14ac:dyDescent="0.25">
      <c r="B2698" s="68"/>
      <c r="C2698" s="50"/>
      <c r="D2698" s="15"/>
    </row>
    <row r="2699" spans="2:4" x14ac:dyDescent="0.25">
      <c r="B2699" s="68"/>
      <c r="C2699" s="50"/>
      <c r="D2699" s="15"/>
    </row>
    <row r="2700" spans="2:4" x14ac:dyDescent="0.25">
      <c r="B2700" s="68"/>
      <c r="C2700" s="50"/>
      <c r="D2700" s="15"/>
    </row>
    <row r="2701" spans="2:4" x14ac:dyDescent="0.25">
      <c r="B2701" s="68"/>
      <c r="C2701" s="50"/>
      <c r="D2701" s="15"/>
    </row>
    <row r="2702" spans="2:4" x14ac:dyDescent="0.25">
      <c r="B2702" s="68"/>
      <c r="C2702" s="50"/>
      <c r="D2702" s="15"/>
    </row>
    <row r="2703" spans="2:4" x14ac:dyDescent="0.25">
      <c r="B2703" s="68"/>
      <c r="C2703" s="50"/>
      <c r="D2703" s="15"/>
    </row>
    <row r="2704" spans="2:4" x14ac:dyDescent="0.25">
      <c r="B2704" s="68"/>
      <c r="C2704" s="50"/>
      <c r="D2704" s="15"/>
    </row>
    <row r="2705" spans="2:4" x14ac:dyDescent="0.25">
      <c r="B2705" s="68"/>
      <c r="C2705" s="50"/>
      <c r="D2705" s="15"/>
    </row>
    <row r="2706" spans="2:4" x14ac:dyDescent="0.25">
      <c r="B2706" s="68"/>
      <c r="C2706" s="50"/>
      <c r="D2706" s="15"/>
    </row>
    <row r="2707" spans="2:4" x14ac:dyDescent="0.25">
      <c r="B2707" s="68"/>
      <c r="C2707" s="50"/>
      <c r="D2707" s="15"/>
    </row>
    <row r="2708" spans="2:4" x14ac:dyDescent="0.25">
      <c r="B2708" s="68"/>
      <c r="C2708" s="50"/>
      <c r="D2708" s="15"/>
    </row>
    <row r="2709" spans="2:4" x14ac:dyDescent="0.25">
      <c r="B2709" s="68"/>
      <c r="C2709" s="50"/>
      <c r="D2709" s="15"/>
    </row>
    <row r="2710" spans="2:4" x14ac:dyDescent="0.25">
      <c r="B2710" s="68"/>
      <c r="C2710" s="50"/>
      <c r="D2710" s="15"/>
    </row>
    <row r="2711" spans="2:4" x14ac:dyDescent="0.25">
      <c r="B2711" s="68"/>
      <c r="C2711" s="50"/>
      <c r="D2711" s="15"/>
    </row>
    <row r="2712" spans="2:4" x14ac:dyDescent="0.25">
      <c r="B2712" s="68"/>
      <c r="C2712" s="50"/>
      <c r="D2712" s="15"/>
    </row>
    <row r="2713" spans="2:4" x14ac:dyDescent="0.25">
      <c r="B2713" s="68"/>
      <c r="C2713" s="50"/>
      <c r="D2713" s="15"/>
    </row>
    <row r="2714" spans="2:4" x14ac:dyDescent="0.25">
      <c r="B2714" s="68"/>
      <c r="C2714" s="50"/>
      <c r="D2714" s="15"/>
    </row>
    <row r="2715" spans="2:4" x14ac:dyDescent="0.25">
      <c r="B2715" s="68"/>
      <c r="C2715" s="50"/>
      <c r="D2715" s="15"/>
    </row>
    <row r="2716" spans="2:4" x14ac:dyDescent="0.25">
      <c r="B2716" s="68"/>
      <c r="C2716" s="50"/>
      <c r="D2716" s="15"/>
    </row>
    <row r="2717" spans="2:4" x14ac:dyDescent="0.25">
      <c r="B2717" s="68"/>
      <c r="C2717" s="50"/>
      <c r="D2717" s="15"/>
    </row>
    <row r="2718" spans="2:4" x14ac:dyDescent="0.25">
      <c r="B2718" s="68"/>
      <c r="C2718" s="50"/>
      <c r="D2718" s="15"/>
    </row>
    <row r="2719" spans="2:4" x14ac:dyDescent="0.25">
      <c r="B2719" s="68"/>
      <c r="C2719" s="50"/>
      <c r="D2719" s="15"/>
    </row>
    <row r="2720" spans="2:4" x14ac:dyDescent="0.25">
      <c r="B2720" s="68"/>
      <c r="C2720" s="50"/>
      <c r="D2720" s="15"/>
    </row>
    <row r="2721" spans="2:4" x14ac:dyDescent="0.25">
      <c r="B2721" s="68"/>
      <c r="C2721" s="50"/>
      <c r="D2721" s="15"/>
    </row>
    <row r="2722" spans="2:4" x14ac:dyDescent="0.25">
      <c r="B2722" s="68"/>
      <c r="C2722" s="50"/>
      <c r="D2722" s="15"/>
    </row>
    <row r="2723" spans="2:4" x14ac:dyDescent="0.25">
      <c r="B2723" s="68"/>
      <c r="C2723" s="50"/>
      <c r="D2723" s="15"/>
    </row>
    <row r="2724" spans="2:4" x14ac:dyDescent="0.25">
      <c r="B2724" s="68"/>
      <c r="C2724" s="50"/>
      <c r="D2724" s="15"/>
    </row>
    <row r="2725" spans="2:4" x14ac:dyDescent="0.25">
      <c r="B2725" s="68"/>
      <c r="C2725" s="50"/>
      <c r="D2725" s="15"/>
    </row>
    <row r="2726" spans="2:4" x14ac:dyDescent="0.25">
      <c r="B2726" s="68"/>
      <c r="C2726" s="50"/>
      <c r="D2726" s="15"/>
    </row>
    <row r="2727" spans="2:4" x14ac:dyDescent="0.25">
      <c r="B2727" s="68"/>
      <c r="C2727" s="50"/>
      <c r="D2727" s="15"/>
    </row>
    <row r="2728" spans="2:4" x14ac:dyDescent="0.25">
      <c r="B2728" s="68"/>
      <c r="C2728" s="50"/>
      <c r="D2728" s="15"/>
    </row>
    <row r="2729" spans="2:4" x14ac:dyDescent="0.25">
      <c r="B2729" s="68"/>
      <c r="C2729" s="50"/>
      <c r="D2729" s="15"/>
    </row>
    <row r="2730" spans="2:4" x14ac:dyDescent="0.25">
      <c r="B2730" s="68"/>
      <c r="C2730" s="50"/>
      <c r="D2730" s="15"/>
    </row>
    <row r="2731" spans="2:4" x14ac:dyDescent="0.25">
      <c r="B2731" s="68"/>
      <c r="C2731" s="50"/>
      <c r="D2731" s="15"/>
    </row>
    <row r="2732" spans="2:4" x14ac:dyDescent="0.25">
      <c r="B2732" s="68"/>
      <c r="C2732" s="50"/>
      <c r="D2732" s="15"/>
    </row>
    <row r="2733" spans="2:4" x14ac:dyDescent="0.25">
      <c r="B2733" s="68"/>
      <c r="C2733" s="50"/>
      <c r="D2733" s="15"/>
    </row>
    <row r="2734" spans="2:4" x14ac:dyDescent="0.25">
      <c r="B2734" s="68"/>
      <c r="C2734" s="50"/>
      <c r="D2734" s="15"/>
    </row>
    <row r="2735" spans="2:4" x14ac:dyDescent="0.25">
      <c r="B2735" s="68"/>
      <c r="C2735" s="50"/>
      <c r="D2735" s="15"/>
    </row>
    <row r="2736" spans="2:4" x14ac:dyDescent="0.25">
      <c r="B2736" s="68"/>
      <c r="C2736" s="50"/>
      <c r="D2736" s="15"/>
    </row>
    <row r="2737" spans="2:4" x14ac:dyDescent="0.25">
      <c r="B2737" s="68"/>
      <c r="C2737" s="50"/>
      <c r="D2737" s="15"/>
    </row>
    <row r="2738" spans="2:4" x14ac:dyDescent="0.25">
      <c r="B2738" s="68"/>
      <c r="C2738" s="50"/>
      <c r="D2738" s="15"/>
    </row>
    <row r="2739" spans="2:4" x14ac:dyDescent="0.25">
      <c r="B2739" s="68"/>
      <c r="C2739" s="50"/>
      <c r="D2739" s="15"/>
    </row>
    <row r="2740" spans="2:4" x14ac:dyDescent="0.25">
      <c r="B2740" s="68"/>
      <c r="C2740" s="50"/>
      <c r="D2740" s="15"/>
    </row>
    <row r="2741" spans="2:4" x14ac:dyDescent="0.25">
      <c r="B2741" s="68"/>
      <c r="C2741" s="50"/>
      <c r="D2741" s="15"/>
    </row>
    <row r="2742" spans="2:4" x14ac:dyDescent="0.25">
      <c r="B2742" s="68"/>
      <c r="C2742" s="50"/>
      <c r="D2742" s="15"/>
    </row>
    <row r="2743" spans="2:4" x14ac:dyDescent="0.25">
      <c r="B2743" s="68"/>
      <c r="C2743" s="50"/>
      <c r="D2743" s="15"/>
    </row>
    <row r="2744" spans="2:4" x14ac:dyDescent="0.25">
      <c r="B2744" s="68"/>
      <c r="C2744" s="50"/>
      <c r="D2744" s="15"/>
    </row>
    <row r="2745" spans="2:4" x14ac:dyDescent="0.25">
      <c r="B2745" s="68"/>
      <c r="C2745" s="50"/>
      <c r="D2745" s="15"/>
    </row>
    <row r="2746" spans="2:4" x14ac:dyDescent="0.25">
      <c r="B2746" s="68"/>
      <c r="C2746" s="50"/>
      <c r="D2746" s="15"/>
    </row>
    <row r="2747" spans="2:4" x14ac:dyDescent="0.25">
      <c r="B2747" s="68"/>
      <c r="C2747" s="50"/>
      <c r="D2747" s="15"/>
    </row>
    <row r="2748" spans="2:4" x14ac:dyDescent="0.25">
      <c r="B2748" s="68"/>
      <c r="C2748" s="50"/>
      <c r="D2748" s="15"/>
    </row>
    <row r="2749" spans="2:4" x14ac:dyDescent="0.25">
      <c r="B2749" s="68"/>
      <c r="C2749" s="50"/>
      <c r="D2749" s="15"/>
    </row>
    <row r="2750" spans="2:4" x14ac:dyDescent="0.25">
      <c r="B2750" s="68"/>
      <c r="C2750" s="50"/>
      <c r="D2750" s="15"/>
    </row>
    <row r="2751" spans="2:4" x14ac:dyDescent="0.25">
      <c r="B2751" s="68"/>
      <c r="C2751" s="50"/>
      <c r="D2751" s="15"/>
    </row>
    <row r="2752" spans="2:4" x14ac:dyDescent="0.25">
      <c r="B2752" s="68"/>
      <c r="C2752" s="50"/>
      <c r="D2752" s="15"/>
    </row>
    <row r="2753" spans="2:4" x14ac:dyDescent="0.25">
      <c r="B2753" s="68"/>
      <c r="C2753" s="50"/>
      <c r="D2753" s="15"/>
    </row>
    <row r="2754" spans="2:4" x14ac:dyDescent="0.25">
      <c r="B2754" s="68"/>
      <c r="C2754" s="50"/>
      <c r="D2754" s="15"/>
    </row>
    <row r="2755" spans="2:4" x14ac:dyDescent="0.25">
      <c r="B2755" s="68"/>
      <c r="C2755" s="50"/>
      <c r="D2755" s="15"/>
    </row>
    <row r="2756" spans="2:4" x14ac:dyDescent="0.25">
      <c r="B2756" s="68"/>
      <c r="C2756" s="50"/>
      <c r="D2756" s="15"/>
    </row>
    <row r="2757" spans="2:4" x14ac:dyDescent="0.25">
      <c r="B2757" s="68"/>
      <c r="C2757" s="50"/>
      <c r="D2757" s="15"/>
    </row>
    <row r="2758" spans="2:4" x14ac:dyDescent="0.25">
      <c r="B2758" s="68"/>
      <c r="C2758" s="50"/>
      <c r="D2758" s="15"/>
    </row>
    <row r="2759" spans="2:4" x14ac:dyDescent="0.25">
      <c r="B2759" s="68"/>
      <c r="C2759" s="50"/>
      <c r="D2759" s="15"/>
    </row>
    <row r="2760" spans="2:4" x14ac:dyDescent="0.25">
      <c r="B2760" s="68"/>
      <c r="C2760" s="50"/>
      <c r="D2760" s="15"/>
    </row>
    <row r="2761" spans="2:4" x14ac:dyDescent="0.25">
      <c r="B2761" s="68"/>
      <c r="C2761" s="50"/>
      <c r="D2761" s="15"/>
    </row>
    <row r="2762" spans="2:4" x14ac:dyDescent="0.25">
      <c r="B2762" s="68"/>
      <c r="C2762" s="50"/>
      <c r="D2762" s="15"/>
    </row>
    <row r="2763" spans="2:4" x14ac:dyDescent="0.25">
      <c r="B2763" s="68"/>
      <c r="C2763" s="50"/>
      <c r="D2763" s="15"/>
    </row>
    <row r="2764" spans="2:4" x14ac:dyDescent="0.25">
      <c r="B2764" s="68"/>
      <c r="C2764" s="50"/>
      <c r="D2764" s="15"/>
    </row>
    <row r="2765" spans="2:4" x14ac:dyDescent="0.25">
      <c r="B2765" s="68"/>
      <c r="C2765" s="50"/>
      <c r="D2765" s="15"/>
    </row>
    <row r="2766" spans="2:4" x14ac:dyDescent="0.25">
      <c r="B2766" s="68"/>
      <c r="C2766" s="50"/>
      <c r="D2766" s="15"/>
    </row>
    <row r="2767" spans="2:4" x14ac:dyDescent="0.25">
      <c r="B2767" s="68"/>
      <c r="C2767" s="50"/>
      <c r="D2767" s="15"/>
    </row>
    <row r="2768" spans="2:4" x14ac:dyDescent="0.25">
      <c r="B2768" s="68"/>
      <c r="C2768" s="50"/>
      <c r="D2768" s="15"/>
    </row>
    <row r="2769" spans="2:4" x14ac:dyDescent="0.25">
      <c r="B2769" s="68"/>
      <c r="C2769" s="50"/>
      <c r="D2769" s="15"/>
    </row>
    <row r="2770" spans="2:4" x14ac:dyDescent="0.25">
      <c r="B2770" s="68"/>
      <c r="C2770" s="50"/>
      <c r="D2770" s="15"/>
    </row>
    <row r="2771" spans="2:4" x14ac:dyDescent="0.25">
      <c r="B2771" s="68"/>
      <c r="C2771" s="50"/>
      <c r="D2771" s="15"/>
    </row>
    <row r="2772" spans="2:4" x14ac:dyDescent="0.25">
      <c r="B2772" s="68"/>
      <c r="C2772" s="50"/>
      <c r="D2772" s="15"/>
    </row>
    <row r="2773" spans="2:4" x14ac:dyDescent="0.25">
      <c r="B2773" s="68"/>
      <c r="C2773" s="50"/>
      <c r="D2773" s="15"/>
    </row>
    <row r="2774" spans="2:4" x14ac:dyDescent="0.25">
      <c r="B2774" s="68"/>
      <c r="C2774" s="50"/>
      <c r="D2774" s="15"/>
    </row>
    <row r="2775" spans="2:4" x14ac:dyDescent="0.25">
      <c r="B2775" s="68"/>
      <c r="C2775" s="50"/>
      <c r="D2775" s="15"/>
    </row>
    <row r="2776" spans="2:4" x14ac:dyDescent="0.25">
      <c r="B2776" s="68"/>
      <c r="C2776" s="50"/>
      <c r="D2776" s="15"/>
    </row>
    <row r="2777" spans="2:4" x14ac:dyDescent="0.25">
      <c r="B2777" s="68"/>
      <c r="C2777" s="50"/>
      <c r="D2777" s="15"/>
    </row>
    <row r="2778" spans="2:4" x14ac:dyDescent="0.25">
      <c r="B2778" s="68"/>
      <c r="C2778" s="50"/>
      <c r="D2778" s="15"/>
    </row>
    <row r="2779" spans="2:4" x14ac:dyDescent="0.25">
      <c r="B2779" s="68"/>
      <c r="C2779" s="50"/>
      <c r="D2779" s="15"/>
    </row>
    <row r="2780" spans="2:4" x14ac:dyDescent="0.25">
      <c r="B2780" s="68"/>
      <c r="C2780" s="50"/>
      <c r="D2780" s="15"/>
    </row>
    <row r="2781" spans="2:4" x14ac:dyDescent="0.25">
      <c r="B2781" s="68"/>
      <c r="C2781" s="50"/>
      <c r="D2781" s="15"/>
    </row>
    <row r="2782" spans="2:4" x14ac:dyDescent="0.25">
      <c r="B2782" s="68"/>
      <c r="C2782" s="50"/>
      <c r="D2782" s="15"/>
    </row>
    <row r="2783" spans="2:4" x14ac:dyDescent="0.25">
      <c r="B2783" s="68"/>
      <c r="C2783" s="50"/>
      <c r="D2783" s="15"/>
    </row>
    <row r="2784" spans="2:4" x14ac:dyDescent="0.25">
      <c r="B2784" s="68"/>
      <c r="C2784" s="50"/>
      <c r="D2784" s="15"/>
    </row>
    <row r="2785" spans="2:4" x14ac:dyDescent="0.25">
      <c r="B2785" s="68"/>
      <c r="C2785" s="50"/>
      <c r="D2785" s="15"/>
    </row>
    <row r="2786" spans="2:4" x14ac:dyDescent="0.25">
      <c r="B2786" s="68"/>
      <c r="C2786" s="50"/>
      <c r="D2786" s="15"/>
    </row>
    <row r="2787" spans="2:4" x14ac:dyDescent="0.25">
      <c r="B2787" s="68"/>
      <c r="C2787" s="50"/>
      <c r="D2787" s="15"/>
    </row>
    <row r="2788" spans="2:4" x14ac:dyDescent="0.25">
      <c r="B2788" s="68"/>
      <c r="C2788" s="50"/>
      <c r="D2788" s="15"/>
    </row>
    <row r="2789" spans="2:4" x14ac:dyDescent="0.25">
      <c r="B2789" s="68"/>
      <c r="C2789" s="50"/>
      <c r="D2789" s="15"/>
    </row>
    <row r="2790" spans="2:4" x14ac:dyDescent="0.25">
      <c r="B2790" s="68"/>
      <c r="C2790" s="50"/>
      <c r="D2790" s="15"/>
    </row>
    <row r="2791" spans="2:4" x14ac:dyDescent="0.25">
      <c r="B2791" s="68"/>
      <c r="C2791" s="50"/>
      <c r="D2791" s="15"/>
    </row>
    <row r="2792" spans="2:4" x14ac:dyDescent="0.25">
      <c r="B2792" s="68"/>
      <c r="C2792" s="50"/>
      <c r="D2792" s="15"/>
    </row>
    <row r="2793" spans="2:4" x14ac:dyDescent="0.25">
      <c r="B2793" s="68"/>
      <c r="C2793" s="50"/>
      <c r="D2793" s="15"/>
    </row>
    <row r="2794" spans="2:4" x14ac:dyDescent="0.25">
      <c r="B2794" s="68"/>
      <c r="C2794" s="50"/>
      <c r="D2794" s="15"/>
    </row>
    <row r="2795" spans="2:4" x14ac:dyDescent="0.25">
      <c r="B2795" s="68"/>
      <c r="C2795" s="50"/>
      <c r="D2795" s="15"/>
    </row>
    <row r="2796" spans="2:4" x14ac:dyDescent="0.25">
      <c r="B2796" s="68"/>
      <c r="C2796" s="50"/>
      <c r="D2796" s="15"/>
    </row>
    <row r="2797" spans="2:4" x14ac:dyDescent="0.25">
      <c r="B2797" s="68"/>
      <c r="C2797" s="50"/>
      <c r="D2797" s="15"/>
    </row>
    <row r="2798" spans="2:4" x14ac:dyDescent="0.25">
      <c r="B2798" s="68"/>
      <c r="C2798" s="50"/>
      <c r="D2798" s="15"/>
    </row>
    <row r="2799" spans="2:4" x14ac:dyDescent="0.25">
      <c r="B2799" s="68"/>
      <c r="C2799" s="50"/>
      <c r="D2799" s="15"/>
    </row>
    <row r="2800" spans="2:4" x14ac:dyDescent="0.25">
      <c r="B2800" s="68"/>
      <c r="C2800" s="50"/>
      <c r="D2800" s="15"/>
    </row>
    <row r="2801" spans="2:4" x14ac:dyDescent="0.25">
      <c r="B2801" s="68"/>
      <c r="C2801" s="50"/>
      <c r="D2801" s="15"/>
    </row>
    <row r="2802" spans="2:4" x14ac:dyDescent="0.25">
      <c r="B2802" s="68"/>
      <c r="C2802" s="50"/>
      <c r="D2802" s="15"/>
    </row>
    <row r="2803" spans="2:4" x14ac:dyDescent="0.25">
      <c r="B2803" s="68"/>
      <c r="C2803" s="50"/>
      <c r="D2803" s="15"/>
    </row>
    <row r="2804" spans="2:4" x14ac:dyDescent="0.25">
      <c r="B2804" s="68"/>
      <c r="C2804" s="50"/>
      <c r="D2804" s="15"/>
    </row>
    <row r="2805" spans="2:4" x14ac:dyDescent="0.25">
      <c r="B2805" s="68"/>
      <c r="C2805" s="50"/>
      <c r="D2805" s="15"/>
    </row>
    <row r="2806" spans="2:4" x14ac:dyDescent="0.25">
      <c r="B2806" s="68"/>
      <c r="C2806" s="50"/>
      <c r="D2806" s="15"/>
    </row>
    <row r="2807" spans="2:4" x14ac:dyDescent="0.25">
      <c r="B2807" s="68"/>
      <c r="C2807" s="50"/>
      <c r="D2807" s="15"/>
    </row>
    <row r="2808" spans="2:4" x14ac:dyDescent="0.25">
      <c r="B2808" s="68"/>
      <c r="C2808" s="50"/>
      <c r="D2808" s="15"/>
    </row>
    <row r="2809" spans="2:4" x14ac:dyDescent="0.25">
      <c r="B2809" s="68"/>
      <c r="C2809" s="50"/>
      <c r="D2809" s="15"/>
    </row>
    <row r="2810" spans="2:4" x14ac:dyDescent="0.25">
      <c r="B2810" s="68"/>
      <c r="C2810" s="50"/>
      <c r="D2810" s="15"/>
    </row>
    <row r="2811" spans="2:4" x14ac:dyDescent="0.25">
      <c r="B2811" s="68"/>
      <c r="C2811" s="50"/>
      <c r="D2811" s="15"/>
    </row>
    <row r="2812" spans="2:4" x14ac:dyDescent="0.25">
      <c r="B2812" s="68"/>
      <c r="C2812" s="50"/>
      <c r="D2812" s="15"/>
    </row>
    <row r="2813" spans="2:4" x14ac:dyDescent="0.25">
      <c r="B2813" s="68"/>
      <c r="C2813" s="50"/>
      <c r="D2813" s="15"/>
    </row>
    <row r="2814" spans="2:4" x14ac:dyDescent="0.25">
      <c r="B2814" s="68"/>
      <c r="C2814" s="50"/>
      <c r="D2814" s="15"/>
    </row>
    <row r="2815" spans="2:4" x14ac:dyDescent="0.25">
      <c r="B2815" s="68"/>
      <c r="C2815" s="50"/>
      <c r="D2815" s="15"/>
    </row>
    <row r="2816" spans="2:4" x14ac:dyDescent="0.25">
      <c r="B2816" s="68"/>
      <c r="C2816" s="50"/>
      <c r="D2816" s="15"/>
    </row>
    <row r="2817" spans="2:4" x14ac:dyDescent="0.25">
      <c r="B2817" s="68"/>
      <c r="C2817" s="50"/>
      <c r="D2817" s="15"/>
    </row>
    <row r="2818" spans="2:4" x14ac:dyDescent="0.25">
      <c r="B2818" s="68"/>
      <c r="C2818" s="50"/>
      <c r="D2818" s="15"/>
    </row>
    <row r="2819" spans="2:4" x14ac:dyDescent="0.25">
      <c r="B2819" s="68"/>
      <c r="C2819" s="50"/>
      <c r="D2819" s="15"/>
    </row>
    <row r="2820" spans="2:4" x14ac:dyDescent="0.25">
      <c r="B2820" s="68"/>
      <c r="C2820" s="50"/>
      <c r="D2820" s="15"/>
    </row>
    <row r="2821" spans="2:4" x14ac:dyDescent="0.25">
      <c r="B2821" s="68"/>
      <c r="C2821" s="50"/>
      <c r="D2821" s="15"/>
    </row>
    <row r="2822" spans="2:4" x14ac:dyDescent="0.25">
      <c r="B2822" s="68"/>
      <c r="C2822" s="50"/>
      <c r="D2822" s="15"/>
    </row>
    <row r="2823" spans="2:4" x14ac:dyDescent="0.25">
      <c r="B2823" s="68"/>
      <c r="C2823" s="50"/>
      <c r="D2823" s="15"/>
    </row>
    <row r="2824" spans="2:4" x14ac:dyDescent="0.25">
      <c r="B2824" s="68"/>
      <c r="C2824" s="50"/>
      <c r="D2824" s="15"/>
    </row>
    <row r="2825" spans="2:4" x14ac:dyDescent="0.25">
      <c r="B2825" s="68"/>
      <c r="C2825" s="50"/>
      <c r="D2825" s="15"/>
    </row>
    <row r="2826" spans="2:4" x14ac:dyDescent="0.25">
      <c r="B2826" s="68"/>
      <c r="C2826" s="50"/>
      <c r="D2826" s="15"/>
    </row>
    <row r="2827" spans="2:4" x14ac:dyDescent="0.25">
      <c r="B2827" s="68"/>
      <c r="C2827" s="50"/>
      <c r="D2827" s="15"/>
    </row>
    <row r="2828" spans="2:4" x14ac:dyDescent="0.25">
      <c r="B2828" s="68"/>
      <c r="C2828" s="50"/>
      <c r="D2828" s="15"/>
    </row>
    <row r="2829" spans="2:4" x14ac:dyDescent="0.25">
      <c r="B2829" s="68"/>
      <c r="C2829" s="50"/>
      <c r="D2829" s="15"/>
    </row>
    <row r="2830" spans="2:4" x14ac:dyDescent="0.25">
      <c r="B2830" s="68"/>
      <c r="C2830" s="50"/>
      <c r="D2830" s="15"/>
    </row>
    <row r="2831" spans="2:4" x14ac:dyDescent="0.25">
      <c r="B2831" s="68"/>
      <c r="C2831" s="50"/>
      <c r="D2831" s="15"/>
    </row>
    <row r="2832" spans="2:4" x14ac:dyDescent="0.25">
      <c r="B2832" s="68"/>
      <c r="C2832" s="50"/>
      <c r="D2832" s="15"/>
    </row>
    <row r="2833" spans="2:4" x14ac:dyDescent="0.25">
      <c r="B2833" s="68"/>
      <c r="C2833" s="50"/>
      <c r="D2833" s="15"/>
    </row>
    <row r="2834" spans="2:4" x14ac:dyDescent="0.25">
      <c r="B2834" s="68"/>
      <c r="C2834" s="50"/>
      <c r="D2834" s="15"/>
    </row>
    <row r="2835" spans="2:4" x14ac:dyDescent="0.25">
      <c r="B2835" s="68"/>
      <c r="C2835" s="50"/>
      <c r="D2835" s="15"/>
    </row>
    <row r="2836" spans="2:4" x14ac:dyDescent="0.25">
      <c r="B2836" s="68"/>
      <c r="C2836" s="50"/>
      <c r="D2836" s="15"/>
    </row>
    <row r="2837" spans="2:4" x14ac:dyDescent="0.25">
      <c r="B2837" s="68"/>
      <c r="C2837" s="50"/>
      <c r="D2837" s="15"/>
    </row>
    <row r="2838" spans="2:4" x14ac:dyDescent="0.25">
      <c r="B2838" s="68"/>
      <c r="C2838" s="50"/>
      <c r="D2838" s="15"/>
    </row>
    <row r="2839" spans="2:4" x14ac:dyDescent="0.25">
      <c r="B2839" s="68"/>
      <c r="C2839" s="50"/>
      <c r="D2839" s="15"/>
    </row>
    <row r="2840" spans="2:4" x14ac:dyDescent="0.25">
      <c r="B2840" s="68"/>
      <c r="C2840" s="50"/>
      <c r="D2840" s="15"/>
    </row>
    <row r="2841" spans="2:4" x14ac:dyDescent="0.25">
      <c r="B2841" s="68"/>
      <c r="C2841" s="50"/>
      <c r="D2841" s="15"/>
    </row>
    <row r="2842" spans="2:4" x14ac:dyDescent="0.25">
      <c r="B2842" s="68"/>
      <c r="C2842" s="50"/>
      <c r="D2842" s="15"/>
    </row>
    <row r="2843" spans="2:4" x14ac:dyDescent="0.25">
      <c r="B2843" s="68"/>
      <c r="C2843" s="50"/>
      <c r="D2843" s="15"/>
    </row>
    <row r="2844" spans="2:4" x14ac:dyDescent="0.25">
      <c r="B2844" s="68"/>
      <c r="C2844" s="50"/>
      <c r="D2844" s="15"/>
    </row>
    <row r="2845" spans="2:4" x14ac:dyDescent="0.25">
      <c r="B2845" s="68"/>
      <c r="C2845" s="50"/>
      <c r="D2845" s="15"/>
    </row>
    <row r="2846" spans="2:4" x14ac:dyDescent="0.25">
      <c r="B2846" s="68"/>
      <c r="C2846" s="50"/>
      <c r="D2846" s="15"/>
    </row>
    <row r="2847" spans="2:4" x14ac:dyDescent="0.25">
      <c r="B2847" s="68"/>
      <c r="C2847" s="50"/>
      <c r="D2847" s="15"/>
    </row>
    <row r="2848" spans="2:4" x14ac:dyDescent="0.25">
      <c r="B2848" s="68"/>
      <c r="C2848" s="50"/>
      <c r="D2848" s="15"/>
    </row>
    <row r="2849" spans="2:4" x14ac:dyDescent="0.25">
      <c r="B2849" s="68"/>
      <c r="C2849" s="50"/>
      <c r="D2849" s="15"/>
    </row>
    <row r="2850" spans="2:4" x14ac:dyDescent="0.25">
      <c r="B2850" s="68"/>
      <c r="C2850" s="50"/>
      <c r="D2850" s="15"/>
    </row>
    <row r="2851" spans="2:4" x14ac:dyDescent="0.25">
      <c r="B2851" s="68"/>
      <c r="C2851" s="50"/>
      <c r="D2851" s="15"/>
    </row>
    <row r="2852" spans="2:4" x14ac:dyDescent="0.25">
      <c r="B2852" s="68"/>
      <c r="C2852" s="50"/>
      <c r="D2852" s="15"/>
    </row>
    <row r="2853" spans="2:4" x14ac:dyDescent="0.25">
      <c r="B2853" s="68"/>
      <c r="C2853" s="50"/>
      <c r="D2853" s="15"/>
    </row>
    <row r="2854" spans="2:4" x14ac:dyDescent="0.25">
      <c r="B2854" s="68"/>
      <c r="C2854" s="50"/>
      <c r="D2854" s="15"/>
    </row>
    <row r="2855" spans="2:4" x14ac:dyDescent="0.25">
      <c r="B2855" s="68"/>
      <c r="C2855" s="50"/>
      <c r="D2855" s="15"/>
    </row>
    <row r="2856" spans="2:4" x14ac:dyDescent="0.25">
      <c r="B2856" s="68"/>
      <c r="C2856" s="50"/>
      <c r="D2856" s="15"/>
    </row>
    <row r="2857" spans="2:4" x14ac:dyDescent="0.25">
      <c r="B2857" s="68"/>
      <c r="C2857" s="50"/>
      <c r="D2857" s="15"/>
    </row>
    <row r="2858" spans="2:4" x14ac:dyDescent="0.25">
      <c r="B2858" s="68"/>
      <c r="C2858" s="50"/>
      <c r="D2858" s="15"/>
    </row>
    <row r="2859" spans="2:4" x14ac:dyDescent="0.25">
      <c r="B2859" s="68"/>
      <c r="C2859" s="50"/>
      <c r="D2859" s="15"/>
    </row>
    <row r="2860" spans="2:4" x14ac:dyDescent="0.25">
      <c r="B2860" s="68"/>
      <c r="C2860" s="50"/>
      <c r="D2860" s="15"/>
    </row>
    <row r="2861" spans="2:4" x14ac:dyDescent="0.25">
      <c r="B2861" s="68"/>
      <c r="C2861" s="50"/>
      <c r="D2861" s="15"/>
    </row>
    <row r="2862" spans="2:4" x14ac:dyDescent="0.25">
      <c r="B2862" s="68"/>
      <c r="C2862" s="50"/>
      <c r="D2862" s="15"/>
    </row>
    <row r="2863" spans="2:4" x14ac:dyDescent="0.25">
      <c r="B2863" s="68"/>
      <c r="C2863" s="50"/>
      <c r="D2863" s="15"/>
    </row>
    <row r="2864" spans="2:4" x14ac:dyDescent="0.25">
      <c r="B2864" s="68"/>
      <c r="C2864" s="50"/>
      <c r="D2864" s="15"/>
    </row>
    <row r="2865" spans="2:4" x14ac:dyDescent="0.25">
      <c r="B2865" s="68"/>
      <c r="C2865" s="50"/>
      <c r="D2865" s="15"/>
    </row>
    <row r="2866" spans="2:4" x14ac:dyDescent="0.25">
      <c r="B2866" s="68"/>
      <c r="C2866" s="50"/>
      <c r="D2866" s="15"/>
    </row>
    <row r="2867" spans="2:4" x14ac:dyDescent="0.25">
      <c r="B2867" s="68"/>
      <c r="C2867" s="50"/>
      <c r="D2867" s="15"/>
    </row>
    <row r="2868" spans="2:4" x14ac:dyDescent="0.25">
      <c r="B2868" s="68"/>
      <c r="C2868" s="50"/>
      <c r="D2868" s="15"/>
    </row>
    <row r="2869" spans="2:4" x14ac:dyDescent="0.25">
      <c r="B2869" s="68"/>
      <c r="C2869" s="50"/>
      <c r="D2869" s="15"/>
    </row>
    <row r="2870" spans="2:4" x14ac:dyDescent="0.25">
      <c r="B2870" s="68"/>
      <c r="C2870" s="50"/>
      <c r="D2870" s="15"/>
    </row>
    <row r="2871" spans="2:4" x14ac:dyDescent="0.25">
      <c r="B2871" s="68"/>
      <c r="C2871" s="50"/>
      <c r="D2871" s="15"/>
    </row>
    <row r="2872" spans="2:4" x14ac:dyDescent="0.25">
      <c r="B2872" s="68"/>
      <c r="C2872" s="50"/>
      <c r="D2872" s="15"/>
    </row>
    <row r="2873" spans="2:4" x14ac:dyDescent="0.25">
      <c r="B2873" s="68"/>
      <c r="C2873" s="50"/>
      <c r="D2873" s="15"/>
    </row>
    <row r="2874" spans="2:4" x14ac:dyDescent="0.25">
      <c r="B2874" s="68"/>
      <c r="C2874" s="50"/>
      <c r="D2874" s="15"/>
    </row>
    <row r="2875" spans="2:4" x14ac:dyDescent="0.25">
      <c r="B2875" s="68"/>
      <c r="C2875" s="50"/>
      <c r="D2875" s="15"/>
    </row>
    <row r="2876" spans="2:4" x14ac:dyDescent="0.25">
      <c r="B2876" s="68"/>
      <c r="C2876" s="50"/>
      <c r="D2876" s="15"/>
    </row>
    <row r="2877" spans="2:4" x14ac:dyDescent="0.25">
      <c r="B2877" s="68"/>
      <c r="C2877" s="50"/>
      <c r="D2877" s="15"/>
    </row>
    <row r="2878" spans="2:4" x14ac:dyDescent="0.25">
      <c r="B2878" s="68"/>
      <c r="C2878" s="50"/>
      <c r="D2878" s="15"/>
    </row>
    <row r="2879" spans="2:4" x14ac:dyDescent="0.25">
      <c r="B2879" s="68"/>
      <c r="C2879" s="50"/>
      <c r="D2879" s="15"/>
    </row>
    <row r="2880" spans="2:4" x14ac:dyDescent="0.25">
      <c r="B2880" s="68"/>
      <c r="C2880" s="50"/>
      <c r="D2880" s="15"/>
    </row>
    <row r="2881" spans="2:4" x14ac:dyDescent="0.25">
      <c r="B2881" s="68"/>
      <c r="C2881" s="50"/>
      <c r="D2881" s="15"/>
    </row>
    <row r="2882" spans="2:4" x14ac:dyDescent="0.25">
      <c r="B2882" s="68"/>
      <c r="C2882" s="50"/>
      <c r="D2882" s="15"/>
    </row>
    <row r="2883" spans="2:4" x14ac:dyDescent="0.25">
      <c r="B2883" s="68"/>
      <c r="C2883" s="50"/>
      <c r="D2883" s="15"/>
    </row>
    <row r="2884" spans="2:4" x14ac:dyDescent="0.25">
      <c r="B2884" s="68"/>
      <c r="C2884" s="50"/>
      <c r="D2884" s="15"/>
    </row>
    <row r="2885" spans="2:4" x14ac:dyDescent="0.25">
      <c r="B2885" s="68"/>
      <c r="C2885" s="50"/>
      <c r="D2885" s="15"/>
    </row>
    <row r="2886" spans="2:4" x14ac:dyDescent="0.25">
      <c r="B2886" s="68"/>
      <c r="C2886" s="50"/>
      <c r="D2886" s="15"/>
    </row>
    <row r="2887" spans="2:4" x14ac:dyDescent="0.25">
      <c r="B2887" s="68"/>
      <c r="C2887" s="50"/>
      <c r="D2887" s="15"/>
    </row>
    <row r="2888" spans="2:4" x14ac:dyDescent="0.25">
      <c r="B2888" s="68"/>
      <c r="C2888" s="50"/>
      <c r="D2888" s="15"/>
    </row>
    <row r="2889" spans="2:4" x14ac:dyDescent="0.25">
      <c r="B2889" s="68"/>
      <c r="C2889" s="50"/>
      <c r="D2889" s="15"/>
    </row>
    <row r="2890" spans="2:4" x14ac:dyDescent="0.25">
      <c r="B2890" s="68"/>
      <c r="C2890" s="50"/>
      <c r="D2890" s="15"/>
    </row>
    <row r="2891" spans="2:4" x14ac:dyDescent="0.25">
      <c r="B2891" s="68"/>
      <c r="C2891" s="50"/>
      <c r="D2891" s="15"/>
    </row>
    <row r="2892" spans="2:4" x14ac:dyDescent="0.25">
      <c r="B2892" s="68"/>
      <c r="C2892" s="50"/>
      <c r="D2892" s="15"/>
    </row>
    <row r="2893" spans="2:4" x14ac:dyDescent="0.25">
      <c r="B2893" s="68"/>
      <c r="C2893" s="50"/>
      <c r="D2893" s="15"/>
    </row>
    <row r="2894" spans="2:4" x14ac:dyDescent="0.25">
      <c r="B2894" s="68"/>
      <c r="C2894" s="50"/>
      <c r="D2894" s="15"/>
    </row>
    <row r="2895" spans="2:4" x14ac:dyDescent="0.25">
      <c r="B2895" s="68"/>
      <c r="C2895" s="50"/>
      <c r="D2895" s="15"/>
    </row>
    <row r="2896" spans="2:4" x14ac:dyDescent="0.25">
      <c r="B2896" s="68"/>
      <c r="C2896" s="50"/>
      <c r="D2896" s="15"/>
    </row>
    <row r="2897" spans="2:4" x14ac:dyDescent="0.25">
      <c r="B2897" s="68"/>
      <c r="C2897" s="50"/>
      <c r="D2897" s="15"/>
    </row>
    <row r="2898" spans="2:4" x14ac:dyDescent="0.25">
      <c r="B2898" s="68"/>
      <c r="C2898" s="50"/>
      <c r="D2898" s="15"/>
    </row>
    <row r="2899" spans="2:4" x14ac:dyDescent="0.25">
      <c r="B2899" s="68"/>
      <c r="C2899" s="50"/>
      <c r="D2899" s="15"/>
    </row>
    <row r="2900" spans="2:4" x14ac:dyDescent="0.25">
      <c r="B2900" s="68"/>
      <c r="C2900" s="50"/>
      <c r="D2900" s="15"/>
    </row>
    <row r="2901" spans="2:4" x14ac:dyDescent="0.25">
      <c r="B2901" s="68"/>
      <c r="C2901" s="50"/>
      <c r="D2901" s="15"/>
    </row>
    <row r="2902" spans="2:4" x14ac:dyDescent="0.25">
      <c r="B2902" s="68"/>
      <c r="C2902" s="50"/>
      <c r="D2902" s="15"/>
    </row>
    <row r="2903" spans="2:4" x14ac:dyDescent="0.25">
      <c r="B2903" s="68"/>
      <c r="C2903" s="50"/>
      <c r="D2903" s="15"/>
    </row>
    <row r="2904" spans="2:4" x14ac:dyDescent="0.25">
      <c r="B2904" s="68"/>
      <c r="C2904" s="50"/>
      <c r="D2904" s="15"/>
    </row>
    <row r="2905" spans="2:4" x14ac:dyDescent="0.25">
      <c r="B2905" s="68"/>
      <c r="C2905" s="50"/>
      <c r="D2905" s="15"/>
    </row>
    <row r="2906" spans="2:4" x14ac:dyDescent="0.25">
      <c r="B2906" s="68"/>
      <c r="C2906" s="50"/>
      <c r="D2906" s="15"/>
    </row>
    <row r="2907" spans="2:4" x14ac:dyDescent="0.25">
      <c r="B2907" s="68"/>
      <c r="C2907" s="50"/>
      <c r="D2907" s="15"/>
    </row>
    <row r="2908" spans="2:4" x14ac:dyDescent="0.25">
      <c r="B2908" s="68"/>
      <c r="C2908" s="50"/>
      <c r="D2908" s="15"/>
    </row>
    <row r="2909" spans="2:4" x14ac:dyDescent="0.25">
      <c r="B2909" s="68"/>
      <c r="C2909" s="50"/>
      <c r="D2909" s="15"/>
    </row>
    <row r="2910" spans="2:4" x14ac:dyDescent="0.25">
      <c r="B2910" s="68"/>
      <c r="C2910" s="50"/>
      <c r="D2910" s="15"/>
    </row>
    <row r="2911" spans="2:4" x14ac:dyDescent="0.25">
      <c r="B2911" s="68"/>
      <c r="C2911" s="50"/>
      <c r="D2911" s="15"/>
    </row>
    <row r="2912" spans="2:4" x14ac:dyDescent="0.25">
      <c r="B2912" s="68"/>
      <c r="C2912" s="50"/>
      <c r="D2912" s="15"/>
    </row>
    <row r="2913" spans="2:4" x14ac:dyDescent="0.25">
      <c r="B2913" s="68"/>
      <c r="C2913" s="50"/>
      <c r="D2913" s="15"/>
    </row>
    <row r="2914" spans="2:4" x14ac:dyDescent="0.25">
      <c r="B2914" s="68"/>
      <c r="C2914" s="50"/>
      <c r="D2914" s="15"/>
    </row>
    <row r="2915" spans="2:4" x14ac:dyDescent="0.25">
      <c r="B2915" s="68"/>
      <c r="C2915" s="50"/>
      <c r="D2915" s="15"/>
    </row>
    <row r="2916" spans="2:4" x14ac:dyDescent="0.25">
      <c r="B2916" s="68"/>
      <c r="C2916" s="50"/>
      <c r="D2916" s="15"/>
    </row>
    <row r="2917" spans="2:4" x14ac:dyDescent="0.25">
      <c r="B2917" s="68"/>
      <c r="C2917" s="50"/>
      <c r="D2917" s="15"/>
    </row>
    <row r="2918" spans="2:4" x14ac:dyDescent="0.25">
      <c r="B2918" s="68"/>
      <c r="C2918" s="50"/>
      <c r="D2918" s="15"/>
    </row>
    <row r="2919" spans="2:4" x14ac:dyDescent="0.25">
      <c r="B2919" s="68"/>
      <c r="C2919" s="50"/>
      <c r="D2919" s="15"/>
    </row>
    <row r="2920" spans="2:4" x14ac:dyDescent="0.25">
      <c r="B2920" s="68"/>
      <c r="C2920" s="50"/>
      <c r="D2920" s="15"/>
    </row>
    <row r="2921" spans="2:4" x14ac:dyDescent="0.25">
      <c r="B2921" s="68"/>
      <c r="C2921" s="50"/>
      <c r="D2921" s="15"/>
    </row>
    <row r="2922" spans="2:4" x14ac:dyDescent="0.25">
      <c r="B2922" s="68"/>
      <c r="C2922" s="50"/>
      <c r="D2922" s="15"/>
    </row>
    <row r="2923" spans="2:4" x14ac:dyDescent="0.25">
      <c r="B2923" s="68"/>
      <c r="C2923" s="50"/>
      <c r="D2923" s="15"/>
    </row>
    <row r="2924" spans="2:4" x14ac:dyDescent="0.25">
      <c r="B2924" s="68"/>
      <c r="C2924" s="50"/>
      <c r="D2924" s="15"/>
    </row>
    <row r="2925" spans="2:4" x14ac:dyDescent="0.25">
      <c r="B2925" s="68"/>
      <c r="C2925" s="50"/>
      <c r="D2925" s="15"/>
    </row>
    <row r="2926" spans="2:4" x14ac:dyDescent="0.25">
      <c r="B2926" s="68"/>
      <c r="C2926" s="50"/>
      <c r="D2926" s="15"/>
    </row>
    <row r="2927" spans="2:4" x14ac:dyDescent="0.25">
      <c r="B2927" s="68"/>
      <c r="C2927" s="50"/>
      <c r="D2927" s="15"/>
    </row>
    <row r="2928" spans="2:4" x14ac:dyDescent="0.25">
      <c r="B2928" s="68"/>
      <c r="C2928" s="50"/>
      <c r="D2928" s="15"/>
    </row>
    <row r="2929" spans="2:4" x14ac:dyDescent="0.25">
      <c r="B2929" s="68"/>
      <c r="C2929" s="50"/>
      <c r="D2929" s="15"/>
    </row>
    <row r="2930" spans="2:4" x14ac:dyDescent="0.25">
      <c r="B2930" s="68"/>
      <c r="C2930" s="50"/>
      <c r="D2930" s="15"/>
    </row>
    <row r="2931" spans="2:4" x14ac:dyDescent="0.25">
      <c r="B2931" s="68"/>
      <c r="C2931" s="50"/>
      <c r="D2931" s="15"/>
    </row>
    <row r="2932" spans="2:4" x14ac:dyDescent="0.25">
      <c r="B2932" s="68"/>
      <c r="C2932" s="50"/>
      <c r="D2932" s="15"/>
    </row>
    <row r="2933" spans="2:4" x14ac:dyDescent="0.25">
      <c r="B2933" s="68"/>
      <c r="C2933" s="50"/>
      <c r="D2933" s="15"/>
    </row>
    <row r="2934" spans="2:4" x14ac:dyDescent="0.25">
      <c r="B2934" s="68"/>
      <c r="C2934" s="50"/>
      <c r="D2934" s="15"/>
    </row>
    <row r="2935" spans="2:4" x14ac:dyDescent="0.25">
      <c r="B2935" s="68"/>
      <c r="C2935" s="50"/>
      <c r="D2935" s="15"/>
    </row>
    <row r="2936" spans="2:4" x14ac:dyDescent="0.25">
      <c r="B2936" s="68"/>
      <c r="C2936" s="50"/>
      <c r="D2936" s="15"/>
    </row>
    <row r="2937" spans="2:4" x14ac:dyDescent="0.25">
      <c r="B2937" s="68"/>
      <c r="C2937" s="50"/>
      <c r="D2937" s="15"/>
    </row>
    <row r="2938" spans="2:4" x14ac:dyDescent="0.25">
      <c r="B2938" s="68"/>
      <c r="C2938" s="50"/>
      <c r="D2938" s="15"/>
    </row>
    <row r="2939" spans="2:4" x14ac:dyDescent="0.25">
      <c r="B2939" s="68"/>
      <c r="C2939" s="50"/>
      <c r="D2939" s="15"/>
    </row>
    <row r="2940" spans="2:4" x14ac:dyDescent="0.25">
      <c r="B2940" s="68"/>
      <c r="C2940" s="50"/>
      <c r="D2940" s="15"/>
    </row>
    <row r="2941" spans="2:4" x14ac:dyDescent="0.25">
      <c r="B2941" s="68"/>
      <c r="C2941" s="50"/>
      <c r="D2941" s="15"/>
    </row>
    <row r="2942" spans="2:4" x14ac:dyDescent="0.25">
      <c r="B2942" s="68"/>
      <c r="C2942" s="50"/>
      <c r="D2942" s="15"/>
    </row>
    <row r="2943" spans="2:4" x14ac:dyDescent="0.25">
      <c r="B2943" s="68"/>
      <c r="C2943" s="50"/>
      <c r="D2943" s="15"/>
    </row>
    <row r="2944" spans="2:4" x14ac:dyDescent="0.25">
      <c r="B2944" s="68"/>
      <c r="C2944" s="50"/>
      <c r="D2944" s="15"/>
    </row>
    <row r="2945" spans="2:4" x14ac:dyDescent="0.25">
      <c r="B2945" s="68"/>
      <c r="C2945" s="50"/>
      <c r="D2945" s="15"/>
    </row>
    <row r="2946" spans="2:4" x14ac:dyDescent="0.25">
      <c r="B2946" s="68"/>
      <c r="C2946" s="50"/>
      <c r="D2946" s="15"/>
    </row>
    <row r="2947" spans="2:4" x14ac:dyDescent="0.25">
      <c r="B2947" s="68"/>
      <c r="C2947" s="50"/>
      <c r="D2947" s="15"/>
    </row>
    <row r="2948" spans="2:4" x14ac:dyDescent="0.25">
      <c r="B2948" s="68"/>
      <c r="C2948" s="50"/>
      <c r="D2948" s="15"/>
    </row>
    <row r="2949" spans="2:4" x14ac:dyDescent="0.25">
      <c r="B2949" s="68"/>
      <c r="C2949" s="50"/>
      <c r="D2949" s="15"/>
    </row>
    <row r="2950" spans="2:4" x14ac:dyDescent="0.25">
      <c r="B2950" s="68"/>
      <c r="C2950" s="50"/>
      <c r="D2950" s="15"/>
    </row>
    <row r="2951" spans="2:4" x14ac:dyDescent="0.25">
      <c r="B2951" s="68"/>
      <c r="C2951" s="50"/>
      <c r="D2951" s="15"/>
    </row>
    <row r="2952" spans="2:4" x14ac:dyDescent="0.25">
      <c r="B2952" s="68"/>
      <c r="C2952" s="50"/>
      <c r="D2952" s="15"/>
    </row>
    <row r="2953" spans="2:4" x14ac:dyDescent="0.25">
      <c r="B2953" s="68"/>
      <c r="C2953" s="50"/>
      <c r="D2953" s="15"/>
    </row>
    <row r="2954" spans="2:4" x14ac:dyDescent="0.25">
      <c r="B2954" s="68"/>
      <c r="C2954" s="50"/>
      <c r="D2954" s="15"/>
    </row>
    <row r="2955" spans="2:4" x14ac:dyDescent="0.25">
      <c r="B2955" s="68"/>
      <c r="C2955" s="50"/>
      <c r="D2955" s="15"/>
    </row>
    <row r="2956" spans="2:4" x14ac:dyDescent="0.25">
      <c r="B2956" s="68"/>
      <c r="C2956" s="50"/>
      <c r="D2956" s="15"/>
    </row>
    <row r="2957" spans="2:4" x14ac:dyDescent="0.25">
      <c r="B2957" s="68"/>
      <c r="C2957" s="50"/>
      <c r="D2957" s="15"/>
    </row>
    <row r="2958" spans="2:4" x14ac:dyDescent="0.25">
      <c r="B2958" s="68"/>
      <c r="C2958" s="50"/>
      <c r="D2958" s="15"/>
    </row>
    <row r="2959" spans="2:4" x14ac:dyDescent="0.25">
      <c r="B2959" s="68"/>
      <c r="C2959" s="50"/>
      <c r="D2959" s="15"/>
    </row>
    <row r="2960" spans="2:4" x14ac:dyDescent="0.25">
      <c r="B2960" s="68"/>
      <c r="C2960" s="50"/>
      <c r="D2960" s="15"/>
    </row>
    <row r="2961" spans="2:4" x14ac:dyDescent="0.25">
      <c r="B2961" s="68"/>
      <c r="C2961" s="50"/>
      <c r="D2961" s="15"/>
    </row>
    <row r="2962" spans="2:4" x14ac:dyDescent="0.25">
      <c r="B2962" s="68"/>
      <c r="C2962" s="50"/>
      <c r="D2962" s="15"/>
    </row>
    <row r="2963" spans="2:4" x14ac:dyDescent="0.25">
      <c r="B2963" s="68"/>
      <c r="C2963" s="50"/>
      <c r="D2963" s="15"/>
    </row>
    <row r="2964" spans="2:4" x14ac:dyDescent="0.25">
      <c r="B2964" s="68"/>
      <c r="C2964" s="50"/>
      <c r="D2964" s="15"/>
    </row>
    <row r="2965" spans="2:4" x14ac:dyDescent="0.25">
      <c r="B2965" s="68"/>
      <c r="C2965" s="50"/>
      <c r="D2965" s="15"/>
    </row>
    <row r="2966" spans="2:4" x14ac:dyDescent="0.25">
      <c r="B2966" s="68"/>
      <c r="C2966" s="50"/>
      <c r="D2966" s="15"/>
    </row>
    <row r="2967" spans="2:4" x14ac:dyDescent="0.25">
      <c r="B2967" s="68"/>
      <c r="C2967" s="50"/>
      <c r="D2967" s="15"/>
    </row>
    <row r="2968" spans="2:4" x14ac:dyDescent="0.25">
      <c r="B2968" s="68"/>
      <c r="C2968" s="50"/>
      <c r="D2968" s="15"/>
    </row>
    <row r="2969" spans="2:4" x14ac:dyDescent="0.25">
      <c r="B2969" s="68"/>
      <c r="C2969" s="50"/>
      <c r="D2969" s="15"/>
    </row>
    <row r="2970" spans="2:4" x14ac:dyDescent="0.25">
      <c r="B2970" s="68"/>
      <c r="C2970" s="50"/>
      <c r="D2970" s="15"/>
    </row>
    <row r="2971" spans="2:4" x14ac:dyDescent="0.25">
      <c r="B2971" s="68"/>
      <c r="C2971" s="50"/>
      <c r="D2971" s="15"/>
    </row>
    <row r="2972" spans="2:4" x14ac:dyDescent="0.25">
      <c r="B2972" s="68"/>
      <c r="C2972" s="50"/>
      <c r="D2972" s="15"/>
    </row>
    <row r="2973" spans="2:4" x14ac:dyDescent="0.25">
      <c r="B2973" s="68"/>
      <c r="C2973" s="50"/>
      <c r="D2973" s="15"/>
    </row>
    <row r="2974" spans="2:4" x14ac:dyDescent="0.25">
      <c r="B2974" s="68"/>
      <c r="C2974" s="50"/>
      <c r="D2974" s="15"/>
    </row>
    <row r="2975" spans="2:4" x14ac:dyDescent="0.25">
      <c r="B2975" s="68"/>
      <c r="C2975" s="50"/>
      <c r="D2975" s="15"/>
    </row>
    <row r="2976" spans="2:4" x14ac:dyDescent="0.25">
      <c r="B2976" s="68"/>
      <c r="C2976" s="50"/>
      <c r="D2976" s="15"/>
    </row>
    <row r="2977" spans="2:4" x14ac:dyDescent="0.25">
      <c r="B2977" s="68"/>
      <c r="C2977" s="50"/>
      <c r="D2977" s="15"/>
    </row>
    <row r="2978" spans="2:4" x14ac:dyDescent="0.25">
      <c r="B2978" s="68"/>
      <c r="C2978" s="50"/>
      <c r="D2978" s="15"/>
    </row>
    <row r="2979" spans="2:4" x14ac:dyDescent="0.25">
      <c r="B2979" s="68"/>
      <c r="C2979" s="50"/>
      <c r="D2979" s="15"/>
    </row>
    <row r="2980" spans="2:4" x14ac:dyDescent="0.25">
      <c r="B2980" s="68"/>
      <c r="C2980" s="50"/>
      <c r="D2980" s="15"/>
    </row>
    <row r="2981" spans="2:4" x14ac:dyDescent="0.25">
      <c r="B2981" s="68"/>
      <c r="C2981" s="50"/>
      <c r="D2981" s="15"/>
    </row>
    <row r="2982" spans="2:4" x14ac:dyDescent="0.25">
      <c r="B2982" s="68"/>
      <c r="C2982" s="50"/>
      <c r="D2982" s="15"/>
    </row>
    <row r="2983" spans="2:4" x14ac:dyDescent="0.25">
      <c r="B2983" s="68"/>
      <c r="C2983" s="50"/>
      <c r="D2983" s="15"/>
    </row>
    <row r="2984" spans="2:4" x14ac:dyDescent="0.25">
      <c r="B2984" s="68"/>
      <c r="C2984" s="50"/>
      <c r="D2984" s="15"/>
    </row>
    <row r="2985" spans="2:4" x14ac:dyDescent="0.25">
      <c r="B2985" s="68"/>
      <c r="C2985" s="50"/>
      <c r="D2985" s="15"/>
    </row>
    <row r="2986" spans="2:4" x14ac:dyDescent="0.25">
      <c r="B2986" s="68"/>
      <c r="C2986" s="50"/>
      <c r="D2986" s="15"/>
    </row>
    <row r="2987" spans="2:4" x14ac:dyDescent="0.25">
      <c r="B2987" s="68"/>
      <c r="C2987" s="50"/>
      <c r="D2987" s="15"/>
    </row>
    <row r="2988" spans="2:4" x14ac:dyDescent="0.25">
      <c r="B2988" s="68"/>
      <c r="C2988" s="50"/>
      <c r="D2988" s="15"/>
    </row>
    <row r="2989" spans="2:4" x14ac:dyDescent="0.25">
      <c r="B2989" s="68"/>
      <c r="C2989" s="50"/>
      <c r="D2989" s="15"/>
    </row>
    <row r="2990" spans="2:4" x14ac:dyDescent="0.25">
      <c r="B2990" s="68"/>
      <c r="C2990" s="50"/>
      <c r="D2990" s="15"/>
    </row>
    <row r="2991" spans="2:4" x14ac:dyDescent="0.25">
      <c r="B2991" s="68"/>
      <c r="C2991" s="50"/>
      <c r="D2991" s="15"/>
    </row>
    <row r="2992" spans="2:4" x14ac:dyDescent="0.25">
      <c r="B2992" s="68"/>
      <c r="C2992" s="50"/>
      <c r="D2992" s="15"/>
    </row>
    <row r="2993" spans="2:4" x14ac:dyDescent="0.25">
      <c r="B2993" s="68"/>
      <c r="C2993" s="50"/>
      <c r="D2993" s="15"/>
    </row>
    <row r="2994" spans="2:4" x14ac:dyDescent="0.25">
      <c r="B2994" s="68"/>
      <c r="C2994" s="50"/>
      <c r="D2994" s="15"/>
    </row>
    <row r="2995" spans="2:4" x14ac:dyDescent="0.25">
      <c r="B2995" s="68"/>
      <c r="C2995" s="50"/>
      <c r="D2995" s="15"/>
    </row>
    <row r="2996" spans="2:4" x14ac:dyDescent="0.25">
      <c r="B2996" s="68"/>
      <c r="C2996" s="50"/>
      <c r="D2996" s="15"/>
    </row>
    <row r="2997" spans="2:4" x14ac:dyDescent="0.25">
      <c r="B2997" s="68"/>
      <c r="C2997" s="50"/>
      <c r="D2997" s="15"/>
    </row>
    <row r="2998" spans="2:4" x14ac:dyDescent="0.25">
      <c r="B2998" s="68"/>
      <c r="C2998" s="50"/>
      <c r="D2998" s="15"/>
    </row>
    <row r="2999" spans="2:4" x14ac:dyDescent="0.25">
      <c r="B2999" s="68"/>
      <c r="C2999" s="50"/>
      <c r="D2999" s="15"/>
    </row>
    <row r="3000" spans="2:4" x14ac:dyDescent="0.25">
      <c r="B3000" s="68"/>
      <c r="C3000" s="50"/>
      <c r="D3000" s="15"/>
    </row>
    <row r="3001" spans="2:4" x14ac:dyDescent="0.25">
      <c r="B3001" s="68"/>
      <c r="C3001" s="50"/>
      <c r="D3001" s="15"/>
    </row>
    <row r="3002" spans="2:4" x14ac:dyDescent="0.25">
      <c r="B3002" s="68"/>
      <c r="C3002" s="50"/>
      <c r="D3002" s="15"/>
    </row>
    <row r="3003" spans="2:4" x14ac:dyDescent="0.25">
      <c r="B3003" s="68"/>
      <c r="C3003" s="50"/>
      <c r="D3003" s="15"/>
    </row>
    <row r="3004" spans="2:4" x14ac:dyDescent="0.25">
      <c r="B3004" s="68"/>
      <c r="C3004" s="50"/>
      <c r="D3004" s="15"/>
    </row>
    <row r="3005" spans="2:4" x14ac:dyDescent="0.25">
      <c r="B3005" s="68"/>
      <c r="C3005" s="50"/>
      <c r="D3005" s="15"/>
    </row>
    <row r="3006" spans="2:4" x14ac:dyDescent="0.25">
      <c r="B3006" s="68"/>
      <c r="C3006" s="50"/>
      <c r="D3006" s="15"/>
    </row>
    <row r="3007" spans="2:4" x14ac:dyDescent="0.25">
      <c r="B3007" s="68"/>
      <c r="C3007" s="50"/>
      <c r="D3007" s="15"/>
    </row>
    <row r="3008" spans="2:4" x14ac:dyDescent="0.25">
      <c r="B3008" s="68"/>
      <c r="C3008" s="50"/>
      <c r="D3008" s="15"/>
    </row>
    <row r="3009" spans="2:4" x14ac:dyDescent="0.25">
      <c r="B3009" s="68"/>
      <c r="C3009" s="50"/>
      <c r="D3009" s="15"/>
    </row>
    <row r="3010" spans="2:4" x14ac:dyDescent="0.25">
      <c r="B3010" s="68"/>
      <c r="C3010" s="50"/>
      <c r="D3010" s="15"/>
    </row>
    <row r="3011" spans="2:4" x14ac:dyDescent="0.25">
      <c r="B3011" s="68"/>
      <c r="C3011" s="50"/>
      <c r="D3011" s="15"/>
    </row>
    <row r="3012" spans="2:4" x14ac:dyDescent="0.25">
      <c r="B3012" s="68"/>
      <c r="C3012" s="50"/>
      <c r="D3012" s="15"/>
    </row>
    <row r="3013" spans="2:4" x14ac:dyDescent="0.25">
      <c r="B3013" s="68"/>
      <c r="C3013" s="50"/>
      <c r="D3013" s="15"/>
    </row>
    <row r="3014" spans="2:4" x14ac:dyDescent="0.25">
      <c r="B3014" s="68"/>
      <c r="C3014" s="50"/>
      <c r="D3014" s="15"/>
    </row>
    <row r="3015" spans="2:4" x14ac:dyDescent="0.25">
      <c r="B3015" s="68"/>
      <c r="C3015" s="50"/>
      <c r="D3015" s="15"/>
    </row>
    <row r="3016" spans="2:4" x14ac:dyDescent="0.25">
      <c r="B3016" s="68"/>
      <c r="C3016" s="50"/>
      <c r="D3016" s="15"/>
    </row>
    <row r="3017" spans="2:4" x14ac:dyDescent="0.25">
      <c r="B3017" s="68"/>
      <c r="C3017" s="50"/>
      <c r="D3017" s="15"/>
    </row>
    <row r="3018" spans="2:4" x14ac:dyDescent="0.25">
      <c r="B3018" s="68"/>
      <c r="C3018" s="50"/>
      <c r="D3018" s="15"/>
    </row>
    <row r="3019" spans="2:4" x14ac:dyDescent="0.25">
      <c r="B3019" s="68"/>
      <c r="C3019" s="50"/>
      <c r="D3019" s="15"/>
    </row>
    <row r="3020" spans="2:4" x14ac:dyDescent="0.25">
      <c r="B3020" s="68"/>
      <c r="C3020" s="50"/>
      <c r="D3020" s="15"/>
    </row>
    <row r="3021" spans="2:4" x14ac:dyDescent="0.25">
      <c r="B3021" s="68"/>
      <c r="C3021" s="50"/>
      <c r="D3021" s="15"/>
    </row>
    <row r="3022" spans="2:4" x14ac:dyDescent="0.25">
      <c r="B3022" s="68"/>
      <c r="C3022" s="50"/>
      <c r="D3022" s="15"/>
    </row>
    <row r="3023" spans="2:4" x14ac:dyDescent="0.25">
      <c r="B3023" s="68"/>
      <c r="C3023" s="50"/>
      <c r="D3023" s="15"/>
    </row>
    <row r="3024" spans="2:4" x14ac:dyDescent="0.25">
      <c r="B3024" s="68"/>
      <c r="C3024" s="50"/>
      <c r="D3024" s="15"/>
    </row>
    <row r="3025" spans="2:4" x14ac:dyDescent="0.25">
      <c r="B3025" s="68"/>
      <c r="C3025" s="50"/>
      <c r="D3025" s="15"/>
    </row>
    <row r="3026" spans="2:4" x14ac:dyDescent="0.25">
      <c r="B3026" s="68"/>
      <c r="C3026" s="50"/>
      <c r="D3026" s="15"/>
    </row>
    <row r="3027" spans="2:4" x14ac:dyDescent="0.25">
      <c r="B3027" s="68"/>
      <c r="C3027" s="50"/>
      <c r="D3027" s="15"/>
    </row>
    <row r="3028" spans="2:4" x14ac:dyDescent="0.25">
      <c r="B3028" s="68"/>
      <c r="C3028" s="50"/>
      <c r="D3028" s="15"/>
    </row>
    <row r="3029" spans="2:4" x14ac:dyDescent="0.25">
      <c r="B3029" s="68"/>
      <c r="C3029" s="50"/>
      <c r="D3029" s="15"/>
    </row>
    <row r="3030" spans="2:4" x14ac:dyDescent="0.25">
      <c r="B3030" s="68"/>
      <c r="C3030" s="50"/>
      <c r="D3030" s="15"/>
    </row>
    <row r="3031" spans="2:4" x14ac:dyDescent="0.25">
      <c r="B3031" s="68"/>
      <c r="C3031" s="50"/>
      <c r="D3031" s="15"/>
    </row>
    <row r="3032" spans="2:4" x14ac:dyDescent="0.25">
      <c r="B3032" s="68"/>
      <c r="C3032" s="50"/>
      <c r="D3032" s="15"/>
    </row>
    <row r="3033" spans="2:4" x14ac:dyDescent="0.25">
      <c r="B3033" s="68"/>
      <c r="C3033" s="50"/>
      <c r="D3033" s="15"/>
    </row>
    <row r="3034" spans="2:4" x14ac:dyDescent="0.25">
      <c r="B3034" s="68"/>
      <c r="C3034" s="50"/>
      <c r="D3034" s="15"/>
    </row>
    <row r="3035" spans="2:4" x14ac:dyDescent="0.25">
      <c r="B3035" s="68"/>
      <c r="C3035" s="50"/>
      <c r="D3035" s="15"/>
    </row>
    <row r="3036" spans="2:4" x14ac:dyDescent="0.25">
      <c r="B3036" s="68"/>
      <c r="C3036" s="50"/>
      <c r="D3036" s="15"/>
    </row>
    <row r="3037" spans="2:4" x14ac:dyDescent="0.25">
      <c r="B3037" s="68"/>
      <c r="C3037" s="50"/>
      <c r="D3037" s="15"/>
    </row>
    <row r="3038" spans="2:4" x14ac:dyDescent="0.25">
      <c r="B3038" s="68"/>
      <c r="C3038" s="50"/>
      <c r="D3038" s="15"/>
    </row>
    <row r="3039" spans="2:4" x14ac:dyDescent="0.25">
      <c r="B3039" s="68"/>
      <c r="C3039" s="50"/>
      <c r="D3039" s="15"/>
    </row>
    <row r="3040" spans="2:4" x14ac:dyDescent="0.25">
      <c r="B3040" s="68"/>
      <c r="C3040" s="50"/>
      <c r="D3040" s="15"/>
    </row>
    <row r="3041" spans="2:4" x14ac:dyDescent="0.25">
      <c r="B3041" s="68"/>
      <c r="C3041" s="50"/>
      <c r="D3041" s="15"/>
    </row>
    <row r="3042" spans="2:4" x14ac:dyDescent="0.25">
      <c r="B3042" s="68"/>
      <c r="C3042" s="50"/>
      <c r="D3042" s="15"/>
    </row>
    <row r="3043" spans="2:4" x14ac:dyDescent="0.25">
      <c r="B3043" s="68"/>
      <c r="C3043" s="50"/>
      <c r="D3043" s="15"/>
    </row>
    <row r="3044" spans="2:4" x14ac:dyDescent="0.25">
      <c r="B3044" s="68"/>
      <c r="C3044" s="50"/>
      <c r="D3044" s="15"/>
    </row>
    <row r="3045" spans="2:4" x14ac:dyDescent="0.25">
      <c r="B3045" s="68"/>
      <c r="C3045" s="50"/>
      <c r="D3045" s="15"/>
    </row>
    <row r="3046" spans="2:4" x14ac:dyDescent="0.25">
      <c r="B3046" s="68"/>
      <c r="C3046" s="50"/>
      <c r="D3046" s="15"/>
    </row>
    <row r="3047" spans="2:4" x14ac:dyDescent="0.25">
      <c r="B3047" s="68"/>
      <c r="C3047" s="50"/>
      <c r="D3047" s="15"/>
    </row>
    <row r="3048" spans="2:4" x14ac:dyDescent="0.25">
      <c r="B3048" s="68"/>
      <c r="C3048" s="50"/>
      <c r="D3048" s="15"/>
    </row>
    <row r="3049" spans="2:4" x14ac:dyDescent="0.25">
      <c r="B3049" s="68"/>
      <c r="C3049" s="50"/>
      <c r="D3049" s="15"/>
    </row>
    <row r="3050" spans="2:4" x14ac:dyDescent="0.25">
      <c r="B3050" s="68"/>
      <c r="C3050" s="50"/>
      <c r="D3050" s="15"/>
    </row>
    <row r="3051" spans="2:4" x14ac:dyDescent="0.25">
      <c r="B3051" s="68"/>
      <c r="C3051" s="50"/>
      <c r="D3051" s="15"/>
    </row>
    <row r="3052" spans="2:4" x14ac:dyDescent="0.25">
      <c r="B3052" s="68"/>
      <c r="C3052" s="50"/>
      <c r="D3052" s="15"/>
    </row>
    <row r="3053" spans="2:4" x14ac:dyDescent="0.25">
      <c r="B3053" s="68"/>
      <c r="C3053" s="50"/>
      <c r="D3053" s="15"/>
    </row>
    <row r="3054" spans="2:4" x14ac:dyDescent="0.25">
      <c r="B3054" s="68"/>
      <c r="C3054" s="50"/>
      <c r="D3054" s="15"/>
    </row>
    <row r="3055" spans="2:4" x14ac:dyDescent="0.25">
      <c r="B3055" s="68"/>
      <c r="C3055" s="50"/>
      <c r="D3055" s="15"/>
    </row>
    <row r="3056" spans="2:4" x14ac:dyDescent="0.25">
      <c r="B3056" s="68"/>
      <c r="C3056" s="50"/>
      <c r="D3056" s="15"/>
    </row>
    <row r="3057" spans="2:4" x14ac:dyDescent="0.25">
      <c r="B3057" s="68"/>
      <c r="C3057" s="50"/>
      <c r="D3057" s="15"/>
    </row>
    <row r="3058" spans="2:4" x14ac:dyDescent="0.25">
      <c r="B3058" s="68"/>
      <c r="C3058" s="50"/>
      <c r="D3058" s="15"/>
    </row>
    <row r="3059" spans="2:4" x14ac:dyDescent="0.25">
      <c r="B3059" s="68"/>
      <c r="C3059" s="50"/>
      <c r="D3059" s="15"/>
    </row>
    <row r="3060" spans="2:4" x14ac:dyDescent="0.25">
      <c r="B3060" s="68"/>
      <c r="C3060" s="50"/>
      <c r="D3060" s="15"/>
    </row>
    <row r="3061" spans="2:4" x14ac:dyDescent="0.25">
      <c r="B3061" s="68"/>
      <c r="C3061" s="50"/>
      <c r="D3061" s="15"/>
    </row>
    <row r="3062" spans="2:4" x14ac:dyDescent="0.25">
      <c r="B3062" s="68"/>
      <c r="C3062" s="50"/>
      <c r="D3062" s="15"/>
    </row>
    <row r="3063" spans="2:4" x14ac:dyDescent="0.25">
      <c r="B3063" s="68"/>
      <c r="C3063" s="50"/>
      <c r="D3063" s="15"/>
    </row>
    <row r="3064" spans="2:4" x14ac:dyDescent="0.25">
      <c r="B3064" s="68"/>
      <c r="C3064" s="50"/>
      <c r="D3064" s="15"/>
    </row>
    <row r="3065" spans="2:4" x14ac:dyDescent="0.25">
      <c r="B3065" s="68"/>
      <c r="C3065" s="50"/>
      <c r="D3065" s="15"/>
    </row>
    <row r="3066" spans="2:4" x14ac:dyDescent="0.25">
      <c r="B3066" s="68"/>
      <c r="C3066" s="50"/>
      <c r="D3066" s="15"/>
    </row>
    <row r="3067" spans="2:4" x14ac:dyDescent="0.25">
      <c r="B3067" s="68"/>
      <c r="C3067" s="50"/>
      <c r="D3067" s="15"/>
    </row>
    <row r="3068" spans="2:4" x14ac:dyDescent="0.25">
      <c r="B3068" s="68"/>
      <c r="C3068" s="50"/>
      <c r="D3068" s="15"/>
    </row>
    <row r="3069" spans="2:4" x14ac:dyDescent="0.25">
      <c r="B3069" s="68"/>
      <c r="C3069" s="50"/>
      <c r="D3069" s="15"/>
    </row>
    <row r="3070" spans="2:4" x14ac:dyDescent="0.25">
      <c r="B3070" s="68"/>
      <c r="C3070" s="50"/>
      <c r="D3070" s="15"/>
    </row>
    <row r="3071" spans="2:4" x14ac:dyDescent="0.25">
      <c r="B3071" s="68"/>
      <c r="C3071" s="50"/>
      <c r="D3071" s="15"/>
    </row>
    <row r="3072" spans="2:4" x14ac:dyDescent="0.25">
      <c r="B3072" s="68"/>
      <c r="C3072" s="50"/>
      <c r="D3072" s="15"/>
    </row>
    <row r="3073" spans="2:4" x14ac:dyDescent="0.25">
      <c r="B3073" s="68"/>
      <c r="C3073" s="50"/>
      <c r="D3073" s="15"/>
    </row>
    <row r="3074" spans="2:4" x14ac:dyDescent="0.25">
      <c r="B3074" s="68"/>
      <c r="C3074" s="50"/>
      <c r="D3074" s="15"/>
    </row>
    <row r="3075" spans="2:4" x14ac:dyDescent="0.25">
      <c r="B3075" s="68"/>
      <c r="C3075" s="50"/>
      <c r="D3075" s="15"/>
    </row>
    <row r="3076" spans="2:4" x14ac:dyDescent="0.25">
      <c r="B3076" s="68"/>
      <c r="C3076" s="50"/>
      <c r="D3076" s="15"/>
    </row>
    <row r="3077" spans="2:4" x14ac:dyDescent="0.25">
      <c r="B3077" s="68"/>
      <c r="C3077" s="50"/>
      <c r="D3077" s="15"/>
    </row>
    <row r="3078" spans="2:4" x14ac:dyDescent="0.25">
      <c r="B3078" s="68"/>
      <c r="C3078" s="50"/>
      <c r="D3078" s="15"/>
    </row>
    <row r="3079" spans="2:4" x14ac:dyDescent="0.25">
      <c r="B3079" s="68"/>
      <c r="C3079" s="50"/>
      <c r="D3079" s="15"/>
    </row>
    <row r="3080" spans="2:4" x14ac:dyDescent="0.25">
      <c r="B3080" s="68"/>
      <c r="C3080" s="50"/>
      <c r="D3080" s="15"/>
    </row>
    <row r="3081" spans="2:4" x14ac:dyDescent="0.25">
      <c r="B3081" s="68"/>
      <c r="C3081" s="50"/>
      <c r="D3081" s="15"/>
    </row>
    <row r="3082" spans="2:4" x14ac:dyDescent="0.25">
      <c r="B3082" s="68"/>
      <c r="C3082" s="50"/>
      <c r="D3082" s="15"/>
    </row>
    <row r="3083" spans="2:4" x14ac:dyDescent="0.25">
      <c r="B3083" s="68"/>
      <c r="C3083" s="50"/>
      <c r="D3083" s="15"/>
    </row>
    <row r="3084" spans="2:4" x14ac:dyDescent="0.25">
      <c r="B3084" s="68"/>
      <c r="C3084" s="50"/>
      <c r="D3084" s="15"/>
    </row>
    <row r="3085" spans="2:4" x14ac:dyDescent="0.25">
      <c r="B3085" s="68"/>
      <c r="C3085" s="50"/>
      <c r="D3085" s="15"/>
    </row>
    <row r="3086" spans="2:4" x14ac:dyDescent="0.25">
      <c r="B3086" s="68"/>
      <c r="C3086" s="50"/>
      <c r="D3086" s="15"/>
    </row>
    <row r="3087" spans="2:4" x14ac:dyDescent="0.25">
      <c r="B3087" s="68"/>
      <c r="C3087" s="50"/>
      <c r="D3087" s="15"/>
    </row>
    <row r="3088" spans="2:4" x14ac:dyDescent="0.25">
      <c r="B3088" s="68"/>
      <c r="C3088" s="50"/>
      <c r="D3088" s="15"/>
    </row>
    <row r="3089" spans="2:4" x14ac:dyDescent="0.25">
      <c r="B3089" s="68"/>
      <c r="C3089" s="50"/>
      <c r="D3089" s="15"/>
    </row>
    <row r="3090" spans="2:4" x14ac:dyDescent="0.25">
      <c r="B3090" s="68"/>
      <c r="C3090" s="50"/>
      <c r="D3090" s="15"/>
    </row>
    <row r="3091" spans="2:4" x14ac:dyDescent="0.25">
      <c r="B3091" s="68"/>
      <c r="C3091" s="50"/>
      <c r="D3091" s="15"/>
    </row>
    <row r="3092" spans="2:4" x14ac:dyDescent="0.25">
      <c r="B3092" s="68"/>
      <c r="C3092" s="50"/>
      <c r="D3092" s="15"/>
    </row>
    <row r="3093" spans="2:4" x14ac:dyDescent="0.25">
      <c r="B3093" s="68"/>
      <c r="C3093" s="50"/>
      <c r="D3093" s="15"/>
    </row>
    <row r="3094" spans="2:4" x14ac:dyDescent="0.25">
      <c r="B3094" s="68"/>
      <c r="C3094" s="50"/>
      <c r="D3094" s="15"/>
    </row>
    <row r="3095" spans="2:4" x14ac:dyDescent="0.25">
      <c r="B3095" s="68"/>
      <c r="C3095" s="50"/>
      <c r="D3095" s="15"/>
    </row>
    <row r="3096" spans="2:4" x14ac:dyDescent="0.25">
      <c r="B3096" s="68"/>
      <c r="C3096" s="50"/>
      <c r="D3096" s="15"/>
    </row>
    <row r="3097" spans="2:4" x14ac:dyDescent="0.25">
      <c r="B3097" s="68"/>
      <c r="C3097" s="50"/>
      <c r="D3097" s="15"/>
    </row>
    <row r="3098" spans="2:4" x14ac:dyDescent="0.25">
      <c r="B3098" s="68"/>
      <c r="C3098" s="50"/>
      <c r="D3098" s="15"/>
    </row>
    <row r="3099" spans="2:4" x14ac:dyDescent="0.25">
      <c r="B3099" s="68"/>
      <c r="C3099" s="50"/>
      <c r="D3099" s="15"/>
    </row>
    <row r="3100" spans="2:4" x14ac:dyDescent="0.25">
      <c r="B3100" s="68"/>
      <c r="C3100" s="50"/>
      <c r="D3100" s="15"/>
    </row>
    <row r="3101" spans="2:4" x14ac:dyDescent="0.25">
      <c r="B3101" s="68"/>
      <c r="C3101" s="50"/>
      <c r="D3101" s="15"/>
    </row>
    <row r="3102" spans="2:4" x14ac:dyDescent="0.25">
      <c r="B3102" s="68"/>
      <c r="C3102" s="50"/>
      <c r="D3102" s="15"/>
    </row>
    <row r="3103" spans="2:4" x14ac:dyDescent="0.25">
      <c r="B3103" s="68"/>
      <c r="C3103" s="50"/>
      <c r="D3103" s="15"/>
    </row>
    <row r="3104" spans="2:4" x14ac:dyDescent="0.25">
      <c r="B3104" s="68"/>
      <c r="C3104" s="50"/>
      <c r="D3104" s="15"/>
    </row>
    <row r="3105" spans="2:4" x14ac:dyDescent="0.25">
      <c r="B3105" s="68"/>
      <c r="C3105" s="50"/>
      <c r="D3105" s="15"/>
    </row>
    <row r="3106" spans="2:4" x14ac:dyDescent="0.25">
      <c r="B3106" s="68"/>
      <c r="C3106" s="50"/>
      <c r="D3106" s="15"/>
    </row>
    <row r="3107" spans="2:4" x14ac:dyDescent="0.25">
      <c r="B3107" s="68"/>
      <c r="C3107" s="50"/>
      <c r="D3107" s="15"/>
    </row>
    <row r="3108" spans="2:4" x14ac:dyDescent="0.25">
      <c r="B3108" s="68"/>
      <c r="C3108" s="50"/>
      <c r="D3108" s="15"/>
    </row>
    <row r="3109" spans="2:4" x14ac:dyDescent="0.25">
      <c r="B3109" s="68"/>
      <c r="C3109" s="50"/>
      <c r="D3109" s="15"/>
    </row>
    <row r="3110" spans="2:4" x14ac:dyDescent="0.25">
      <c r="B3110" s="68"/>
      <c r="C3110" s="50"/>
      <c r="D3110" s="15"/>
    </row>
    <row r="3111" spans="2:4" x14ac:dyDescent="0.25">
      <c r="B3111" s="68"/>
      <c r="C3111" s="50"/>
      <c r="D3111" s="15"/>
    </row>
    <row r="3112" spans="2:4" x14ac:dyDescent="0.25">
      <c r="B3112" s="68"/>
      <c r="C3112" s="50"/>
      <c r="D3112" s="15"/>
    </row>
    <row r="3113" spans="2:4" x14ac:dyDescent="0.25">
      <c r="B3113" s="68"/>
      <c r="C3113" s="50"/>
      <c r="D3113" s="15"/>
    </row>
    <row r="3114" spans="2:4" x14ac:dyDescent="0.25">
      <c r="B3114" s="68"/>
      <c r="C3114" s="50"/>
      <c r="D3114" s="15"/>
    </row>
    <row r="3115" spans="2:4" x14ac:dyDescent="0.25">
      <c r="B3115" s="68"/>
      <c r="C3115" s="50"/>
      <c r="D3115" s="15"/>
    </row>
    <row r="3116" spans="2:4" x14ac:dyDescent="0.25">
      <c r="B3116" s="68"/>
      <c r="C3116" s="50"/>
      <c r="D3116" s="15"/>
    </row>
    <row r="3117" spans="2:4" x14ac:dyDescent="0.25">
      <c r="B3117" s="68"/>
      <c r="C3117" s="50"/>
      <c r="D3117" s="15"/>
    </row>
    <row r="3118" spans="2:4" x14ac:dyDescent="0.25">
      <c r="B3118" s="68"/>
      <c r="C3118" s="50"/>
      <c r="D3118" s="15"/>
    </row>
    <row r="3119" spans="2:4" x14ac:dyDescent="0.25">
      <c r="B3119" s="68"/>
      <c r="C3119" s="50"/>
      <c r="D3119" s="15"/>
    </row>
    <row r="3120" spans="2:4" x14ac:dyDescent="0.25">
      <c r="B3120" s="68"/>
      <c r="C3120" s="50"/>
      <c r="D3120" s="15"/>
    </row>
    <row r="3121" spans="2:4" x14ac:dyDescent="0.25">
      <c r="B3121" s="68"/>
      <c r="C3121" s="50"/>
      <c r="D3121" s="15"/>
    </row>
    <row r="3122" spans="2:4" x14ac:dyDescent="0.25">
      <c r="B3122" s="68"/>
      <c r="C3122" s="50"/>
      <c r="D3122" s="15"/>
    </row>
    <row r="3123" spans="2:4" x14ac:dyDescent="0.25">
      <c r="B3123" s="68"/>
      <c r="C3123" s="50"/>
      <c r="D3123" s="15"/>
    </row>
    <row r="3124" spans="2:4" x14ac:dyDescent="0.25">
      <c r="B3124" s="68"/>
      <c r="C3124" s="50"/>
      <c r="D3124" s="15"/>
    </row>
    <row r="3125" spans="2:4" x14ac:dyDescent="0.25">
      <c r="B3125" s="68"/>
      <c r="C3125" s="50"/>
      <c r="D3125" s="15"/>
    </row>
    <row r="3126" spans="2:4" x14ac:dyDescent="0.25">
      <c r="B3126" s="68"/>
      <c r="C3126" s="50"/>
      <c r="D3126" s="15"/>
    </row>
    <row r="3127" spans="2:4" x14ac:dyDescent="0.25">
      <c r="B3127" s="68"/>
      <c r="C3127" s="50"/>
      <c r="D3127" s="15"/>
    </row>
    <row r="3128" spans="2:4" x14ac:dyDescent="0.25">
      <c r="B3128" s="68"/>
      <c r="C3128" s="50"/>
      <c r="D3128" s="15"/>
    </row>
    <row r="3129" spans="2:4" x14ac:dyDescent="0.25">
      <c r="B3129" s="68"/>
      <c r="C3129" s="50"/>
      <c r="D3129" s="15"/>
    </row>
    <row r="3130" spans="2:4" x14ac:dyDescent="0.25">
      <c r="B3130" s="68"/>
      <c r="C3130" s="50"/>
      <c r="D3130" s="15"/>
    </row>
    <row r="3131" spans="2:4" x14ac:dyDescent="0.25">
      <c r="B3131" s="68"/>
      <c r="C3131" s="50"/>
      <c r="D3131" s="15"/>
    </row>
    <row r="3132" spans="2:4" x14ac:dyDescent="0.25">
      <c r="B3132" s="68"/>
      <c r="C3132" s="50"/>
      <c r="D3132" s="15"/>
    </row>
    <row r="3133" spans="2:4" x14ac:dyDescent="0.25">
      <c r="B3133" s="68"/>
      <c r="C3133" s="50"/>
      <c r="D3133" s="15"/>
    </row>
    <row r="3134" spans="2:4" x14ac:dyDescent="0.25">
      <c r="B3134" s="68"/>
      <c r="C3134" s="50"/>
      <c r="D3134" s="15"/>
    </row>
    <row r="3135" spans="2:4" x14ac:dyDescent="0.25">
      <c r="B3135" s="68"/>
      <c r="C3135" s="50"/>
      <c r="D3135" s="15"/>
    </row>
    <row r="3136" spans="2:4" x14ac:dyDescent="0.25">
      <c r="B3136" s="68"/>
      <c r="C3136" s="50"/>
      <c r="D3136" s="15"/>
    </row>
    <row r="3137" spans="2:4" x14ac:dyDescent="0.25">
      <c r="B3137" s="68"/>
      <c r="C3137" s="50"/>
      <c r="D3137" s="15"/>
    </row>
    <row r="3138" spans="2:4" x14ac:dyDescent="0.25">
      <c r="B3138" s="68"/>
      <c r="C3138" s="50"/>
      <c r="D3138" s="15"/>
    </row>
    <row r="3139" spans="2:4" x14ac:dyDescent="0.25">
      <c r="B3139" s="68"/>
      <c r="C3139" s="50"/>
      <c r="D3139" s="15"/>
    </row>
    <row r="3140" spans="2:4" x14ac:dyDescent="0.25">
      <c r="B3140" s="68"/>
      <c r="C3140" s="50"/>
      <c r="D3140" s="15"/>
    </row>
    <row r="3141" spans="2:4" x14ac:dyDescent="0.25">
      <c r="B3141" s="68"/>
      <c r="C3141" s="50"/>
      <c r="D3141" s="15"/>
    </row>
    <row r="3142" spans="2:4" x14ac:dyDescent="0.25">
      <c r="B3142" s="68"/>
      <c r="C3142" s="50"/>
      <c r="D3142" s="15"/>
    </row>
    <row r="3143" spans="2:4" x14ac:dyDescent="0.25">
      <c r="B3143" s="68"/>
      <c r="C3143" s="50"/>
      <c r="D3143" s="15"/>
    </row>
    <row r="3144" spans="2:4" x14ac:dyDescent="0.25">
      <c r="B3144" s="68"/>
      <c r="C3144" s="50"/>
      <c r="D3144" s="15"/>
    </row>
    <row r="3145" spans="2:4" x14ac:dyDescent="0.25">
      <c r="B3145" s="68"/>
      <c r="C3145" s="50"/>
      <c r="D3145" s="15"/>
    </row>
    <row r="3146" spans="2:4" x14ac:dyDescent="0.25">
      <c r="B3146" s="68"/>
      <c r="C3146" s="50"/>
      <c r="D3146" s="15"/>
    </row>
    <row r="3147" spans="2:4" x14ac:dyDescent="0.25">
      <c r="B3147" s="68"/>
      <c r="C3147" s="50"/>
      <c r="D3147" s="15"/>
    </row>
    <row r="3148" spans="2:4" x14ac:dyDescent="0.25">
      <c r="B3148" s="68"/>
      <c r="C3148" s="50"/>
      <c r="D3148" s="15"/>
    </row>
    <row r="3149" spans="2:4" x14ac:dyDescent="0.25">
      <c r="B3149" s="68"/>
      <c r="C3149" s="50"/>
      <c r="D3149" s="15"/>
    </row>
    <row r="3150" spans="2:4" x14ac:dyDescent="0.25">
      <c r="B3150" s="68"/>
      <c r="C3150" s="50"/>
      <c r="D3150" s="15"/>
    </row>
    <row r="3151" spans="2:4" x14ac:dyDescent="0.25">
      <c r="B3151" s="68"/>
      <c r="C3151" s="50"/>
      <c r="D3151" s="15"/>
    </row>
    <row r="3152" spans="2:4" x14ac:dyDescent="0.25">
      <c r="B3152" s="68"/>
      <c r="C3152" s="50"/>
      <c r="D3152" s="15"/>
    </row>
    <row r="3153" spans="2:4" x14ac:dyDescent="0.25">
      <c r="B3153" s="68"/>
      <c r="C3153" s="50"/>
      <c r="D3153" s="15"/>
    </row>
    <row r="3154" spans="2:4" x14ac:dyDescent="0.25">
      <c r="B3154" s="68"/>
      <c r="C3154" s="50"/>
      <c r="D3154" s="15"/>
    </row>
    <row r="3155" spans="2:4" x14ac:dyDescent="0.25">
      <c r="B3155" s="68"/>
      <c r="C3155" s="50"/>
      <c r="D3155" s="15"/>
    </row>
    <row r="3156" spans="2:4" x14ac:dyDescent="0.25">
      <c r="B3156" s="68"/>
      <c r="C3156" s="50"/>
      <c r="D3156" s="15"/>
    </row>
    <row r="3157" spans="2:4" x14ac:dyDescent="0.25">
      <c r="B3157" s="68"/>
      <c r="C3157" s="50"/>
      <c r="D3157" s="15"/>
    </row>
    <row r="3158" spans="2:4" x14ac:dyDescent="0.25">
      <c r="B3158" s="68"/>
      <c r="C3158" s="50"/>
      <c r="D3158" s="15"/>
    </row>
    <row r="3159" spans="2:4" x14ac:dyDescent="0.25">
      <c r="B3159" s="68"/>
      <c r="C3159" s="50"/>
      <c r="D3159" s="15"/>
    </row>
    <row r="3160" spans="2:4" x14ac:dyDescent="0.25">
      <c r="B3160" s="68"/>
      <c r="C3160" s="50"/>
      <c r="D3160" s="15"/>
    </row>
    <row r="3161" spans="2:4" x14ac:dyDescent="0.25">
      <c r="B3161" s="68"/>
      <c r="C3161" s="50"/>
      <c r="D3161" s="15"/>
    </row>
    <row r="3162" spans="2:4" x14ac:dyDescent="0.25">
      <c r="B3162" s="68"/>
      <c r="C3162" s="50"/>
      <c r="D3162" s="15"/>
    </row>
    <row r="3163" spans="2:4" x14ac:dyDescent="0.25">
      <c r="B3163" s="68"/>
      <c r="C3163" s="50"/>
      <c r="D3163" s="15"/>
    </row>
    <row r="3164" spans="2:4" x14ac:dyDescent="0.25">
      <c r="B3164" s="68"/>
      <c r="C3164" s="50"/>
      <c r="D3164" s="15"/>
    </row>
    <row r="3165" spans="2:4" x14ac:dyDescent="0.25">
      <c r="B3165" s="68"/>
      <c r="C3165" s="50"/>
      <c r="D3165" s="15"/>
    </row>
    <row r="3166" spans="2:4" x14ac:dyDescent="0.25">
      <c r="B3166" s="68"/>
      <c r="C3166" s="50"/>
      <c r="D3166" s="15"/>
    </row>
    <row r="3167" spans="2:4" x14ac:dyDescent="0.25">
      <c r="B3167" s="68"/>
      <c r="C3167" s="50"/>
      <c r="D3167" s="15"/>
    </row>
    <row r="3168" spans="2:4" x14ac:dyDescent="0.25">
      <c r="B3168" s="68"/>
      <c r="C3168" s="50"/>
      <c r="D3168" s="15"/>
    </row>
    <row r="3169" spans="2:4" x14ac:dyDescent="0.25">
      <c r="B3169" s="68"/>
      <c r="C3169" s="50"/>
      <c r="D3169" s="15"/>
    </row>
    <row r="3170" spans="2:4" x14ac:dyDescent="0.25">
      <c r="B3170" s="68"/>
      <c r="C3170" s="50"/>
      <c r="D3170" s="15"/>
    </row>
    <row r="3171" spans="2:4" x14ac:dyDescent="0.25">
      <c r="B3171" s="68"/>
      <c r="C3171" s="50"/>
      <c r="D3171" s="15"/>
    </row>
    <row r="3172" spans="2:4" x14ac:dyDescent="0.25">
      <c r="B3172" s="68"/>
      <c r="C3172" s="50"/>
      <c r="D3172" s="15"/>
    </row>
    <row r="3173" spans="2:4" x14ac:dyDescent="0.25">
      <c r="B3173" s="68"/>
      <c r="C3173" s="50"/>
      <c r="D3173" s="15"/>
    </row>
    <row r="3174" spans="2:4" x14ac:dyDescent="0.25">
      <c r="B3174" s="68"/>
      <c r="C3174" s="50"/>
      <c r="D3174" s="15"/>
    </row>
    <row r="3175" spans="2:4" x14ac:dyDescent="0.25">
      <c r="B3175" s="68"/>
      <c r="C3175" s="50"/>
      <c r="D3175" s="15"/>
    </row>
    <row r="3176" spans="2:4" x14ac:dyDescent="0.25">
      <c r="B3176" s="68"/>
      <c r="C3176" s="50"/>
      <c r="D3176" s="15"/>
    </row>
    <row r="3177" spans="2:4" x14ac:dyDescent="0.25">
      <c r="B3177" s="68"/>
      <c r="C3177" s="50"/>
      <c r="D3177" s="15"/>
    </row>
    <row r="3178" spans="2:4" x14ac:dyDescent="0.25">
      <c r="B3178" s="68"/>
      <c r="C3178" s="50"/>
      <c r="D3178" s="15"/>
    </row>
    <row r="3179" spans="2:4" x14ac:dyDescent="0.25">
      <c r="B3179" s="68"/>
      <c r="C3179" s="50"/>
      <c r="D3179" s="15"/>
    </row>
    <row r="3180" spans="2:4" x14ac:dyDescent="0.25">
      <c r="B3180" s="68"/>
      <c r="C3180" s="50"/>
      <c r="D3180" s="15"/>
    </row>
    <row r="3181" spans="2:4" x14ac:dyDescent="0.25">
      <c r="B3181" s="68"/>
      <c r="C3181" s="50"/>
      <c r="D3181" s="15"/>
    </row>
    <row r="3182" spans="2:4" x14ac:dyDescent="0.25">
      <c r="B3182" s="68"/>
      <c r="C3182" s="50"/>
      <c r="D3182" s="15"/>
    </row>
    <row r="3183" spans="2:4" x14ac:dyDescent="0.25">
      <c r="B3183" s="68"/>
      <c r="C3183" s="50"/>
      <c r="D3183" s="15"/>
    </row>
    <row r="3184" spans="2:4" x14ac:dyDescent="0.25">
      <c r="B3184" s="68"/>
      <c r="C3184" s="50"/>
      <c r="D3184" s="15"/>
    </row>
    <row r="3185" spans="2:4" x14ac:dyDescent="0.25">
      <c r="B3185" s="68"/>
      <c r="C3185" s="50"/>
      <c r="D3185" s="15"/>
    </row>
    <row r="3186" spans="2:4" x14ac:dyDescent="0.25">
      <c r="B3186" s="68"/>
      <c r="C3186" s="50"/>
      <c r="D3186" s="15"/>
    </row>
    <row r="3187" spans="2:4" x14ac:dyDescent="0.25">
      <c r="B3187" s="68"/>
      <c r="C3187" s="50"/>
      <c r="D3187" s="15"/>
    </row>
    <row r="3188" spans="2:4" x14ac:dyDescent="0.25">
      <c r="B3188" s="68"/>
      <c r="C3188" s="50"/>
      <c r="D3188" s="15"/>
    </row>
    <row r="3189" spans="2:4" x14ac:dyDescent="0.25">
      <c r="B3189" s="68"/>
      <c r="C3189" s="50"/>
      <c r="D3189" s="15"/>
    </row>
    <row r="3190" spans="2:4" x14ac:dyDescent="0.25">
      <c r="B3190" s="68"/>
      <c r="C3190" s="50"/>
      <c r="D3190" s="15"/>
    </row>
    <row r="3191" spans="2:4" x14ac:dyDescent="0.25">
      <c r="B3191" s="68"/>
      <c r="C3191" s="50"/>
      <c r="D3191" s="15"/>
    </row>
    <row r="3192" spans="2:4" x14ac:dyDescent="0.25">
      <c r="B3192" s="68"/>
      <c r="C3192" s="50"/>
      <c r="D3192" s="15"/>
    </row>
    <row r="3193" spans="2:4" x14ac:dyDescent="0.25">
      <c r="B3193" s="68"/>
      <c r="C3193" s="50"/>
      <c r="D3193" s="15"/>
    </row>
    <row r="3194" spans="2:4" x14ac:dyDescent="0.25">
      <c r="B3194" s="68"/>
      <c r="C3194" s="50"/>
      <c r="D3194" s="15"/>
    </row>
    <row r="3195" spans="2:4" x14ac:dyDescent="0.25">
      <c r="B3195" s="68"/>
      <c r="C3195" s="50"/>
      <c r="D3195" s="15"/>
    </row>
    <row r="3196" spans="2:4" x14ac:dyDescent="0.25">
      <c r="B3196" s="68"/>
      <c r="C3196" s="50"/>
      <c r="D3196" s="15"/>
    </row>
    <row r="3197" spans="2:4" x14ac:dyDescent="0.25">
      <c r="B3197" s="68"/>
      <c r="C3197" s="50"/>
      <c r="D3197" s="15"/>
    </row>
    <row r="3198" spans="2:4" x14ac:dyDescent="0.25">
      <c r="B3198" s="68"/>
      <c r="C3198" s="50"/>
      <c r="D3198" s="15"/>
    </row>
    <row r="3199" spans="2:4" x14ac:dyDescent="0.25">
      <c r="B3199" s="68"/>
      <c r="C3199" s="50"/>
      <c r="D3199" s="15"/>
    </row>
    <row r="3200" spans="2:4" x14ac:dyDescent="0.25">
      <c r="B3200" s="68"/>
      <c r="C3200" s="50"/>
      <c r="D3200" s="15"/>
    </row>
    <row r="3201" spans="2:4" x14ac:dyDescent="0.25">
      <c r="B3201" s="68"/>
      <c r="C3201" s="50"/>
      <c r="D3201" s="15"/>
    </row>
    <row r="3202" spans="2:4" x14ac:dyDescent="0.25">
      <c r="B3202" s="68"/>
      <c r="C3202" s="50"/>
      <c r="D3202" s="15"/>
    </row>
    <row r="3203" spans="2:4" x14ac:dyDescent="0.25">
      <c r="B3203" s="68"/>
      <c r="C3203" s="50"/>
      <c r="D3203" s="15"/>
    </row>
    <row r="3204" spans="2:4" x14ac:dyDescent="0.25">
      <c r="B3204" s="68"/>
      <c r="C3204" s="50"/>
      <c r="D3204" s="15"/>
    </row>
    <row r="3205" spans="2:4" x14ac:dyDescent="0.25">
      <c r="B3205" s="68"/>
      <c r="C3205" s="50"/>
      <c r="D3205" s="15"/>
    </row>
    <row r="3206" spans="2:4" x14ac:dyDescent="0.25">
      <c r="B3206" s="68"/>
      <c r="C3206" s="50"/>
      <c r="D3206" s="15"/>
    </row>
    <row r="3207" spans="2:4" x14ac:dyDescent="0.25">
      <c r="B3207" s="68"/>
      <c r="C3207" s="50"/>
      <c r="D3207" s="15"/>
    </row>
    <row r="3208" spans="2:4" x14ac:dyDescent="0.25">
      <c r="B3208" s="68"/>
      <c r="C3208" s="50"/>
      <c r="D3208" s="15"/>
    </row>
    <row r="3209" spans="2:4" x14ac:dyDescent="0.25">
      <c r="B3209" s="68"/>
      <c r="C3209" s="50"/>
      <c r="D3209" s="15"/>
    </row>
    <row r="3210" spans="2:4" x14ac:dyDescent="0.25">
      <c r="B3210" s="68"/>
      <c r="C3210" s="50"/>
      <c r="D3210" s="15"/>
    </row>
    <row r="3211" spans="2:4" x14ac:dyDescent="0.25">
      <c r="B3211" s="68"/>
      <c r="C3211" s="50"/>
      <c r="D3211" s="15"/>
    </row>
    <row r="3212" spans="2:4" x14ac:dyDescent="0.25">
      <c r="B3212" s="68"/>
      <c r="C3212" s="50"/>
      <c r="D3212" s="15"/>
    </row>
    <row r="3213" spans="2:4" x14ac:dyDescent="0.25">
      <c r="B3213" s="68"/>
      <c r="C3213" s="50"/>
      <c r="D3213" s="15"/>
    </row>
    <row r="3214" spans="2:4" x14ac:dyDescent="0.25">
      <c r="B3214" s="68"/>
      <c r="C3214" s="50"/>
      <c r="D3214" s="15"/>
    </row>
    <row r="3215" spans="2:4" x14ac:dyDescent="0.25">
      <c r="B3215" s="68"/>
      <c r="C3215" s="50"/>
      <c r="D3215" s="15"/>
    </row>
    <row r="3216" spans="2:4" x14ac:dyDescent="0.25">
      <c r="B3216" s="68"/>
      <c r="C3216" s="50"/>
      <c r="D3216" s="15"/>
    </row>
    <row r="3217" spans="2:4" x14ac:dyDescent="0.25">
      <c r="B3217" s="68"/>
      <c r="C3217" s="50"/>
      <c r="D3217" s="15"/>
    </row>
    <row r="3218" spans="2:4" x14ac:dyDescent="0.25">
      <c r="B3218" s="68"/>
      <c r="C3218" s="50"/>
      <c r="D3218" s="15"/>
    </row>
    <row r="3219" spans="2:4" x14ac:dyDescent="0.25">
      <c r="B3219" s="68"/>
      <c r="C3219" s="50"/>
      <c r="D3219" s="15"/>
    </row>
    <row r="3220" spans="2:4" x14ac:dyDescent="0.25">
      <c r="B3220" s="68"/>
      <c r="C3220" s="50"/>
      <c r="D3220" s="15"/>
    </row>
    <row r="3221" spans="2:4" x14ac:dyDescent="0.25">
      <c r="B3221" s="68"/>
      <c r="C3221" s="50"/>
      <c r="D3221" s="15"/>
    </row>
    <row r="3222" spans="2:4" x14ac:dyDescent="0.25">
      <c r="B3222" s="68"/>
      <c r="C3222" s="50"/>
      <c r="D3222" s="15"/>
    </row>
    <row r="3223" spans="2:4" x14ac:dyDescent="0.25">
      <c r="B3223" s="68"/>
      <c r="C3223" s="50"/>
      <c r="D3223" s="15"/>
    </row>
    <row r="3224" spans="2:4" x14ac:dyDescent="0.25">
      <c r="B3224" s="68"/>
      <c r="C3224" s="50"/>
      <c r="D3224" s="15"/>
    </row>
    <row r="3225" spans="2:4" x14ac:dyDescent="0.25">
      <c r="B3225" s="68"/>
      <c r="C3225" s="50"/>
      <c r="D3225" s="15"/>
    </row>
    <row r="3226" spans="2:4" x14ac:dyDescent="0.25">
      <c r="B3226" s="68"/>
      <c r="C3226" s="50"/>
      <c r="D3226" s="15"/>
    </row>
    <row r="3227" spans="2:4" x14ac:dyDescent="0.25">
      <c r="B3227" s="68"/>
      <c r="C3227" s="50"/>
      <c r="D3227" s="15"/>
    </row>
    <row r="3228" spans="2:4" x14ac:dyDescent="0.25">
      <c r="B3228" s="68"/>
      <c r="C3228" s="50"/>
      <c r="D3228" s="15"/>
    </row>
    <row r="3229" spans="2:4" x14ac:dyDescent="0.25">
      <c r="B3229" s="68"/>
      <c r="C3229" s="50"/>
      <c r="D3229" s="15"/>
    </row>
    <row r="3230" spans="2:4" x14ac:dyDescent="0.25">
      <c r="B3230" s="68"/>
      <c r="C3230" s="50"/>
      <c r="D3230" s="15"/>
    </row>
    <row r="3231" spans="2:4" x14ac:dyDescent="0.25">
      <c r="B3231" s="68"/>
      <c r="C3231" s="50"/>
      <c r="D3231" s="15"/>
    </row>
    <row r="3232" spans="2:4" x14ac:dyDescent="0.25">
      <c r="B3232" s="68"/>
      <c r="C3232" s="50"/>
      <c r="D3232" s="15"/>
    </row>
    <row r="3233" spans="2:4" x14ac:dyDescent="0.25">
      <c r="B3233" s="68"/>
      <c r="C3233" s="50"/>
      <c r="D3233" s="15"/>
    </row>
    <row r="3234" spans="2:4" x14ac:dyDescent="0.25">
      <c r="B3234" s="68"/>
      <c r="C3234" s="50"/>
      <c r="D3234" s="15"/>
    </row>
    <row r="3235" spans="2:4" x14ac:dyDescent="0.25">
      <c r="B3235" s="68"/>
      <c r="C3235" s="50"/>
      <c r="D3235" s="15"/>
    </row>
    <row r="3236" spans="2:4" x14ac:dyDescent="0.25">
      <c r="B3236" s="68"/>
      <c r="C3236" s="50"/>
      <c r="D3236" s="15"/>
    </row>
    <row r="3237" spans="2:4" x14ac:dyDescent="0.25">
      <c r="B3237" s="68"/>
      <c r="C3237" s="50"/>
      <c r="D3237" s="15"/>
    </row>
    <row r="3238" spans="2:4" x14ac:dyDescent="0.25">
      <c r="B3238" s="68"/>
      <c r="C3238" s="50"/>
      <c r="D3238" s="15"/>
    </row>
    <row r="3239" spans="2:4" x14ac:dyDescent="0.25">
      <c r="B3239" s="68"/>
      <c r="C3239" s="50"/>
      <c r="D3239" s="15"/>
    </row>
    <row r="3240" spans="2:4" x14ac:dyDescent="0.25">
      <c r="B3240" s="68"/>
      <c r="C3240" s="50"/>
      <c r="D3240" s="15"/>
    </row>
    <row r="3241" spans="2:4" x14ac:dyDescent="0.25">
      <c r="B3241" s="68"/>
      <c r="C3241" s="50"/>
      <c r="D3241" s="15"/>
    </row>
    <row r="3242" spans="2:4" x14ac:dyDescent="0.25">
      <c r="B3242" s="68"/>
      <c r="C3242" s="50"/>
      <c r="D3242" s="15"/>
    </row>
    <row r="3243" spans="2:4" x14ac:dyDescent="0.25">
      <c r="B3243" s="68"/>
      <c r="C3243" s="50"/>
      <c r="D3243" s="15"/>
    </row>
    <row r="3244" spans="2:4" x14ac:dyDescent="0.25">
      <c r="B3244" s="68"/>
      <c r="C3244" s="50"/>
      <c r="D3244" s="15"/>
    </row>
    <row r="3245" spans="2:4" x14ac:dyDescent="0.25">
      <c r="B3245" s="68"/>
      <c r="C3245" s="50"/>
      <c r="D3245" s="15"/>
    </row>
    <row r="3246" spans="2:4" x14ac:dyDescent="0.25">
      <c r="B3246" s="68"/>
      <c r="C3246" s="50"/>
      <c r="D3246" s="15"/>
    </row>
    <row r="3247" spans="2:4" x14ac:dyDescent="0.25">
      <c r="B3247" s="68"/>
      <c r="C3247" s="50"/>
      <c r="D3247" s="15"/>
    </row>
    <row r="3248" spans="2:4" x14ac:dyDescent="0.25">
      <c r="B3248" s="68"/>
      <c r="C3248" s="50"/>
      <c r="D3248" s="15"/>
    </row>
    <row r="3249" spans="2:4" x14ac:dyDescent="0.25">
      <c r="B3249" s="68"/>
      <c r="C3249" s="50"/>
      <c r="D3249" s="15"/>
    </row>
    <row r="3250" spans="2:4" x14ac:dyDescent="0.25">
      <c r="B3250" s="68"/>
      <c r="C3250" s="50"/>
      <c r="D3250" s="15"/>
    </row>
    <row r="3251" spans="2:4" x14ac:dyDescent="0.25">
      <c r="B3251" s="68"/>
      <c r="C3251" s="50"/>
      <c r="D3251" s="15"/>
    </row>
    <row r="3252" spans="2:4" x14ac:dyDescent="0.25">
      <c r="B3252" s="68"/>
      <c r="C3252" s="50"/>
      <c r="D3252" s="15"/>
    </row>
    <row r="3253" spans="2:4" x14ac:dyDescent="0.25">
      <c r="B3253" s="68"/>
      <c r="C3253" s="50"/>
      <c r="D3253" s="15"/>
    </row>
    <row r="3254" spans="2:4" x14ac:dyDescent="0.25">
      <c r="B3254" s="68"/>
      <c r="C3254" s="50"/>
      <c r="D3254" s="15"/>
    </row>
    <row r="3255" spans="2:4" x14ac:dyDescent="0.25">
      <c r="B3255" s="68"/>
      <c r="C3255" s="50"/>
      <c r="D3255" s="15"/>
    </row>
    <row r="3256" spans="2:4" x14ac:dyDescent="0.25">
      <c r="B3256" s="68"/>
      <c r="C3256" s="50"/>
      <c r="D3256" s="15"/>
    </row>
    <row r="3257" spans="2:4" x14ac:dyDescent="0.25">
      <c r="B3257" s="68"/>
      <c r="C3257" s="50"/>
      <c r="D3257" s="15"/>
    </row>
    <row r="3258" spans="2:4" x14ac:dyDescent="0.25">
      <c r="B3258" s="68"/>
      <c r="C3258" s="50"/>
      <c r="D3258" s="15"/>
    </row>
    <row r="3259" spans="2:4" x14ac:dyDescent="0.25">
      <c r="B3259" s="68"/>
      <c r="C3259" s="50"/>
      <c r="D3259" s="15"/>
    </row>
    <row r="3260" spans="2:4" x14ac:dyDescent="0.25">
      <c r="B3260" s="68"/>
      <c r="C3260" s="50"/>
      <c r="D3260" s="15"/>
    </row>
    <row r="3261" spans="2:4" x14ac:dyDescent="0.25">
      <c r="B3261" s="68"/>
      <c r="C3261" s="50"/>
      <c r="D3261" s="15"/>
    </row>
    <row r="3262" spans="2:4" x14ac:dyDescent="0.25">
      <c r="B3262" s="68"/>
      <c r="C3262" s="50"/>
      <c r="D3262" s="15"/>
    </row>
    <row r="3263" spans="2:4" x14ac:dyDescent="0.25">
      <c r="B3263" s="68"/>
      <c r="C3263" s="50"/>
      <c r="D3263" s="15"/>
    </row>
    <row r="3264" spans="2:4" x14ac:dyDescent="0.25">
      <c r="B3264" s="68"/>
      <c r="C3264" s="50"/>
      <c r="D3264" s="15"/>
    </row>
    <row r="3265" spans="2:4" x14ac:dyDescent="0.25">
      <c r="B3265" s="68"/>
      <c r="C3265" s="50"/>
      <c r="D3265" s="15"/>
    </row>
    <row r="3266" spans="2:4" x14ac:dyDescent="0.25">
      <c r="B3266" s="68"/>
      <c r="C3266" s="50"/>
      <c r="D3266" s="15"/>
    </row>
    <row r="3267" spans="2:4" x14ac:dyDescent="0.25">
      <c r="B3267" s="68"/>
      <c r="C3267" s="50"/>
      <c r="D3267" s="15"/>
    </row>
    <row r="3268" spans="2:4" x14ac:dyDescent="0.25">
      <c r="B3268" s="68"/>
      <c r="C3268" s="50"/>
      <c r="D3268" s="15"/>
    </row>
    <row r="3269" spans="2:4" x14ac:dyDescent="0.25">
      <c r="B3269" s="68"/>
      <c r="C3269" s="50"/>
      <c r="D3269" s="15"/>
    </row>
    <row r="3270" spans="2:4" x14ac:dyDescent="0.25">
      <c r="B3270" s="68"/>
      <c r="C3270" s="50"/>
      <c r="D3270" s="15"/>
    </row>
    <row r="3271" spans="2:4" x14ac:dyDescent="0.25">
      <c r="B3271" s="68"/>
      <c r="C3271" s="50"/>
      <c r="D3271" s="15"/>
    </row>
    <row r="3272" spans="2:4" x14ac:dyDescent="0.25">
      <c r="B3272" s="68"/>
      <c r="C3272" s="50"/>
      <c r="D3272" s="15"/>
    </row>
    <row r="3273" spans="2:4" x14ac:dyDescent="0.25">
      <c r="B3273" s="68"/>
      <c r="C3273" s="50"/>
      <c r="D3273" s="15"/>
    </row>
    <row r="3274" spans="2:4" x14ac:dyDescent="0.25">
      <c r="B3274" s="68"/>
      <c r="C3274" s="50"/>
      <c r="D3274" s="15"/>
    </row>
    <row r="3275" spans="2:4" x14ac:dyDescent="0.25">
      <c r="B3275" s="68"/>
      <c r="C3275" s="50"/>
      <c r="D3275" s="15"/>
    </row>
    <row r="3276" spans="2:4" x14ac:dyDescent="0.25">
      <c r="B3276" s="68"/>
      <c r="C3276" s="50"/>
      <c r="D3276" s="15"/>
    </row>
    <row r="3277" spans="2:4" x14ac:dyDescent="0.25">
      <c r="B3277" s="68"/>
      <c r="C3277" s="50"/>
      <c r="D3277" s="15"/>
    </row>
    <row r="3278" spans="2:4" x14ac:dyDescent="0.25">
      <c r="B3278" s="68"/>
      <c r="C3278" s="50"/>
      <c r="D3278" s="15"/>
    </row>
    <row r="3279" spans="2:4" x14ac:dyDescent="0.25">
      <c r="B3279" s="68"/>
      <c r="C3279" s="50"/>
      <c r="D3279" s="15"/>
    </row>
    <row r="3280" spans="2:4" x14ac:dyDescent="0.25">
      <c r="B3280" s="68"/>
      <c r="C3280" s="50"/>
      <c r="D3280" s="15"/>
    </row>
    <row r="3281" spans="2:4" x14ac:dyDescent="0.25">
      <c r="B3281" s="68"/>
      <c r="C3281" s="50"/>
      <c r="D3281" s="15"/>
    </row>
    <row r="3282" spans="2:4" x14ac:dyDescent="0.25">
      <c r="B3282" s="68"/>
      <c r="C3282" s="50"/>
      <c r="D3282" s="15"/>
    </row>
    <row r="3283" spans="2:4" x14ac:dyDescent="0.25">
      <c r="B3283" s="68"/>
      <c r="C3283" s="50"/>
      <c r="D3283" s="15"/>
    </row>
    <row r="3284" spans="2:4" x14ac:dyDescent="0.25">
      <c r="B3284" s="68"/>
      <c r="C3284" s="50"/>
      <c r="D3284" s="15"/>
    </row>
    <row r="3285" spans="2:4" x14ac:dyDescent="0.25">
      <c r="B3285" s="68"/>
      <c r="C3285" s="50"/>
      <c r="D3285" s="15"/>
    </row>
    <row r="3286" spans="2:4" x14ac:dyDescent="0.25">
      <c r="B3286" s="68"/>
      <c r="C3286" s="50"/>
      <c r="D3286" s="15"/>
    </row>
    <row r="3287" spans="2:4" x14ac:dyDescent="0.25">
      <c r="B3287" s="68"/>
      <c r="C3287" s="50"/>
      <c r="D3287" s="15"/>
    </row>
    <row r="3288" spans="2:4" x14ac:dyDescent="0.25">
      <c r="B3288" s="68"/>
      <c r="C3288" s="50"/>
      <c r="D3288" s="15"/>
    </row>
    <row r="3289" spans="2:4" x14ac:dyDescent="0.25">
      <c r="B3289" s="68"/>
      <c r="C3289" s="50"/>
      <c r="D3289" s="15"/>
    </row>
    <row r="3290" spans="2:4" x14ac:dyDescent="0.25">
      <c r="B3290" s="68"/>
      <c r="C3290" s="50"/>
      <c r="D3290" s="15"/>
    </row>
    <row r="3291" spans="2:4" x14ac:dyDescent="0.25">
      <c r="B3291" s="68"/>
      <c r="C3291" s="50"/>
      <c r="D3291" s="15"/>
    </row>
    <row r="3292" spans="2:4" x14ac:dyDescent="0.25">
      <c r="B3292" s="68"/>
      <c r="C3292" s="50"/>
      <c r="D3292" s="15"/>
    </row>
    <row r="3293" spans="2:4" x14ac:dyDescent="0.25">
      <c r="B3293" s="68"/>
      <c r="C3293" s="50"/>
      <c r="D3293" s="15"/>
    </row>
    <row r="3294" spans="2:4" x14ac:dyDescent="0.25">
      <c r="B3294" s="68"/>
      <c r="C3294" s="50"/>
      <c r="D3294" s="15"/>
    </row>
    <row r="3295" spans="2:4" x14ac:dyDescent="0.25">
      <c r="B3295" s="68"/>
      <c r="C3295" s="50"/>
      <c r="D3295" s="15"/>
    </row>
    <row r="3296" spans="2:4" x14ac:dyDescent="0.25">
      <c r="B3296" s="68"/>
      <c r="C3296" s="50"/>
      <c r="D3296" s="15"/>
    </row>
    <row r="3297" spans="2:4" x14ac:dyDescent="0.25">
      <c r="B3297" s="68"/>
      <c r="C3297" s="50"/>
      <c r="D3297" s="15"/>
    </row>
    <row r="3298" spans="2:4" x14ac:dyDescent="0.25">
      <c r="B3298" s="68"/>
      <c r="C3298" s="50"/>
      <c r="D3298" s="15"/>
    </row>
    <row r="3299" spans="2:4" x14ac:dyDescent="0.25">
      <c r="B3299" s="68"/>
      <c r="C3299" s="50"/>
      <c r="D3299" s="15"/>
    </row>
    <row r="3300" spans="2:4" x14ac:dyDescent="0.25">
      <c r="B3300" s="68"/>
      <c r="C3300" s="50"/>
      <c r="D3300" s="15"/>
    </row>
    <row r="3301" spans="2:4" x14ac:dyDescent="0.25">
      <c r="B3301" s="68"/>
      <c r="C3301" s="50"/>
      <c r="D3301" s="15"/>
    </row>
    <row r="3302" spans="2:4" x14ac:dyDescent="0.25">
      <c r="B3302" s="68"/>
      <c r="C3302" s="50"/>
      <c r="D3302" s="15"/>
    </row>
    <row r="3303" spans="2:4" x14ac:dyDescent="0.25">
      <c r="B3303" s="68"/>
      <c r="C3303" s="50"/>
      <c r="D3303" s="15"/>
    </row>
    <row r="3304" spans="2:4" x14ac:dyDescent="0.25">
      <c r="B3304" s="68"/>
      <c r="C3304" s="50"/>
      <c r="D3304" s="15"/>
    </row>
    <row r="3305" spans="2:4" x14ac:dyDescent="0.25">
      <c r="B3305" s="68"/>
      <c r="C3305" s="50"/>
      <c r="D3305" s="15"/>
    </row>
    <row r="3306" spans="2:4" x14ac:dyDescent="0.25">
      <c r="B3306" s="68"/>
      <c r="C3306" s="50"/>
      <c r="D3306" s="15"/>
    </row>
    <row r="3307" spans="2:4" x14ac:dyDescent="0.25">
      <c r="B3307" s="68"/>
      <c r="C3307" s="50"/>
      <c r="D3307" s="15"/>
    </row>
    <row r="3308" spans="2:4" x14ac:dyDescent="0.25">
      <c r="B3308" s="68"/>
      <c r="C3308" s="50"/>
      <c r="D3308" s="15"/>
    </row>
    <row r="3309" spans="2:4" x14ac:dyDescent="0.25">
      <c r="B3309" s="68"/>
      <c r="C3309" s="50"/>
      <c r="D3309" s="15"/>
    </row>
    <row r="3310" spans="2:4" x14ac:dyDescent="0.25">
      <c r="B3310" s="68"/>
      <c r="C3310" s="50"/>
      <c r="D3310" s="15"/>
    </row>
    <row r="3311" spans="2:4" x14ac:dyDescent="0.25">
      <c r="B3311" s="68"/>
      <c r="C3311" s="50"/>
      <c r="D3311" s="15"/>
    </row>
    <row r="3312" spans="2:4" x14ac:dyDescent="0.25">
      <c r="B3312" s="68"/>
      <c r="C3312" s="50"/>
      <c r="D3312" s="15"/>
    </row>
    <row r="3313" spans="2:4" x14ac:dyDescent="0.25">
      <c r="B3313" s="68"/>
      <c r="C3313" s="50"/>
      <c r="D3313" s="15"/>
    </row>
    <row r="3314" spans="2:4" x14ac:dyDescent="0.25">
      <c r="B3314" s="68"/>
      <c r="C3314" s="50"/>
      <c r="D3314" s="15"/>
    </row>
    <row r="3315" spans="2:4" x14ac:dyDescent="0.25">
      <c r="B3315" s="68"/>
      <c r="C3315" s="50"/>
      <c r="D3315" s="15"/>
    </row>
    <row r="3316" spans="2:4" x14ac:dyDescent="0.25">
      <c r="B3316" s="68"/>
      <c r="C3316" s="50"/>
      <c r="D3316" s="15"/>
    </row>
    <row r="3317" spans="2:4" x14ac:dyDescent="0.25">
      <c r="B3317" s="68"/>
      <c r="C3317" s="50"/>
      <c r="D3317" s="15"/>
    </row>
    <row r="3318" spans="2:4" x14ac:dyDescent="0.25">
      <c r="B3318" s="68"/>
      <c r="C3318" s="50"/>
      <c r="D3318" s="15"/>
    </row>
    <row r="3319" spans="2:4" x14ac:dyDescent="0.25">
      <c r="B3319" s="68"/>
      <c r="C3319" s="50"/>
      <c r="D3319" s="15"/>
    </row>
    <row r="3320" spans="2:4" x14ac:dyDescent="0.25">
      <c r="B3320" s="68"/>
      <c r="C3320" s="50"/>
      <c r="D3320" s="15"/>
    </row>
    <row r="3321" spans="2:4" x14ac:dyDescent="0.25">
      <c r="B3321" s="68"/>
      <c r="C3321" s="50"/>
      <c r="D3321" s="15"/>
    </row>
    <row r="3322" spans="2:4" x14ac:dyDescent="0.25">
      <c r="B3322" s="68"/>
      <c r="C3322" s="50"/>
      <c r="D3322" s="15"/>
    </row>
    <row r="3323" spans="2:4" x14ac:dyDescent="0.25">
      <c r="B3323" s="68"/>
      <c r="C3323" s="50"/>
      <c r="D3323" s="15"/>
    </row>
    <row r="3324" spans="2:4" x14ac:dyDescent="0.25">
      <c r="B3324" s="68"/>
      <c r="C3324" s="50"/>
      <c r="D3324" s="15"/>
    </row>
    <row r="3325" spans="2:4" x14ac:dyDescent="0.25">
      <c r="B3325" s="68"/>
      <c r="C3325" s="50"/>
      <c r="D3325" s="15"/>
    </row>
    <row r="3326" spans="2:4" x14ac:dyDescent="0.25">
      <c r="B3326" s="68"/>
      <c r="C3326" s="50"/>
      <c r="D3326" s="15"/>
    </row>
    <row r="3327" spans="2:4" x14ac:dyDescent="0.25">
      <c r="B3327" s="68"/>
      <c r="C3327" s="50"/>
      <c r="D3327" s="15"/>
    </row>
    <row r="3328" spans="2:4" x14ac:dyDescent="0.25">
      <c r="B3328" s="68"/>
      <c r="C3328" s="50"/>
      <c r="D3328" s="15"/>
    </row>
    <row r="3329" spans="2:4" x14ac:dyDescent="0.25">
      <c r="B3329" s="68"/>
      <c r="C3329" s="50"/>
      <c r="D3329" s="15"/>
    </row>
    <row r="3330" spans="2:4" x14ac:dyDescent="0.25">
      <c r="B3330" s="68"/>
      <c r="C3330" s="50"/>
      <c r="D3330" s="15"/>
    </row>
    <row r="3331" spans="2:4" x14ac:dyDescent="0.25">
      <c r="B3331" s="68"/>
      <c r="C3331" s="50"/>
      <c r="D3331" s="15"/>
    </row>
    <row r="3332" spans="2:4" x14ac:dyDescent="0.25">
      <c r="B3332" s="68"/>
      <c r="C3332" s="50"/>
      <c r="D3332" s="15"/>
    </row>
    <row r="3333" spans="2:4" x14ac:dyDescent="0.25">
      <c r="B3333" s="68"/>
      <c r="C3333" s="50"/>
      <c r="D3333" s="15"/>
    </row>
    <row r="3334" spans="2:4" x14ac:dyDescent="0.25">
      <c r="B3334" s="68"/>
      <c r="C3334" s="50"/>
      <c r="D3334" s="15"/>
    </row>
    <row r="3335" spans="2:4" x14ac:dyDescent="0.25">
      <c r="B3335" s="68"/>
      <c r="C3335" s="50"/>
      <c r="D3335" s="15"/>
    </row>
    <row r="3336" spans="2:4" x14ac:dyDescent="0.25">
      <c r="B3336" s="68"/>
      <c r="C3336" s="50"/>
      <c r="D3336" s="15"/>
    </row>
    <row r="3337" spans="2:4" x14ac:dyDescent="0.25">
      <c r="B3337" s="68"/>
      <c r="C3337" s="50"/>
      <c r="D3337" s="15"/>
    </row>
    <row r="3338" spans="2:4" x14ac:dyDescent="0.25">
      <c r="B3338" s="68"/>
      <c r="C3338" s="50"/>
      <c r="D3338" s="15"/>
    </row>
    <row r="3339" spans="2:4" x14ac:dyDescent="0.25">
      <c r="B3339" s="68"/>
      <c r="C3339" s="50"/>
      <c r="D3339" s="15"/>
    </row>
    <row r="3340" spans="2:4" x14ac:dyDescent="0.25">
      <c r="B3340" s="68"/>
      <c r="C3340" s="50"/>
      <c r="D3340" s="15"/>
    </row>
    <row r="3341" spans="2:4" x14ac:dyDescent="0.25">
      <c r="B3341" s="68"/>
      <c r="C3341" s="50"/>
      <c r="D3341" s="15"/>
    </row>
    <row r="3342" spans="2:4" x14ac:dyDescent="0.25">
      <c r="B3342" s="68"/>
      <c r="C3342" s="50"/>
      <c r="D3342" s="15"/>
    </row>
    <row r="3343" spans="2:4" x14ac:dyDescent="0.25">
      <c r="B3343" s="68"/>
      <c r="C3343" s="50"/>
      <c r="D3343" s="15"/>
    </row>
    <row r="3344" spans="2:4" x14ac:dyDescent="0.25">
      <c r="B3344" s="68"/>
      <c r="C3344" s="50"/>
      <c r="D3344" s="15"/>
    </row>
    <row r="3345" spans="2:4" x14ac:dyDescent="0.25">
      <c r="B3345" s="68"/>
      <c r="C3345" s="50"/>
      <c r="D3345" s="15"/>
    </row>
    <row r="3346" spans="2:4" x14ac:dyDescent="0.25">
      <c r="B3346" s="68"/>
      <c r="C3346" s="50"/>
      <c r="D3346" s="15"/>
    </row>
    <row r="3347" spans="2:4" x14ac:dyDescent="0.25">
      <c r="B3347" s="68"/>
      <c r="C3347" s="50"/>
      <c r="D3347" s="15"/>
    </row>
    <row r="3348" spans="2:4" x14ac:dyDescent="0.25">
      <c r="B3348" s="68"/>
      <c r="C3348" s="50"/>
      <c r="D3348" s="15"/>
    </row>
    <row r="3349" spans="2:4" x14ac:dyDescent="0.25">
      <c r="B3349" s="68"/>
      <c r="C3349" s="50"/>
      <c r="D3349" s="15"/>
    </row>
    <row r="3350" spans="2:4" x14ac:dyDescent="0.25">
      <c r="B3350" s="68"/>
      <c r="C3350" s="50"/>
      <c r="D3350" s="15"/>
    </row>
    <row r="3351" spans="2:4" x14ac:dyDescent="0.25">
      <c r="B3351" s="68"/>
      <c r="C3351" s="50"/>
      <c r="D3351" s="15"/>
    </row>
    <row r="3352" spans="2:4" x14ac:dyDescent="0.25">
      <c r="B3352" s="68"/>
      <c r="C3352" s="50"/>
      <c r="D3352" s="15"/>
    </row>
    <row r="3353" spans="2:4" x14ac:dyDescent="0.25">
      <c r="B3353" s="68"/>
      <c r="C3353" s="50"/>
      <c r="D3353" s="15"/>
    </row>
    <row r="3354" spans="2:4" x14ac:dyDescent="0.25">
      <c r="B3354" s="68"/>
      <c r="C3354" s="50"/>
      <c r="D3354" s="15"/>
    </row>
    <row r="3355" spans="2:4" x14ac:dyDescent="0.25">
      <c r="B3355" s="68"/>
      <c r="C3355" s="50"/>
      <c r="D3355" s="15"/>
    </row>
    <row r="3356" spans="2:4" x14ac:dyDescent="0.25">
      <c r="B3356" s="68"/>
      <c r="C3356" s="50"/>
      <c r="D3356" s="15"/>
    </row>
    <row r="3357" spans="2:4" x14ac:dyDescent="0.25">
      <c r="B3357" s="68"/>
      <c r="C3357" s="50"/>
      <c r="D3357" s="15"/>
    </row>
    <row r="3358" spans="2:4" x14ac:dyDescent="0.25">
      <c r="B3358" s="68"/>
      <c r="C3358" s="50"/>
      <c r="D3358" s="15"/>
    </row>
    <row r="3359" spans="2:4" x14ac:dyDescent="0.25">
      <c r="B3359" s="68"/>
      <c r="C3359" s="50"/>
      <c r="D3359" s="15"/>
    </row>
    <row r="3360" spans="2:4" x14ac:dyDescent="0.25">
      <c r="B3360" s="68"/>
      <c r="C3360" s="50"/>
      <c r="D3360" s="15"/>
    </row>
    <row r="3361" spans="2:4" x14ac:dyDescent="0.25">
      <c r="B3361" s="68"/>
      <c r="C3361" s="50"/>
      <c r="D3361" s="15"/>
    </row>
    <row r="3362" spans="2:4" x14ac:dyDescent="0.25">
      <c r="B3362" s="68"/>
      <c r="C3362" s="50"/>
      <c r="D3362" s="15"/>
    </row>
    <row r="3363" spans="2:4" x14ac:dyDescent="0.25">
      <c r="B3363" s="68"/>
      <c r="C3363" s="50"/>
      <c r="D3363" s="15"/>
    </row>
    <row r="3364" spans="2:4" x14ac:dyDescent="0.25">
      <c r="B3364" s="68"/>
      <c r="C3364" s="50"/>
      <c r="D3364" s="15"/>
    </row>
    <row r="3365" spans="2:4" x14ac:dyDescent="0.25">
      <c r="B3365" s="68"/>
      <c r="C3365" s="50"/>
      <c r="D3365" s="15"/>
    </row>
    <row r="3366" spans="2:4" x14ac:dyDescent="0.25">
      <c r="B3366" s="68"/>
      <c r="C3366" s="50"/>
      <c r="D3366" s="15"/>
    </row>
    <row r="3367" spans="2:4" x14ac:dyDescent="0.25">
      <c r="B3367" s="68"/>
      <c r="C3367" s="50"/>
      <c r="D3367" s="15"/>
    </row>
    <row r="3368" spans="2:4" x14ac:dyDescent="0.25">
      <c r="B3368" s="68"/>
      <c r="C3368" s="50"/>
      <c r="D3368" s="15"/>
    </row>
    <row r="3369" spans="2:4" x14ac:dyDescent="0.25">
      <c r="B3369" s="68"/>
      <c r="C3369" s="50"/>
      <c r="D3369" s="15"/>
    </row>
    <row r="3370" spans="2:4" x14ac:dyDescent="0.25">
      <c r="B3370" s="68"/>
      <c r="C3370" s="50"/>
      <c r="D3370" s="15"/>
    </row>
    <row r="3371" spans="2:4" x14ac:dyDescent="0.25">
      <c r="B3371" s="68"/>
      <c r="C3371" s="50"/>
      <c r="D3371" s="15"/>
    </row>
    <row r="3372" spans="2:4" x14ac:dyDescent="0.25">
      <c r="B3372" s="68"/>
      <c r="C3372" s="50"/>
      <c r="D3372" s="15"/>
    </row>
    <row r="3373" spans="2:4" x14ac:dyDescent="0.25">
      <c r="B3373" s="68"/>
      <c r="C3373" s="50"/>
      <c r="D3373" s="15"/>
    </row>
    <row r="3374" spans="2:4" x14ac:dyDescent="0.25">
      <c r="B3374" s="68"/>
      <c r="C3374" s="50"/>
      <c r="D3374" s="15"/>
    </row>
    <row r="3375" spans="2:4" x14ac:dyDescent="0.25">
      <c r="B3375" s="68"/>
      <c r="C3375" s="50"/>
      <c r="D3375" s="15"/>
    </row>
    <row r="3376" spans="2:4" x14ac:dyDescent="0.25">
      <c r="B3376" s="68"/>
      <c r="C3376" s="50"/>
      <c r="D3376" s="15"/>
    </row>
    <row r="3377" spans="2:4" x14ac:dyDescent="0.25">
      <c r="B3377" s="68"/>
      <c r="C3377" s="50"/>
      <c r="D3377" s="15"/>
    </row>
    <row r="3378" spans="2:4" x14ac:dyDescent="0.25">
      <c r="B3378" s="68"/>
      <c r="C3378" s="50"/>
      <c r="D3378" s="15"/>
    </row>
    <row r="3379" spans="2:4" x14ac:dyDescent="0.25">
      <c r="B3379" s="68"/>
      <c r="C3379" s="50"/>
      <c r="D3379" s="15"/>
    </row>
    <row r="3380" spans="2:4" x14ac:dyDescent="0.25">
      <c r="B3380" s="68"/>
      <c r="C3380" s="50"/>
      <c r="D3380" s="15"/>
    </row>
    <row r="3381" spans="2:4" x14ac:dyDescent="0.25">
      <c r="B3381" s="68"/>
      <c r="C3381" s="50"/>
      <c r="D3381" s="15"/>
    </row>
    <row r="3382" spans="2:4" x14ac:dyDescent="0.25">
      <c r="B3382" s="68"/>
      <c r="C3382" s="50"/>
      <c r="D3382" s="15"/>
    </row>
    <row r="3383" spans="2:4" x14ac:dyDescent="0.25">
      <c r="B3383" s="68"/>
      <c r="C3383" s="50"/>
      <c r="D3383" s="15"/>
    </row>
    <row r="3384" spans="2:4" x14ac:dyDescent="0.25">
      <c r="B3384" s="68"/>
      <c r="C3384" s="50"/>
      <c r="D3384" s="15"/>
    </row>
    <row r="3385" spans="2:4" x14ac:dyDescent="0.25">
      <c r="B3385" s="68"/>
      <c r="C3385" s="50"/>
      <c r="D3385" s="15"/>
    </row>
    <row r="3386" spans="2:4" x14ac:dyDescent="0.25">
      <c r="B3386" s="68"/>
      <c r="C3386" s="50"/>
      <c r="D3386" s="15"/>
    </row>
    <row r="3387" spans="2:4" x14ac:dyDescent="0.25">
      <c r="B3387" s="68"/>
      <c r="C3387" s="50"/>
      <c r="D3387" s="15"/>
    </row>
    <row r="3388" spans="2:4" x14ac:dyDescent="0.25">
      <c r="B3388" s="68"/>
      <c r="C3388" s="50"/>
      <c r="D3388" s="15"/>
    </row>
    <row r="3389" spans="2:4" x14ac:dyDescent="0.25">
      <c r="B3389" s="68"/>
      <c r="C3389" s="50"/>
      <c r="D3389" s="15"/>
    </row>
    <row r="3390" spans="2:4" x14ac:dyDescent="0.25">
      <c r="B3390" s="68"/>
      <c r="C3390" s="50"/>
      <c r="D3390" s="15"/>
    </row>
    <row r="3391" spans="2:4" x14ac:dyDescent="0.25">
      <c r="B3391" s="68"/>
      <c r="C3391" s="50"/>
      <c r="D3391" s="15"/>
    </row>
    <row r="3392" spans="2:4" x14ac:dyDescent="0.25">
      <c r="B3392" s="68"/>
      <c r="C3392" s="50"/>
      <c r="D3392" s="15"/>
    </row>
    <row r="3393" spans="2:4" x14ac:dyDescent="0.25">
      <c r="B3393" s="68"/>
      <c r="C3393" s="50"/>
      <c r="D3393" s="15"/>
    </row>
    <row r="3394" spans="2:4" x14ac:dyDescent="0.25">
      <c r="B3394" s="68"/>
      <c r="C3394" s="50"/>
      <c r="D3394" s="15"/>
    </row>
    <row r="3395" spans="2:4" x14ac:dyDescent="0.25">
      <c r="B3395" s="68"/>
      <c r="C3395" s="50"/>
      <c r="D3395" s="15"/>
    </row>
    <row r="3396" spans="2:4" x14ac:dyDescent="0.25">
      <c r="B3396" s="68"/>
      <c r="C3396" s="50"/>
      <c r="D3396" s="15"/>
    </row>
    <row r="3397" spans="2:4" x14ac:dyDescent="0.25">
      <c r="B3397" s="68"/>
      <c r="C3397" s="50"/>
      <c r="D3397" s="15"/>
    </row>
    <row r="3398" spans="2:4" x14ac:dyDescent="0.25">
      <c r="B3398" s="68"/>
      <c r="C3398" s="50"/>
      <c r="D3398" s="15"/>
    </row>
    <row r="3399" spans="2:4" x14ac:dyDescent="0.25">
      <c r="B3399" s="68"/>
      <c r="C3399" s="50"/>
      <c r="D3399" s="15"/>
    </row>
    <row r="3400" spans="2:4" x14ac:dyDescent="0.25">
      <c r="B3400" s="68"/>
      <c r="C3400" s="50"/>
      <c r="D3400" s="15"/>
    </row>
    <row r="3401" spans="2:4" x14ac:dyDescent="0.25">
      <c r="B3401" s="68"/>
      <c r="C3401" s="50"/>
      <c r="D3401" s="15"/>
    </row>
    <row r="3402" spans="2:4" x14ac:dyDescent="0.25">
      <c r="B3402" s="68"/>
      <c r="C3402" s="50"/>
      <c r="D3402" s="15"/>
    </row>
    <row r="3403" spans="2:4" x14ac:dyDescent="0.25">
      <c r="B3403" s="68"/>
      <c r="C3403" s="50"/>
      <c r="D3403" s="15"/>
    </row>
    <row r="3404" spans="2:4" x14ac:dyDescent="0.25">
      <c r="B3404" s="68"/>
      <c r="C3404" s="50"/>
      <c r="D3404" s="15"/>
    </row>
    <row r="3405" spans="2:4" x14ac:dyDescent="0.25">
      <c r="B3405" s="68"/>
      <c r="C3405" s="50"/>
      <c r="D3405" s="15"/>
    </row>
    <row r="3406" spans="2:4" x14ac:dyDescent="0.25">
      <c r="B3406" s="68"/>
      <c r="C3406" s="50"/>
      <c r="D3406" s="15"/>
    </row>
    <row r="3407" spans="2:4" x14ac:dyDescent="0.25">
      <c r="B3407" s="68"/>
      <c r="C3407" s="50"/>
      <c r="D3407" s="15"/>
    </row>
    <row r="3408" spans="2:4" x14ac:dyDescent="0.25">
      <c r="B3408" s="68"/>
      <c r="C3408" s="50"/>
      <c r="D3408" s="15"/>
    </row>
    <row r="3409" spans="2:4" x14ac:dyDescent="0.25">
      <c r="B3409" s="68"/>
      <c r="C3409" s="50"/>
      <c r="D3409" s="15"/>
    </row>
    <row r="3410" spans="2:4" x14ac:dyDescent="0.25">
      <c r="B3410" s="68"/>
      <c r="C3410" s="50"/>
      <c r="D3410" s="15"/>
    </row>
    <row r="3411" spans="2:4" x14ac:dyDescent="0.25">
      <c r="B3411" s="68"/>
      <c r="C3411" s="50"/>
      <c r="D3411" s="15"/>
    </row>
    <row r="3412" spans="2:4" x14ac:dyDescent="0.25">
      <c r="B3412" s="68"/>
      <c r="C3412" s="50"/>
      <c r="D3412" s="15"/>
    </row>
    <row r="3413" spans="2:4" x14ac:dyDescent="0.25">
      <c r="B3413" s="68"/>
      <c r="C3413" s="50"/>
      <c r="D3413" s="15"/>
    </row>
    <row r="3414" spans="2:4" x14ac:dyDescent="0.25">
      <c r="B3414" s="68"/>
      <c r="C3414" s="50"/>
      <c r="D3414" s="15"/>
    </row>
    <row r="3415" spans="2:4" x14ac:dyDescent="0.25">
      <c r="B3415" s="68"/>
      <c r="C3415" s="50"/>
      <c r="D3415" s="15"/>
    </row>
    <row r="3416" spans="2:4" x14ac:dyDescent="0.25">
      <c r="B3416" s="68"/>
      <c r="C3416" s="50"/>
      <c r="D3416" s="15"/>
    </row>
    <row r="3417" spans="2:4" x14ac:dyDescent="0.25">
      <c r="B3417" s="68"/>
      <c r="C3417" s="50"/>
      <c r="D3417" s="15"/>
    </row>
    <row r="3418" spans="2:4" x14ac:dyDescent="0.25">
      <c r="B3418" s="68"/>
      <c r="C3418" s="50"/>
      <c r="D3418" s="15"/>
    </row>
    <row r="3419" spans="2:4" x14ac:dyDescent="0.25">
      <c r="B3419" s="68"/>
      <c r="C3419" s="50"/>
      <c r="D3419" s="15"/>
    </row>
    <row r="3420" spans="2:4" x14ac:dyDescent="0.25">
      <c r="B3420" s="68"/>
      <c r="C3420" s="50"/>
      <c r="D3420" s="15"/>
    </row>
    <row r="3421" spans="2:4" x14ac:dyDescent="0.25">
      <c r="B3421" s="68"/>
      <c r="C3421" s="50"/>
      <c r="D3421" s="15"/>
    </row>
    <row r="3422" spans="2:4" x14ac:dyDescent="0.25">
      <c r="B3422" s="68"/>
      <c r="C3422" s="50"/>
      <c r="D3422" s="15"/>
    </row>
    <row r="3423" spans="2:4" x14ac:dyDescent="0.25">
      <c r="B3423" s="68"/>
      <c r="C3423" s="50"/>
      <c r="D3423" s="15"/>
    </row>
    <row r="3424" spans="2:4" x14ac:dyDescent="0.25">
      <c r="B3424" s="68"/>
      <c r="C3424" s="50"/>
      <c r="D3424" s="15"/>
    </row>
    <row r="3425" spans="2:4" x14ac:dyDescent="0.25">
      <c r="B3425" s="68"/>
      <c r="C3425" s="50"/>
      <c r="D3425" s="15"/>
    </row>
    <row r="3426" spans="2:4" x14ac:dyDescent="0.25">
      <c r="B3426" s="68"/>
      <c r="C3426" s="50"/>
      <c r="D3426" s="15"/>
    </row>
    <row r="3427" spans="2:4" x14ac:dyDescent="0.25">
      <c r="B3427" s="68"/>
      <c r="C3427" s="50"/>
      <c r="D3427" s="15"/>
    </row>
    <row r="3428" spans="2:4" x14ac:dyDescent="0.25">
      <c r="B3428" s="68"/>
      <c r="C3428" s="50"/>
      <c r="D3428" s="15"/>
    </row>
    <row r="3429" spans="2:4" x14ac:dyDescent="0.25">
      <c r="B3429" s="68"/>
      <c r="C3429" s="50"/>
      <c r="D3429" s="15"/>
    </row>
    <row r="3430" spans="2:4" x14ac:dyDescent="0.25">
      <c r="B3430" s="68"/>
      <c r="C3430" s="50"/>
      <c r="D3430" s="15"/>
    </row>
    <row r="3431" spans="2:4" x14ac:dyDescent="0.25">
      <c r="B3431" s="68"/>
      <c r="C3431" s="50"/>
      <c r="D3431" s="15"/>
    </row>
    <row r="3432" spans="2:4" x14ac:dyDescent="0.25">
      <c r="B3432" s="68"/>
      <c r="C3432" s="50"/>
      <c r="D3432" s="15"/>
    </row>
    <row r="3433" spans="2:4" x14ac:dyDescent="0.25">
      <c r="B3433" s="68"/>
      <c r="C3433" s="50"/>
      <c r="D3433" s="15"/>
    </row>
    <row r="3434" spans="2:4" x14ac:dyDescent="0.25">
      <c r="B3434" s="68"/>
      <c r="C3434" s="50"/>
      <c r="D3434" s="15"/>
    </row>
    <row r="3435" spans="2:4" x14ac:dyDescent="0.25">
      <c r="B3435" s="68"/>
      <c r="C3435" s="50"/>
      <c r="D3435" s="15"/>
    </row>
    <row r="3436" spans="2:4" x14ac:dyDescent="0.25">
      <c r="B3436" s="68"/>
      <c r="C3436" s="50"/>
      <c r="D3436" s="15"/>
    </row>
    <row r="3437" spans="2:4" x14ac:dyDescent="0.25">
      <c r="B3437" s="68"/>
      <c r="C3437" s="50"/>
      <c r="D3437" s="15"/>
    </row>
    <row r="3438" spans="2:4" x14ac:dyDescent="0.25">
      <c r="B3438" s="68"/>
      <c r="C3438" s="50"/>
      <c r="D3438" s="15"/>
    </row>
    <row r="3439" spans="2:4" x14ac:dyDescent="0.25">
      <c r="B3439" s="68"/>
      <c r="C3439" s="50"/>
      <c r="D3439" s="15"/>
    </row>
    <row r="3440" spans="2:4" x14ac:dyDescent="0.25">
      <c r="B3440" s="68"/>
      <c r="C3440" s="50"/>
      <c r="D3440" s="15"/>
    </row>
    <row r="3441" spans="2:4" x14ac:dyDescent="0.25">
      <c r="B3441" s="68"/>
      <c r="C3441" s="50"/>
      <c r="D3441" s="15"/>
    </row>
    <row r="3442" spans="2:4" x14ac:dyDescent="0.25">
      <c r="B3442" s="68"/>
      <c r="C3442" s="50"/>
      <c r="D3442" s="15"/>
    </row>
    <row r="3443" spans="2:4" x14ac:dyDescent="0.25">
      <c r="B3443" s="68"/>
      <c r="C3443" s="50"/>
      <c r="D3443" s="15"/>
    </row>
    <row r="3444" spans="2:4" x14ac:dyDescent="0.25">
      <c r="B3444" s="68"/>
      <c r="C3444" s="50"/>
      <c r="D3444" s="15"/>
    </row>
    <row r="3445" spans="2:4" x14ac:dyDescent="0.25">
      <c r="B3445" s="68"/>
      <c r="C3445" s="50"/>
      <c r="D3445" s="15"/>
    </row>
    <row r="3446" spans="2:4" x14ac:dyDescent="0.25">
      <c r="B3446" s="68"/>
      <c r="C3446" s="50"/>
      <c r="D3446" s="15"/>
    </row>
    <row r="3447" spans="2:4" x14ac:dyDescent="0.25">
      <c r="B3447" s="68"/>
      <c r="C3447" s="50"/>
      <c r="D3447" s="15"/>
    </row>
    <row r="3448" spans="2:4" x14ac:dyDescent="0.25">
      <c r="B3448" s="68"/>
      <c r="C3448" s="50"/>
      <c r="D3448" s="15"/>
    </row>
    <row r="3449" spans="2:4" x14ac:dyDescent="0.25">
      <c r="B3449" s="68"/>
      <c r="C3449" s="50"/>
      <c r="D3449" s="15"/>
    </row>
    <row r="3450" spans="2:4" x14ac:dyDescent="0.25">
      <c r="B3450" s="68"/>
      <c r="C3450" s="50"/>
      <c r="D3450" s="15"/>
    </row>
    <row r="3451" spans="2:4" x14ac:dyDescent="0.25">
      <c r="B3451" s="68"/>
      <c r="C3451" s="50"/>
      <c r="D3451" s="15"/>
    </row>
    <row r="3452" spans="2:4" x14ac:dyDescent="0.25">
      <c r="B3452" s="68"/>
      <c r="C3452" s="50"/>
      <c r="D3452" s="15"/>
    </row>
    <row r="3453" spans="2:4" x14ac:dyDescent="0.25">
      <c r="B3453" s="68"/>
      <c r="C3453" s="50"/>
      <c r="D3453" s="15"/>
    </row>
    <row r="3454" spans="2:4" x14ac:dyDescent="0.25">
      <c r="B3454" s="68"/>
      <c r="C3454" s="50"/>
      <c r="D3454" s="15"/>
    </row>
    <row r="3455" spans="2:4" x14ac:dyDescent="0.25">
      <c r="B3455" s="68"/>
      <c r="C3455" s="50"/>
      <c r="D3455" s="15"/>
    </row>
    <row r="3456" spans="2:4" x14ac:dyDescent="0.25">
      <c r="B3456" s="68"/>
      <c r="C3456" s="50"/>
      <c r="D3456" s="15"/>
    </row>
    <row r="3457" spans="2:4" x14ac:dyDescent="0.25">
      <c r="B3457" s="68"/>
      <c r="C3457" s="50"/>
      <c r="D3457" s="15"/>
    </row>
    <row r="3458" spans="2:4" x14ac:dyDescent="0.25">
      <c r="B3458" s="68"/>
      <c r="C3458" s="50"/>
      <c r="D3458" s="15"/>
    </row>
    <row r="3459" spans="2:4" x14ac:dyDescent="0.25">
      <c r="B3459" s="68"/>
      <c r="C3459" s="50"/>
      <c r="D3459" s="15"/>
    </row>
    <row r="3460" spans="2:4" x14ac:dyDescent="0.25">
      <c r="B3460" s="68"/>
      <c r="C3460" s="50"/>
      <c r="D3460" s="15"/>
    </row>
    <row r="3461" spans="2:4" x14ac:dyDescent="0.25">
      <c r="B3461" s="68"/>
      <c r="C3461" s="50"/>
      <c r="D3461" s="15"/>
    </row>
    <row r="3462" spans="2:4" x14ac:dyDescent="0.25">
      <c r="B3462" s="68"/>
      <c r="C3462" s="50"/>
      <c r="D3462" s="15"/>
    </row>
    <row r="3463" spans="2:4" x14ac:dyDescent="0.25">
      <c r="B3463" s="68"/>
      <c r="C3463" s="50"/>
      <c r="D3463" s="15"/>
    </row>
    <row r="3464" spans="2:4" x14ac:dyDescent="0.25">
      <c r="B3464" s="68"/>
      <c r="C3464" s="50"/>
      <c r="D3464" s="15"/>
    </row>
    <row r="3465" spans="2:4" x14ac:dyDescent="0.25">
      <c r="B3465" s="68"/>
      <c r="C3465" s="50"/>
      <c r="D3465" s="15"/>
    </row>
    <row r="3466" spans="2:4" x14ac:dyDescent="0.25">
      <c r="B3466" s="68"/>
      <c r="C3466" s="50"/>
      <c r="D3466" s="15"/>
    </row>
    <row r="3467" spans="2:4" x14ac:dyDescent="0.25">
      <c r="B3467" s="68"/>
      <c r="C3467" s="50"/>
      <c r="D3467" s="15"/>
    </row>
    <row r="3468" spans="2:4" x14ac:dyDescent="0.25">
      <c r="B3468" s="68"/>
      <c r="C3468" s="50"/>
      <c r="D3468" s="15"/>
    </row>
    <row r="3469" spans="2:4" x14ac:dyDescent="0.25">
      <c r="B3469" s="68"/>
      <c r="C3469" s="50"/>
      <c r="D3469" s="15"/>
    </row>
    <row r="3470" spans="2:4" x14ac:dyDescent="0.25">
      <c r="B3470" s="68"/>
      <c r="C3470" s="50"/>
      <c r="D3470" s="15"/>
    </row>
    <row r="3471" spans="2:4" x14ac:dyDescent="0.25">
      <c r="B3471" s="68"/>
      <c r="C3471" s="50"/>
      <c r="D3471" s="15"/>
    </row>
    <row r="3472" spans="2:4" x14ac:dyDescent="0.25">
      <c r="B3472" s="68"/>
      <c r="C3472" s="50"/>
      <c r="D3472" s="15"/>
    </row>
    <row r="3473" spans="2:4" x14ac:dyDescent="0.25">
      <c r="B3473" s="68"/>
      <c r="C3473" s="50"/>
      <c r="D3473" s="15"/>
    </row>
    <row r="3474" spans="2:4" x14ac:dyDescent="0.25">
      <c r="B3474" s="68"/>
      <c r="C3474" s="50"/>
      <c r="D3474" s="15"/>
    </row>
    <row r="3475" spans="2:4" x14ac:dyDescent="0.25">
      <c r="B3475" s="68"/>
      <c r="C3475" s="50"/>
      <c r="D3475" s="15"/>
    </row>
    <row r="3476" spans="2:4" x14ac:dyDescent="0.25">
      <c r="B3476" s="68"/>
      <c r="C3476" s="50"/>
      <c r="D3476" s="15"/>
    </row>
    <row r="3477" spans="2:4" x14ac:dyDescent="0.25">
      <c r="B3477" s="68"/>
      <c r="C3477" s="50"/>
      <c r="D3477" s="15"/>
    </row>
    <row r="3478" spans="2:4" x14ac:dyDescent="0.25">
      <c r="B3478" s="68"/>
      <c r="C3478" s="50"/>
      <c r="D3478" s="15"/>
    </row>
    <row r="3479" spans="2:4" x14ac:dyDescent="0.25">
      <c r="B3479" s="68"/>
      <c r="C3479" s="50"/>
      <c r="D3479" s="15"/>
    </row>
    <row r="3480" spans="2:4" x14ac:dyDescent="0.25">
      <c r="B3480" s="68"/>
      <c r="C3480" s="50"/>
      <c r="D3480" s="15"/>
    </row>
    <row r="3481" spans="2:4" x14ac:dyDescent="0.25">
      <c r="B3481" s="68"/>
      <c r="C3481" s="50"/>
      <c r="D3481" s="15"/>
    </row>
    <row r="3482" spans="2:4" x14ac:dyDescent="0.25">
      <c r="B3482" s="68"/>
      <c r="C3482" s="50"/>
      <c r="D3482" s="15"/>
    </row>
    <row r="3483" spans="2:4" x14ac:dyDescent="0.25">
      <c r="B3483" s="68"/>
      <c r="C3483" s="50"/>
      <c r="D3483" s="15"/>
    </row>
    <row r="3484" spans="2:4" x14ac:dyDescent="0.25">
      <c r="B3484" s="68"/>
      <c r="C3484" s="50"/>
      <c r="D3484" s="15"/>
    </row>
    <row r="3485" spans="2:4" x14ac:dyDescent="0.25">
      <c r="B3485" s="68"/>
      <c r="C3485" s="50"/>
      <c r="D3485" s="15"/>
    </row>
    <row r="3486" spans="2:4" x14ac:dyDescent="0.25">
      <c r="B3486" s="68"/>
      <c r="C3486" s="50"/>
      <c r="D3486" s="15"/>
    </row>
    <row r="3487" spans="2:4" x14ac:dyDescent="0.25">
      <c r="B3487" s="68"/>
      <c r="C3487" s="50"/>
      <c r="D3487" s="15"/>
    </row>
    <row r="3488" spans="2:4" x14ac:dyDescent="0.25">
      <c r="B3488" s="68"/>
      <c r="C3488" s="50"/>
      <c r="D3488" s="15"/>
    </row>
    <row r="3489" spans="2:4" x14ac:dyDescent="0.25">
      <c r="B3489" s="68"/>
      <c r="C3489" s="50"/>
      <c r="D3489" s="15"/>
    </row>
    <row r="3490" spans="2:4" x14ac:dyDescent="0.25">
      <c r="B3490" s="68"/>
      <c r="C3490" s="50"/>
      <c r="D3490" s="15"/>
    </row>
    <row r="3491" spans="2:4" x14ac:dyDescent="0.25">
      <c r="B3491" s="68"/>
      <c r="C3491" s="50"/>
      <c r="D3491" s="15"/>
    </row>
    <row r="3492" spans="2:4" x14ac:dyDescent="0.25">
      <c r="B3492" s="68"/>
      <c r="C3492" s="50"/>
      <c r="D3492" s="15"/>
    </row>
    <row r="3493" spans="2:4" x14ac:dyDescent="0.25">
      <c r="B3493" s="68"/>
      <c r="C3493" s="50"/>
      <c r="D3493" s="15"/>
    </row>
    <row r="3494" spans="2:4" x14ac:dyDescent="0.25">
      <c r="B3494" s="68"/>
      <c r="C3494" s="50"/>
      <c r="D3494" s="15"/>
    </row>
    <row r="3495" spans="2:4" x14ac:dyDescent="0.25">
      <c r="B3495" s="68"/>
      <c r="C3495" s="50"/>
      <c r="D3495" s="15"/>
    </row>
    <row r="3496" spans="2:4" x14ac:dyDescent="0.25">
      <c r="B3496" s="68"/>
      <c r="C3496" s="50"/>
      <c r="D3496" s="15"/>
    </row>
    <row r="3497" spans="2:4" x14ac:dyDescent="0.25">
      <c r="B3497" s="68"/>
      <c r="C3497" s="50"/>
      <c r="D3497" s="15"/>
    </row>
    <row r="3498" spans="2:4" x14ac:dyDescent="0.25">
      <c r="B3498" s="68"/>
      <c r="C3498" s="50"/>
      <c r="D3498" s="15"/>
    </row>
    <row r="3499" spans="2:4" x14ac:dyDescent="0.25">
      <c r="B3499" s="68"/>
      <c r="C3499" s="50"/>
      <c r="D3499" s="15"/>
    </row>
    <row r="3500" spans="2:4" x14ac:dyDescent="0.25">
      <c r="B3500" s="68"/>
      <c r="C3500" s="50"/>
      <c r="D3500" s="15"/>
    </row>
    <row r="3501" spans="2:4" x14ac:dyDescent="0.25">
      <c r="B3501" s="68"/>
      <c r="C3501" s="50"/>
      <c r="D3501" s="15"/>
    </row>
    <row r="3502" spans="2:4" x14ac:dyDescent="0.25">
      <c r="B3502" s="68"/>
      <c r="C3502" s="50"/>
      <c r="D3502" s="15"/>
    </row>
    <row r="3503" spans="2:4" x14ac:dyDescent="0.25">
      <c r="B3503" s="68"/>
      <c r="C3503" s="50"/>
      <c r="D3503" s="15"/>
    </row>
    <row r="3504" spans="2:4" x14ac:dyDescent="0.25">
      <c r="B3504" s="68"/>
      <c r="C3504" s="50"/>
      <c r="D3504" s="15"/>
    </row>
    <row r="3505" spans="2:4" x14ac:dyDescent="0.25">
      <c r="B3505" s="68"/>
      <c r="C3505" s="50"/>
      <c r="D3505" s="15"/>
    </row>
    <row r="3506" spans="2:4" x14ac:dyDescent="0.25">
      <c r="B3506" s="68"/>
      <c r="C3506" s="50"/>
      <c r="D3506" s="15"/>
    </row>
    <row r="3507" spans="2:4" x14ac:dyDescent="0.25">
      <c r="B3507" s="68"/>
      <c r="C3507" s="50"/>
      <c r="D3507" s="15"/>
    </row>
    <row r="3508" spans="2:4" x14ac:dyDescent="0.25">
      <c r="B3508" s="68"/>
      <c r="C3508" s="50"/>
      <c r="D3508" s="15"/>
    </row>
    <row r="3509" spans="2:4" x14ac:dyDescent="0.25">
      <c r="B3509" s="68"/>
      <c r="C3509" s="50"/>
      <c r="D3509" s="15"/>
    </row>
    <row r="3510" spans="2:4" x14ac:dyDescent="0.25">
      <c r="B3510" s="68"/>
      <c r="C3510" s="50"/>
      <c r="D3510" s="15"/>
    </row>
    <row r="3511" spans="2:4" x14ac:dyDescent="0.25">
      <c r="B3511" s="68"/>
      <c r="C3511" s="50"/>
      <c r="D3511" s="15"/>
    </row>
    <row r="3512" spans="2:4" x14ac:dyDescent="0.25">
      <c r="B3512" s="68"/>
      <c r="C3512" s="50"/>
      <c r="D3512" s="15"/>
    </row>
    <row r="3513" spans="2:4" x14ac:dyDescent="0.25">
      <c r="B3513" s="68"/>
      <c r="C3513" s="50"/>
      <c r="D3513" s="15"/>
    </row>
    <row r="3514" spans="2:4" x14ac:dyDescent="0.25">
      <c r="B3514" s="68"/>
      <c r="C3514" s="50"/>
      <c r="D3514" s="15"/>
    </row>
    <row r="3515" spans="2:4" x14ac:dyDescent="0.25">
      <c r="B3515" s="68"/>
      <c r="C3515" s="50"/>
      <c r="D3515" s="15"/>
    </row>
    <row r="3516" spans="2:4" x14ac:dyDescent="0.25">
      <c r="B3516" s="68"/>
      <c r="C3516" s="50"/>
      <c r="D3516" s="15"/>
    </row>
    <row r="3517" spans="2:4" x14ac:dyDescent="0.25">
      <c r="B3517" s="68"/>
      <c r="C3517" s="50"/>
      <c r="D3517" s="15"/>
    </row>
    <row r="3518" spans="2:4" x14ac:dyDescent="0.25">
      <c r="B3518" s="68"/>
      <c r="C3518" s="50"/>
      <c r="D3518" s="15"/>
    </row>
    <row r="3519" spans="2:4" x14ac:dyDescent="0.25">
      <c r="B3519" s="68"/>
      <c r="C3519" s="50"/>
      <c r="D3519" s="15"/>
    </row>
    <row r="3520" spans="2:4" x14ac:dyDescent="0.25">
      <c r="B3520" s="68"/>
      <c r="C3520" s="50"/>
      <c r="D3520" s="15"/>
    </row>
    <row r="3521" spans="2:4" x14ac:dyDescent="0.25">
      <c r="B3521" s="68"/>
      <c r="C3521" s="50"/>
      <c r="D3521" s="15"/>
    </row>
    <row r="3522" spans="2:4" x14ac:dyDescent="0.25">
      <c r="B3522" s="68"/>
      <c r="C3522" s="50"/>
      <c r="D3522" s="15"/>
    </row>
    <row r="3523" spans="2:4" x14ac:dyDescent="0.25">
      <c r="B3523" s="68"/>
      <c r="C3523" s="50"/>
      <c r="D3523" s="15"/>
    </row>
    <row r="3524" spans="2:4" x14ac:dyDescent="0.25">
      <c r="B3524" s="68"/>
      <c r="C3524" s="50"/>
      <c r="D3524" s="15"/>
    </row>
    <row r="3525" spans="2:4" x14ac:dyDescent="0.25">
      <c r="B3525" s="68"/>
      <c r="C3525" s="50"/>
      <c r="D3525" s="15"/>
    </row>
    <row r="3526" spans="2:4" x14ac:dyDescent="0.25">
      <c r="B3526" s="68"/>
      <c r="C3526" s="50"/>
      <c r="D3526" s="15"/>
    </row>
    <row r="3527" spans="2:4" x14ac:dyDescent="0.25">
      <c r="B3527" s="68"/>
      <c r="C3527" s="50"/>
      <c r="D3527" s="15"/>
    </row>
    <row r="3528" spans="2:4" x14ac:dyDescent="0.25">
      <c r="B3528" s="68"/>
      <c r="C3528" s="50"/>
      <c r="D3528" s="15"/>
    </row>
    <row r="3529" spans="2:4" x14ac:dyDescent="0.25">
      <c r="B3529" s="68"/>
      <c r="C3529" s="50"/>
      <c r="D3529" s="15"/>
    </row>
    <row r="3530" spans="2:4" x14ac:dyDescent="0.25">
      <c r="B3530" s="68"/>
      <c r="C3530" s="50"/>
      <c r="D3530" s="15"/>
    </row>
    <row r="3531" spans="2:4" x14ac:dyDescent="0.25">
      <c r="B3531" s="68"/>
      <c r="C3531" s="50"/>
      <c r="D3531" s="15"/>
    </row>
    <row r="3532" spans="2:4" x14ac:dyDescent="0.25">
      <c r="B3532" s="68"/>
      <c r="C3532" s="50"/>
      <c r="D3532" s="15"/>
    </row>
    <row r="3533" spans="2:4" x14ac:dyDescent="0.25">
      <c r="B3533" s="68"/>
      <c r="C3533" s="50"/>
      <c r="D3533" s="15"/>
    </row>
    <row r="3534" spans="2:4" x14ac:dyDescent="0.25">
      <c r="B3534" s="68"/>
      <c r="C3534" s="50"/>
      <c r="D3534" s="15"/>
    </row>
    <row r="3535" spans="2:4" x14ac:dyDescent="0.25">
      <c r="B3535" s="68"/>
      <c r="C3535" s="50"/>
      <c r="D3535" s="15"/>
    </row>
    <row r="3536" spans="2:4" x14ac:dyDescent="0.25">
      <c r="B3536" s="68"/>
      <c r="C3536" s="50"/>
      <c r="D3536" s="15"/>
    </row>
    <row r="3537" spans="2:4" x14ac:dyDescent="0.25">
      <c r="B3537" s="68"/>
      <c r="C3537" s="50"/>
      <c r="D3537" s="15"/>
    </row>
    <row r="3538" spans="2:4" x14ac:dyDescent="0.25">
      <c r="B3538" s="68"/>
      <c r="C3538" s="50"/>
      <c r="D3538" s="15"/>
    </row>
    <row r="3539" spans="2:4" x14ac:dyDescent="0.25">
      <c r="B3539" s="68"/>
      <c r="C3539" s="50"/>
      <c r="D3539" s="15"/>
    </row>
    <row r="3540" spans="2:4" x14ac:dyDescent="0.25">
      <c r="B3540" s="68"/>
      <c r="C3540" s="50"/>
      <c r="D3540" s="15"/>
    </row>
    <row r="3541" spans="2:4" x14ac:dyDescent="0.25">
      <c r="B3541" s="68"/>
      <c r="C3541" s="50"/>
      <c r="D3541" s="15"/>
    </row>
    <row r="3542" spans="2:4" x14ac:dyDescent="0.25">
      <c r="B3542" s="68"/>
      <c r="C3542" s="50"/>
      <c r="D3542" s="15"/>
    </row>
    <row r="3543" spans="2:4" x14ac:dyDescent="0.25">
      <c r="B3543" s="68"/>
      <c r="C3543" s="50"/>
      <c r="D3543" s="15"/>
    </row>
    <row r="3544" spans="2:4" x14ac:dyDescent="0.25">
      <c r="B3544" s="68"/>
      <c r="C3544" s="50"/>
      <c r="D3544" s="15"/>
    </row>
    <row r="3545" spans="2:4" x14ac:dyDescent="0.25">
      <c r="B3545" s="68"/>
      <c r="C3545" s="50"/>
      <c r="D3545" s="15"/>
    </row>
    <row r="3546" spans="2:4" x14ac:dyDescent="0.25">
      <c r="B3546" s="68"/>
      <c r="C3546" s="50"/>
      <c r="D3546" s="15"/>
    </row>
    <row r="3547" spans="2:4" x14ac:dyDescent="0.25">
      <c r="B3547" s="68"/>
      <c r="C3547" s="50"/>
      <c r="D3547" s="15"/>
    </row>
    <row r="3548" spans="2:4" x14ac:dyDescent="0.25">
      <c r="B3548" s="68"/>
      <c r="C3548" s="50"/>
      <c r="D3548" s="15"/>
    </row>
    <row r="3549" spans="2:4" x14ac:dyDescent="0.25">
      <c r="B3549" s="68"/>
      <c r="C3549" s="50"/>
      <c r="D3549" s="15"/>
    </row>
    <row r="3550" spans="2:4" x14ac:dyDescent="0.25">
      <c r="B3550" s="68"/>
      <c r="C3550" s="50"/>
      <c r="D3550" s="15"/>
    </row>
    <row r="3551" spans="2:4" x14ac:dyDescent="0.25">
      <c r="B3551" s="68"/>
      <c r="C3551" s="50"/>
      <c r="D3551" s="15"/>
    </row>
    <row r="3552" spans="2:4" x14ac:dyDescent="0.25">
      <c r="B3552" s="68"/>
      <c r="C3552" s="50"/>
      <c r="D3552" s="15"/>
    </row>
    <row r="3553" spans="2:4" x14ac:dyDescent="0.25">
      <c r="B3553" s="68"/>
      <c r="C3553" s="50"/>
      <c r="D3553" s="15"/>
    </row>
    <row r="3554" spans="2:4" x14ac:dyDescent="0.25">
      <c r="B3554" s="68"/>
      <c r="C3554" s="50"/>
      <c r="D3554" s="15"/>
    </row>
    <row r="3555" spans="2:4" x14ac:dyDescent="0.25">
      <c r="B3555" s="68"/>
      <c r="C3555" s="50"/>
      <c r="D3555" s="15"/>
    </row>
    <row r="3556" spans="2:4" x14ac:dyDescent="0.25">
      <c r="B3556" s="68"/>
      <c r="C3556" s="50"/>
      <c r="D3556" s="15"/>
    </row>
    <row r="3557" spans="2:4" x14ac:dyDescent="0.25">
      <c r="B3557" s="68"/>
      <c r="C3557" s="50"/>
      <c r="D3557" s="15"/>
    </row>
    <row r="3558" spans="2:4" x14ac:dyDescent="0.25">
      <c r="B3558" s="68"/>
      <c r="C3558" s="50"/>
      <c r="D3558" s="15"/>
    </row>
    <row r="3559" spans="2:4" x14ac:dyDescent="0.25">
      <c r="B3559" s="68"/>
      <c r="C3559" s="50"/>
      <c r="D3559" s="15"/>
    </row>
    <row r="3560" spans="2:4" x14ac:dyDescent="0.25">
      <c r="B3560" s="68"/>
      <c r="C3560" s="50"/>
      <c r="D3560" s="15"/>
    </row>
    <row r="3561" spans="2:4" x14ac:dyDescent="0.25">
      <c r="B3561" s="68"/>
      <c r="C3561" s="50"/>
      <c r="D3561" s="15"/>
    </row>
    <row r="3562" spans="2:4" x14ac:dyDescent="0.25">
      <c r="B3562" s="68"/>
      <c r="C3562" s="50"/>
      <c r="D3562" s="15"/>
    </row>
    <row r="3563" spans="2:4" x14ac:dyDescent="0.25">
      <c r="B3563" s="68"/>
      <c r="C3563" s="50"/>
      <c r="D3563" s="15"/>
    </row>
    <row r="3564" spans="2:4" x14ac:dyDescent="0.25">
      <c r="B3564" s="68"/>
      <c r="C3564" s="50"/>
      <c r="D3564" s="15"/>
    </row>
    <row r="3565" spans="2:4" x14ac:dyDescent="0.25">
      <c r="B3565" s="68"/>
      <c r="C3565" s="50"/>
      <c r="D3565" s="15"/>
    </row>
    <row r="3566" spans="2:4" x14ac:dyDescent="0.25">
      <c r="B3566" s="68"/>
      <c r="C3566" s="50"/>
      <c r="D3566" s="15"/>
    </row>
    <row r="3567" spans="2:4" x14ac:dyDescent="0.25">
      <c r="B3567" s="68"/>
      <c r="C3567" s="50"/>
      <c r="D3567" s="15"/>
    </row>
    <row r="3568" spans="2:4" x14ac:dyDescent="0.25">
      <c r="B3568" s="68"/>
      <c r="C3568" s="50"/>
      <c r="D3568" s="15"/>
    </row>
    <row r="3569" spans="2:4" x14ac:dyDescent="0.25">
      <c r="B3569" s="68"/>
      <c r="C3569" s="50"/>
      <c r="D3569" s="15"/>
    </row>
    <row r="3570" spans="2:4" x14ac:dyDescent="0.25">
      <c r="B3570" s="68"/>
      <c r="C3570" s="50"/>
      <c r="D3570" s="15"/>
    </row>
    <row r="3571" spans="2:4" x14ac:dyDescent="0.25">
      <c r="B3571" s="68"/>
      <c r="C3571" s="50"/>
      <c r="D3571" s="15"/>
    </row>
    <row r="3572" spans="2:4" x14ac:dyDescent="0.25">
      <c r="B3572" s="68"/>
      <c r="C3572" s="50"/>
      <c r="D3572" s="15"/>
    </row>
    <row r="3573" spans="2:4" x14ac:dyDescent="0.25">
      <c r="B3573" s="68"/>
      <c r="C3573" s="50"/>
      <c r="D3573" s="15"/>
    </row>
    <row r="3574" spans="2:4" x14ac:dyDescent="0.25">
      <c r="B3574" s="68"/>
      <c r="C3574" s="50"/>
      <c r="D3574" s="15"/>
    </row>
    <row r="3575" spans="2:4" x14ac:dyDescent="0.25">
      <c r="B3575" s="68"/>
      <c r="C3575" s="50"/>
      <c r="D3575" s="15"/>
    </row>
    <row r="3576" spans="2:4" x14ac:dyDescent="0.25">
      <c r="B3576" s="68"/>
      <c r="C3576" s="50"/>
      <c r="D3576" s="15"/>
    </row>
    <row r="3577" spans="2:4" x14ac:dyDescent="0.25">
      <c r="B3577" s="68"/>
      <c r="C3577" s="50"/>
      <c r="D3577" s="15"/>
    </row>
    <row r="3578" spans="2:4" x14ac:dyDescent="0.25">
      <c r="B3578" s="68"/>
      <c r="C3578" s="50"/>
      <c r="D3578" s="15"/>
    </row>
    <row r="3579" spans="2:4" x14ac:dyDescent="0.25">
      <c r="B3579" s="68"/>
      <c r="C3579" s="50"/>
      <c r="D3579" s="15"/>
    </row>
    <row r="3580" spans="2:4" x14ac:dyDescent="0.25">
      <c r="B3580" s="68"/>
      <c r="C3580" s="50"/>
      <c r="D3580" s="15"/>
    </row>
    <row r="3581" spans="2:4" x14ac:dyDescent="0.25">
      <c r="B3581" s="68"/>
      <c r="C3581" s="50"/>
      <c r="D3581" s="15"/>
    </row>
    <row r="3582" spans="2:4" x14ac:dyDescent="0.25">
      <c r="B3582" s="68"/>
      <c r="C3582" s="50"/>
      <c r="D3582" s="15"/>
    </row>
    <row r="3583" spans="2:4" x14ac:dyDescent="0.25">
      <c r="B3583" s="68"/>
      <c r="C3583" s="50"/>
      <c r="D3583" s="15"/>
    </row>
    <row r="3584" spans="2:4" x14ac:dyDescent="0.25">
      <c r="B3584" s="68"/>
      <c r="C3584" s="50"/>
      <c r="D3584" s="15"/>
    </row>
    <row r="3585" spans="2:4" x14ac:dyDescent="0.25">
      <c r="B3585" s="68"/>
      <c r="C3585" s="50"/>
      <c r="D3585" s="15"/>
    </row>
    <row r="3586" spans="2:4" x14ac:dyDescent="0.25">
      <c r="B3586" s="68"/>
      <c r="C3586" s="50"/>
      <c r="D3586" s="15"/>
    </row>
    <row r="3587" spans="2:4" x14ac:dyDescent="0.25">
      <c r="B3587" s="68"/>
      <c r="C3587" s="50"/>
      <c r="D3587" s="15"/>
    </row>
    <row r="3588" spans="2:4" x14ac:dyDescent="0.25">
      <c r="B3588" s="68"/>
      <c r="C3588" s="50"/>
      <c r="D3588" s="15"/>
    </row>
    <row r="3589" spans="2:4" x14ac:dyDescent="0.25">
      <c r="B3589" s="68"/>
      <c r="C3589" s="50"/>
      <c r="D3589" s="15"/>
    </row>
    <row r="3590" spans="2:4" x14ac:dyDescent="0.25">
      <c r="B3590" s="68"/>
      <c r="C3590" s="50"/>
      <c r="D3590" s="15"/>
    </row>
    <row r="3591" spans="2:4" x14ac:dyDescent="0.25">
      <c r="B3591" s="68"/>
      <c r="C3591" s="50"/>
      <c r="D3591" s="15"/>
    </row>
    <row r="3592" spans="2:4" x14ac:dyDescent="0.25">
      <c r="B3592" s="68"/>
      <c r="C3592" s="50"/>
      <c r="D3592" s="15"/>
    </row>
    <row r="3593" spans="2:4" x14ac:dyDescent="0.25">
      <c r="B3593" s="68"/>
      <c r="C3593" s="50"/>
      <c r="D3593" s="15"/>
    </row>
    <row r="3594" spans="2:4" x14ac:dyDescent="0.25">
      <c r="B3594" s="68"/>
      <c r="C3594" s="50"/>
      <c r="D3594" s="15"/>
    </row>
    <row r="3595" spans="2:4" x14ac:dyDescent="0.25">
      <c r="B3595" s="68"/>
      <c r="C3595" s="50"/>
      <c r="D3595" s="15"/>
    </row>
    <row r="3596" spans="2:4" x14ac:dyDescent="0.25">
      <c r="B3596" s="68"/>
      <c r="C3596" s="50"/>
      <c r="D3596" s="15"/>
    </row>
    <row r="3597" spans="2:4" x14ac:dyDescent="0.25">
      <c r="B3597" s="68"/>
      <c r="C3597" s="50"/>
      <c r="D3597" s="15"/>
    </row>
    <row r="3598" spans="2:4" x14ac:dyDescent="0.25">
      <c r="B3598" s="68"/>
      <c r="C3598" s="50"/>
      <c r="D3598" s="15"/>
    </row>
    <row r="3599" spans="2:4" x14ac:dyDescent="0.25">
      <c r="B3599" s="68"/>
      <c r="C3599" s="50"/>
      <c r="D3599" s="15"/>
    </row>
    <row r="3600" spans="2:4" x14ac:dyDescent="0.25">
      <c r="B3600" s="68"/>
      <c r="C3600" s="50"/>
      <c r="D3600" s="15"/>
    </row>
    <row r="3601" spans="2:4" x14ac:dyDescent="0.25">
      <c r="B3601" s="68"/>
      <c r="C3601" s="50"/>
      <c r="D3601" s="15"/>
    </row>
    <row r="3602" spans="2:4" x14ac:dyDescent="0.25">
      <c r="B3602" s="68"/>
      <c r="C3602" s="50"/>
      <c r="D3602" s="15"/>
    </row>
    <row r="3603" spans="2:4" x14ac:dyDescent="0.25">
      <c r="B3603" s="68"/>
      <c r="C3603" s="50"/>
      <c r="D3603" s="15"/>
    </row>
    <row r="3604" spans="2:4" x14ac:dyDescent="0.25">
      <c r="B3604" s="68"/>
      <c r="C3604" s="50"/>
      <c r="D3604" s="15"/>
    </row>
    <row r="3605" spans="2:4" x14ac:dyDescent="0.25">
      <c r="B3605" s="68"/>
      <c r="C3605" s="50"/>
      <c r="D3605" s="15"/>
    </row>
    <row r="3606" spans="2:4" x14ac:dyDescent="0.25">
      <c r="B3606" s="68"/>
      <c r="C3606" s="50"/>
      <c r="D3606" s="15"/>
    </row>
    <row r="3607" spans="2:4" x14ac:dyDescent="0.25">
      <c r="B3607" s="68"/>
      <c r="C3607" s="50"/>
      <c r="D3607" s="15"/>
    </row>
    <row r="3608" spans="2:4" x14ac:dyDescent="0.25">
      <c r="B3608" s="68"/>
      <c r="C3608" s="50"/>
      <c r="D3608" s="15"/>
    </row>
    <row r="3609" spans="2:4" x14ac:dyDescent="0.25">
      <c r="B3609" s="68"/>
      <c r="C3609" s="50"/>
      <c r="D3609" s="15"/>
    </row>
    <row r="3610" spans="2:4" x14ac:dyDescent="0.25">
      <c r="B3610" s="68"/>
      <c r="C3610" s="50"/>
      <c r="D3610" s="15"/>
    </row>
    <row r="3611" spans="2:4" x14ac:dyDescent="0.25">
      <c r="B3611" s="68"/>
      <c r="C3611" s="50"/>
      <c r="D3611" s="15"/>
    </row>
    <row r="3612" spans="2:4" x14ac:dyDescent="0.25">
      <c r="B3612" s="68"/>
      <c r="C3612" s="50"/>
      <c r="D3612" s="15"/>
    </row>
    <row r="3613" spans="2:4" x14ac:dyDescent="0.25">
      <c r="B3613" s="68"/>
      <c r="C3613" s="50"/>
      <c r="D3613" s="15"/>
    </row>
    <row r="3614" spans="2:4" x14ac:dyDescent="0.25">
      <c r="B3614" s="68"/>
      <c r="C3614" s="50"/>
      <c r="D3614" s="15"/>
    </row>
    <row r="3615" spans="2:4" x14ac:dyDescent="0.25">
      <c r="B3615" s="68"/>
      <c r="C3615" s="50"/>
      <c r="D3615" s="15"/>
    </row>
    <row r="3616" spans="2:4" x14ac:dyDescent="0.25">
      <c r="B3616" s="68"/>
      <c r="C3616" s="50"/>
      <c r="D3616" s="15"/>
    </row>
    <row r="3617" spans="2:4" x14ac:dyDescent="0.25">
      <c r="B3617" s="68"/>
      <c r="C3617" s="50"/>
      <c r="D3617" s="15"/>
    </row>
    <row r="3618" spans="2:4" x14ac:dyDescent="0.25">
      <c r="B3618" s="68"/>
      <c r="C3618" s="50"/>
      <c r="D3618" s="15"/>
    </row>
    <row r="3619" spans="2:4" x14ac:dyDescent="0.25">
      <c r="B3619" s="68"/>
      <c r="C3619" s="50"/>
      <c r="D3619" s="15"/>
    </row>
    <row r="3620" spans="2:4" x14ac:dyDescent="0.25">
      <c r="B3620" s="68"/>
      <c r="C3620" s="50"/>
      <c r="D3620" s="15"/>
    </row>
    <row r="3621" spans="2:4" x14ac:dyDescent="0.25">
      <c r="B3621" s="68"/>
      <c r="C3621" s="50"/>
      <c r="D3621" s="15"/>
    </row>
    <row r="3622" spans="2:4" x14ac:dyDescent="0.25">
      <c r="B3622" s="68"/>
      <c r="C3622" s="50"/>
      <c r="D3622" s="15"/>
    </row>
    <row r="3623" spans="2:4" x14ac:dyDescent="0.25">
      <c r="B3623" s="68"/>
      <c r="C3623" s="50"/>
      <c r="D3623" s="15"/>
    </row>
    <row r="3624" spans="2:4" x14ac:dyDescent="0.25">
      <c r="B3624" s="68"/>
      <c r="C3624" s="50"/>
      <c r="D3624" s="15"/>
    </row>
    <row r="3625" spans="2:4" x14ac:dyDescent="0.25">
      <c r="B3625" s="68"/>
      <c r="C3625" s="50"/>
      <c r="D3625" s="15"/>
    </row>
    <row r="3626" spans="2:4" x14ac:dyDescent="0.25">
      <c r="B3626" s="68"/>
      <c r="C3626" s="50"/>
      <c r="D3626" s="15"/>
    </row>
    <row r="3627" spans="2:4" x14ac:dyDescent="0.25">
      <c r="B3627" s="68"/>
      <c r="C3627" s="50"/>
      <c r="D3627" s="15"/>
    </row>
    <row r="3628" spans="2:4" x14ac:dyDescent="0.25">
      <c r="B3628" s="68"/>
      <c r="C3628" s="50"/>
      <c r="D3628" s="15"/>
    </row>
    <row r="3629" spans="2:4" x14ac:dyDescent="0.25">
      <c r="B3629" s="68"/>
      <c r="C3629" s="50"/>
      <c r="D3629" s="15"/>
    </row>
    <row r="3630" spans="2:4" x14ac:dyDescent="0.25">
      <c r="B3630" s="68"/>
      <c r="C3630" s="50"/>
      <c r="D3630" s="15"/>
    </row>
    <row r="3631" spans="2:4" x14ac:dyDescent="0.25">
      <c r="B3631" s="68"/>
      <c r="C3631" s="50"/>
      <c r="D3631" s="15"/>
    </row>
    <row r="3632" spans="2:4" x14ac:dyDescent="0.25">
      <c r="B3632" s="68"/>
      <c r="C3632" s="50"/>
      <c r="D3632" s="15"/>
    </row>
    <row r="3633" spans="2:4" x14ac:dyDescent="0.25">
      <c r="B3633" s="68"/>
      <c r="C3633" s="50"/>
      <c r="D3633" s="15"/>
    </row>
    <row r="3634" spans="2:4" x14ac:dyDescent="0.25">
      <c r="B3634" s="68"/>
      <c r="C3634" s="50"/>
      <c r="D3634" s="15"/>
    </row>
    <row r="3635" spans="2:4" x14ac:dyDescent="0.25">
      <c r="B3635" s="68"/>
      <c r="C3635" s="50"/>
      <c r="D3635" s="15"/>
    </row>
    <row r="3636" spans="2:4" x14ac:dyDescent="0.25">
      <c r="B3636" s="68"/>
      <c r="C3636" s="50"/>
      <c r="D3636" s="15"/>
    </row>
    <row r="3637" spans="2:4" x14ac:dyDescent="0.25">
      <c r="B3637" s="68"/>
      <c r="C3637" s="50"/>
      <c r="D3637" s="15"/>
    </row>
    <row r="3638" spans="2:4" x14ac:dyDescent="0.25">
      <c r="B3638" s="68"/>
      <c r="C3638" s="50"/>
      <c r="D3638" s="15"/>
    </row>
    <row r="3639" spans="2:4" x14ac:dyDescent="0.25">
      <c r="B3639" s="68"/>
      <c r="C3639" s="50"/>
      <c r="D3639" s="15"/>
    </row>
    <row r="3640" spans="2:4" x14ac:dyDescent="0.25">
      <c r="B3640" s="68"/>
      <c r="C3640" s="50"/>
      <c r="D3640" s="15"/>
    </row>
    <row r="3641" spans="2:4" x14ac:dyDescent="0.25">
      <c r="B3641" s="68"/>
      <c r="C3641" s="50"/>
      <c r="D3641" s="15"/>
    </row>
    <row r="3642" spans="2:4" x14ac:dyDescent="0.25">
      <c r="B3642" s="68"/>
      <c r="C3642" s="50"/>
      <c r="D3642" s="15"/>
    </row>
    <row r="3643" spans="2:4" x14ac:dyDescent="0.25">
      <c r="B3643" s="68"/>
      <c r="C3643" s="50"/>
      <c r="D3643" s="15"/>
    </row>
    <row r="3644" spans="2:4" x14ac:dyDescent="0.25">
      <c r="B3644" s="68"/>
      <c r="C3644" s="50"/>
      <c r="D3644" s="15"/>
    </row>
    <row r="3645" spans="2:4" x14ac:dyDescent="0.25">
      <c r="B3645" s="68"/>
      <c r="C3645" s="50"/>
      <c r="D3645" s="15"/>
    </row>
    <row r="3646" spans="2:4" x14ac:dyDescent="0.25">
      <c r="B3646" s="68"/>
      <c r="C3646" s="50"/>
      <c r="D3646" s="15"/>
    </row>
    <row r="3647" spans="2:4" x14ac:dyDescent="0.25">
      <c r="B3647" s="68"/>
      <c r="C3647" s="50"/>
      <c r="D3647" s="15"/>
    </row>
    <row r="3648" spans="2:4" x14ac:dyDescent="0.25">
      <c r="B3648" s="68"/>
      <c r="C3648" s="50"/>
      <c r="D3648" s="15"/>
    </row>
    <row r="3649" spans="2:4" x14ac:dyDescent="0.25">
      <c r="B3649" s="68"/>
      <c r="C3649" s="50"/>
      <c r="D3649" s="15"/>
    </row>
    <row r="3650" spans="2:4" x14ac:dyDescent="0.25">
      <c r="B3650" s="68"/>
      <c r="C3650" s="50"/>
      <c r="D3650" s="15"/>
    </row>
    <row r="3651" spans="2:4" x14ac:dyDescent="0.25">
      <c r="B3651" s="68"/>
      <c r="C3651" s="50"/>
      <c r="D3651" s="15"/>
    </row>
    <row r="3652" spans="2:4" x14ac:dyDescent="0.25">
      <c r="B3652" s="68"/>
      <c r="C3652" s="50"/>
      <c r="D3652" s="15"/>
    </row>
    <row r="3653" spans="2:4" x14ac:dyDescent="0.25">
      <c r="B3653" s="68"/>
      <c r="C3653" s="50"/>
      <c r="D3653" s="15"/>
    </row>
    <row r="3654" spans="2:4" x14ac:dyDescent="0.25">
      <c r="B3654" s="68"/>
      <c r="C3654" s="50"/>
      <c r="D3654" s="15"/>
    </row>
    <row r="3655" spans="2:4" x14ac:dyDescent="0.25">
      <c r="B3655" s="68"/>
      <c r="C3655" s="50"/>
      <c r="D3655" s="15"/>
    </row>
    <row r="3656" spans="2:4" x14ac:dyDescent="0.25">
      <c r="B3656" s="68"/>
      <c r="C3656" s="50"/>
      <c r="D3656" s="15"/>
    </row>
    <row r="3657" spans="2:4" x14ac:dyDescent="0.25">
      <c r="B3657" s="68"/>
      <c r="C3657" s="50"/>
      <c r="D3657" s="15"/>
    </row>
    <row r="3658" spans="2:4" x14ac:dyDescent="0.25">
      <c r="B3658" s="68"/>
      <c r="C3658" s="50"/>
      <c r="D3658" s="15"/>
    </row>
    <row r="3659" spans="2:4" x14ac:dyDescent="0.25">
      <c r="B3659" s="68"/>
      <c r="C3659" s="50"/>
      <c r="D3659" s="15"/>
    </row>
    <row r="3660" spans="2:4" x14ac:dyDescent="0.25">
      <c r="B3660" s="68"/>
      <c r="C3660" s="50"/>
      <c r="D3660" s="15"/>
    </row>
    <row r="3661" spans="2:4" x14ac:dyDescent="0.25">
      <c r="B3661" s="68"/>
      <c r="C3661" s="50"/>
      <c r="D3661" s="15"/>
    </row>
    <row r="3662" spans="2:4" x14ac:dyDescent="0.25">
      <c r="B3662" s="68"/>
      <c r="C3662" s="50"/>
      <c r="D3662" s="15"/>
    </row>
    <row r="3663" spans="2:4" x14ac:dyDescent="0.25">
      <c r="B3663" s="68"/>
      <c r="C3663" s="50"/>
      <c r="D3663" s="15"/>
    </row>
    <row r="3664" spans="2:4" x14ac:dyDescent="0.25">
      <c r="B3664" s="68"/>
      <c r="C3664" s="50"/>
      <c r="D3664" s="15"/>
    </row>
    <row r="3665" spans="2:4" x14ac:dyDescent="0.25">
      <c r="B3665" s="68"/>
      <c r="C3665" s="50"/>
      <c r="D3665" s="15"/>
    </row>
    <row r="3666" spans="2:4" x14ac:dyDescent="0.25">
      <c r="B3666" s="68"/>
      <c r="C3666" s="50"/>
      <c r="D3666" s="15"/>
    </row>
    <row r="3667" spans="2:4" x14ac:dyDescent="0.25">
      <c r="B3667" s="68"/>
      <c r="C3667" s="50"/>
      <c r="D3667" s="15"/>
    </row>
    <row r="3668" spans="2:4" x14ac:dyDescent="0.25">
      <c r="B3668" s="68"/>
      <c r="C3668" s="50"/>
      <c r="D3668" s="15"/>
    </row>
    <row r="3669" spans="2:4" x14ac:dyDescent="0.25">
      <c r="B3669" s="68"/>
      <c r="C3669" s="50"/>
      <c r="D3669" s="15"/>
    </row>
    <row r="3670" spans="2:4" x14ac:dyDescent="0.25">
      <c r="B3670" s="68"/>
      <c r="C3670" s="50"/>
      <c r="D3670" s="15"/>
    </row>
    <row r="3671" spans="2:4" x14ac:dyDescent="0.25">
      <c r="B3671" s="68"/>
      <c r="C3671" s="50"/>
      <c r="D3671" s="15"/>
    </row>
    <row r="3672" spans="2:4" x14ac:dyDescent="0.25">
      <c r="B3672" s="68"/>
      <c r="C3672" s="50"/>
      <c r="D3672" s="15"/>
    </row>
    <row r="3673" spans="2:4" x14ac:dyDescent="0.25">
      <c r="B3673" s="68"/>
      <c r="C3673" s="50"/>
      <c r="D3673" s="15"/>
    </row>
    <row r="3674" spans="2:4" x14ac:dyDescent="0.25">
      <c r="B3674" s="68"/>
      <c r="C3674" s="50"/>
      <c r="D3674" s="15"/>
    </row>
    <row r="3675" spans="2:4" x14ac:dyDescent="0.25">
      <c r="B3675" s="68"/>
      <c r="C3675" s="50"/>
      <c r="D3675" s="15"/>
    </row>
    <row r="3676" spans="2:4" x14ac:dyDescent="0.25">
      <c r="B3676" s="68"/>
      <c r="C3676" s="50"/>
      <c r="D3676" s="15"/>
    </row>
    <row r="3677" spans="2:4" x14ac:dyDescent="0.25">
      <c r="B3677" s="68"/>
      <c r="C3677" s="50"/>
      <c r="D3677" s="15"/>
    </row>
    <row r="3678" spans="2:4" x14ac:dyDescent="0.25">
      <c r="B3678" s="68"/>
      <c r="C3678" s="50"/>
      <c r="D3678" s="15"/>
    </row>
    <row r="3679" spans="2:4" x14ac:dyDescent="0.25">
      <c r="B3679" s="68"/>
      <c r="C3679" s="50"/>
      <c r="D3679" s="15"/>
    </row>
    <row r="3680" spans="2:4" x14ac:dyDescent="0.25">
      <c r="B3680" s="68"/>
      <c r="C3680" s="50"/>
      <c r="D3680" s="15"/>
    </row>
    <row r="3681" spans="2:4" x14ac:dyDescent="0.25">
      <c r="B3681" s="68"/>
      <c r="C3681" s="50"/>
      <c r="D3681" s="15"/>
    </row>
    <row r="3682" spans="2:4" x14ac:dyDescent="0.25">
      <c r="B3682" s="68"/>
      <c r="C3682" s="50"/>
      <c r="D3682" s="15"/>
    </row>
    <row r="3683" spans="2:4" x14ac:dyDescent="0.25">
      <c r="B3683" s="68"/>
      <c r="C3683" s="50"/>
      <c r="D3683" s="15"/>
    </row>
    <row r="3684" spans="2:4" x14ac:dyDescent="0.25">
      <c r="B3684" s="68"/>
      <c r="C3684" s="50"/>
      <c r="D3684" s="15"/>
    </row>
    <row r="3685" spans="2:4" x14ac:dyDescent="0.25">
      <c r="B3685" s="68"/>
      <c r="C3685" s="50"/>
      <c r="D3685" s="15"/>
    </row>
    <row r="3686" spans="2:4" x14ac:dyDescent="0.25">
      <c r="B3686" s="68"/>
      <c r="C3686" s="50"/>
      <c r="D3686" s="15"/>
    </row>
    <row r="3687" spans="2:4" x14ac:dyDescent="0.25">
      <c r="B3687" s="68"/>
      <c r="C3687" s="50"/>
      <c r="D3687" s="15"/>
    </row>
    <row r="3688" spans="2:4" x14ac:dyDescent="0.25">
      <c r="B3688" s="68"/>
      <c r="C3688" s="50"/>
      <c r="D3688" s="15"/>
    </row>
    <row r="3689" spans="2:4" x14ac:dyDescent="0.25">
      <c r="B3689" s="68"/>
      <c r="C3689" s="50"/>
      <c r="D3689" s="15"/>
    </row>
    <row r="3690" spans="2:4" x14ac:dyDescent="0.25">
      <c r="B3690" s="68"/>
      <c r="C3690" s="50"/>
      <c r="D3690" s="15"/>
    </row>
    <row r="3691" spans="2:4" x14ac:dyDescent="0.25">
      <c r="B3691" s="68"/>
      <c r="C3691" s="50"/>
      <c r="D3691" s="15"/>
    </row>
    <row r="3692" spans="2:4" x14ac:dyDescent="0.25">
      <c r="B3692" s="68"/>
      <c r="C3692" s="50"/>
      <c r="D3692" s="15"/>
    </row>
    <row r="3693" spans="2:4" x14ac:dyDescent="0.25">
      <c r="B3693" s="68"/>
      <c r="C3693" s="50"/>
      <c r="D3693" s="15"/>
    </row>
    <row r="3694" spans="2:4" x14ac:dyDescent="0.25">
      <c r="B3694" s="68"/>
      <c r="C3694" s="50"/>
      <c r="D3694" s="15"/>
    </row>
    <row r="3695" spans="2:4" x14ac:dyDescent="0.25">
      <c r="B3695" s="68"/>
      <c r="C3695" s="50"/>
      <c r="D3695" s="15"/>
    </row>
    <row r="3696" spans="2:4" x14ac:dyDescent="0.25">
      <c r="B3696" s="68"/>
      <c r="C3696" s="50"/>
      <c r="D3696" s="15"/>
    </row>
    <row r="3697" spans="2:4" x14ac:dyDescent="0.25">
      <c r="B3697" s="68"/>
      <c r="C3697" s="50"/>
      <c r="D3697" s="15"/>
    </row>
    <row r="3698" spans="2:4" x14ac:dyDescent="0.25">
      <c r="B3698" s="68"/>
      <c r="C3698" s="50"/>
      <c r="D3698" s="15"/>
    </row>
    <row r="3699" spans="2:4" x14ac:dyDescent="0.25">
      <c r="B3699" s="68"/>
      <c r="C3699" s="50"/>
      <c r="D3699" s="15"/>
    </row>
    <row r="3700" spans="2:4" x14ac:dyDescent="0.25">
      <c r="B3700" s="68"/>
      <c r="C3700" s="50"/>
      <c r="D3700" s="15"/>
    </row>
    <row r="3701" spans="2:4" x14ac:dyDescent="0.25">
      <c r="B3701" s="68"/>
      <c r="C3701" s="50"/>
      <c r="D3701" s="15"/>
    </row>
    <row r="3702" spans="2:4" x14ac:dyDescent="0.25">
      <c r="B3702" s="68"/>
      <c r="C3702" s="50"/>
      <c r="D3702" s="15"/>
    </row>
    <row r="3703" spans="2:4" x14ac:dyDescent="0.25">
      <c r="B3703" s="68"/>
      <c r="C3703" s="50"/>
      <c r="D3703" s="15"/>
    </row>
    <row r="3704" spans="2:4" x14ac:dyDescent="0.25">
      <c r="B3704" s="68"/>
      <c r="C3704" s="50"/>
      <c r="D3704" s="15"/>
    </row>
    <row r="3705" spans="2:4" x14ac:dyDescent="0.25">
      <c r="B3705" s="68"/>
      <c r="C3705" s="50"/>
      <c r="D3705" s="15"/>
    </row>
    <row r="3706" spans="2:4" x14ac:dyDescent="0.25">
      <c r="B3706" s="68"/>
      <c r="C3706" s="50"/>
      <c r="D3706" s="15"/>
    </row>
    <row r="3707" spans="2:4" x14ac:dyDescent="0.25">
      <c r="B3707" s="68"/>
      <c r="C3707" s="50"/>
      <c r="D3707" s="15"/>
    </row>
    <row r="3708" spans="2:4" x14ac:dyDescent="0.25">
      <c r="B3708" s="68"/>
      <c r="C3708" s="50"/>
      <c r="D3708" s="15"/>
    </row>
    <row r="3709" spans="2:4" x14ac:dyDescent="0.25">
      <c r="B3709" s="68"/>
      <c r="C3709" s="50"/>
      <c r="D3709" s="15"/>
    </row>
    <row r="3710" spans="2:4" x14ac:dyDescent="0.25">
      <c r="B3710" s="68"/>
      <c r="C3710" s="50"/>
      <c r="D3710" s="15"/>
    </row>
    <row r="3711" spans="2:4" x14ac:dyDescent="0.25">
      <c r="B3711" s="68"/>
      <c r="C3711" s="50"/>
      <c r="D3711" s="15"/>
    </row>
    <row r="3712" spans="2:4" x14ac:dyDescent="0.25">
      <c r="B3712" s="68"/>
      <c r="C3712" s="50"/>
      <c r="D3712" s="15"/>
    </row>
    <row r="3713" spans="2:4" x14ac:dyDescent="0.25">
      <c r="B3713" s="68"/>
      <c r="C3713" s="50"/>
      <c r="D3713" s="15"/>
    </row>
    <row r="3714" spans="2:4" x14ac:dyDescent="0.25">
      <c r="B3714" s="68"/>
      <c r="C3714" s="50"/>
      <c r="D3714" s="15"/>
    </row>
    <row r="3715" spans="2:4" x14ac:dyDescent="0.25">
      <c r="B3715" s="68"/>
      <c r="C3715" s="50"/>
      <c r="D3715" s="15"/>
    </row>
    <row r="3716" spans="2:4" x14ac:dyDescent="0.25">
      <c r="B3716" s="68"/>
      <c r="C3716" s="50"/>
      <c r="D3716" s="15"/>
    </row>
    <row r="3717" spans="2:4" x14ac:dyDescent="0.25">
      <c r="B3717" s="68"/>
      <c r="C3717" s="50"/>
      <c r="D3717" s="15"/>
    </row>
    <row r="3718" spans="2:4" x14ac:dyDescent="0.25">
      <c r="B3718" s="68"/>
      <c r="C3718" s="50"/>
      <c r="D3718" s="15"/>
    </row>
    <row r="3719" spans="2:4" x14ac:dyDescent="0.25">
      <c r="B3719" s="68"/>
      <c r="C3719" s="50"/>
      <c r="D3719" s="15"/>
    </row>
    <row r="3720" spans="2:4" x14ac:dyDescent="0.25">
      <c r="B3720" s="68"/>
      <c r="C3720" s="50"/>
      <c r="D3720" s="15"/>
    </row>
    <row r="3721" spans="2:4" x14ac:dyDescent="0.25">
      <c r="B3721" s="68"/>
      <c r="C3721" s="50"/>
      <c r="D3721" s="15"/>
    </row>
    <row r="3722" spans="2:4" x14ac:dyDescent="0.25">
      <c r="B3722" s="68"/>
      <c r="C3722" s="50"/>
      <c r="D3722" s="15"/>
    </row>
    <row r="3723" spans="2:4" x14ac:dyDescent="0.25">
      <c r="B3723" s="68"/>
      <c r="C3723" s="50"/>
      <c r="D3723" s="15"/>
    </row>
    <row r="3724" spans="2:4" x14ac:dyDescent="0.25">
      <c r="B3724" s="68"/>
      <c r="C3724" s="50"/>
      <c r="D3724" s="15"/>
    </row>
    <row r="3725" spans="2:4" x14ac:dyDescent="0.25">
      <c r="B3725" s="68"/>
      <c r="C3725" s="50"/>
      <c r="D3725" s="15"/>
    </row>
    <row r="3726" spans="2:4" x14ac:dyDescent="0.25">
      <c r="B3726" s="68"/>
      <c r="C3726" s="50"/>
      <c r="D3726" s="15"/>
    </row>
    <row r="3727" spans="2:4" x14ac:dyDescent="0.25">
      <c r="B3727" s="68"/>
      <c r="C3727" s="50"/>
      <c r="D3727" s="15"/>
    </row>
    <row r="3728" spans="2:4" x14ac:dyDescent="0.25">
      <c r="B3728" s="68"/>
      <c r="C3728" s="50"/>
      <c r="D3728" s="15"/>
    </row>
    <row r="3729" spans="2:4" x14ac:dyDescent="0.25">
      <c r="B3729" s="68"/>
      <c r="C3729" s="50"/>
      <c r="D3729" s="15"/>
    </row>
    <row r="3730" spans="2:4" x14ac:dyDescent="0.25">
      <c r="B3730" s="68"/>
      <c r="C3730" s="50"/>
      <c r="D3730" s="15"/>
    </row>
    <row r="3731" spans="2:4" x14ac:dyDescent="0.25">
      <c r="B3731" s="68"/>
      <c r="C3731" s="50"/>
      <c r="D3731" s="15"/>
    </row>
    <row r="3732" spans="2:4" x14ac:dyDescent="0.25">
      <c r="B3732" s="68"/>
      <c r="C3732" s="50"/>
      <c r="D3732" s="15"/>
    </row>
    <row r="3733" spans="2:4" x14ac:dyDescent="0.25">
      <c r="B3733" s="68"/>
      <c r="C3733" s="50"/>
      <c r="D3733" s="15"/>
    </row>
    <row r="3734" spans="2:4" x14ac:dyDescent="0.25">
      <c r="B3734" s="68"/>
      <c r="C3734" s="50"/>
      <c r="D3734" s="15"/>
    </row>
    <row r="3735" spans="2:4" x14ac:dyDescent="0.25">
      <c r="B3735" s="68"/>
      <c r="C3735" s="50"/>
      <c r="D3735" s="15"/>
    </row>
    <row r="3736" spans="2:4" x14ac:dyDescent="0.25">
      <c r="B3736" s="68"/>
      <c r="C3736" s="50"/>
      <c r="D3736" s="15"/>
    </row>
    <row r="3737" spans="2:4" x14ac:dyDescent="0.25">
      <c r="B3737" s="68"/>
      <c r="C3737" s="50"/>
      <c r="D3737" s="15"/>
    </row>
    <row r="3738" spans="2:4" x14ac:dyDescent="0.25">
      <c r="B3738" s="68"/>
      <c r="C3738" s="50"/>
      <c r="D3738" s="15"/>
    </row>
    <row r="3739" spans="2:4" x14ac:dyDescent="0.25">
      <c r="B3739" s="68"/>
      <c r="C3739" s="50"/>
      <c r="D3739" s="15"/>
    </row>
    <row r="3740" spans="2:4" x14ac:dyDescent="0.25">
      <c r="B3740" s="68"/>
      <c r="C3740" s="50"/>
      <c r="D3740" s="15"/>
    </row>
    <row r="3741" spans="2:4" x14ac:dyDescent="0.25">
      <c r="B3741" s="68"/>
      <c r="C3741" s="50"/>
      <c r="D3741" s="15"/>
    </row>
    <row r="3742" spans="2:4" x14ac:dyDescent="0.25">
      <c r="B3742" s="68"/>
      <c r="C3742" s="50"/>
      <c r="D3742" s="15"/>
    </row>
    <row r="3743" spans="2:4" x14ac:dyDescent="0.25">
      <c r="B3743" s="68"/>
      <c r="C3743" s="50"/>
      <c r="D3743" s="15"/>
    </row>
    <row r="3744" spans="2:4" x14ac:dyDescent="0.25">
      <c r="B3744" s="68"/>
      <c r="C3744" s="50"/>
      <c r="D3744" s="15"/>
    </row>
    <row r="3745" spans="2:4" x14ac:dyDescent="0.25">
      <c r="B3745" s="68"/>
      <c r="C3745" s="50"/>
      <c r="D3745" s="15"/>
    </row>
    <row r="3746" spans="2:4" x14ac:dyDescent="0.25">
      <c r="B3746" s="68"/>
      <c r="C3746" s="50"/>
      <c r="D3746" s="15"/>
    </row>
    <row r="3747" spans="2:4" x14ac:dyDescent="0.25">
      <c r="B3747" s="68"/>
      <c r="C3747" s="50"/>
      <c r="D3747" s="15"/>
    </row>
    <row r="3748" spans="2:4" x14ac:dyDescent="0.25">
      <c r="B3748" s="68"/>
      <c r="C3748" s="50"/>
      <c r="D3748" s="15"/>
    </row>
    <row r="3749" spans="2:4" x14ac:dyDescent="0.25">
      <c r="B3749" s="68"/>
      <c r="C3749" s="50"/>
      <c r="D3749" s="15"/>
    </row>
    <row r="3750" spans="2:4" x14ac:dyDescent="0.25">
      <c r="B3750" s="68"/>
      <c r="C3750" s="50"/>
      <c r="D3750" s="15"/>
    </row>
    <row r="3751" spans="2:4" x14ac:dyDescent="0.25">
      <c r="B3751" s="68"/>
      <c r="C3751" s="50"/>
      <c r="D3751" s="15"/>
    </row>
    <row r="3752" spans="2:4" x14ac:dyDescent="0.25">
      <c r="B3752" s="68"/>
      <c r="C3752" s="50"/>
      <c r="D3752" s="15"/>
    </row>
    <row r="3753" spans="2:4" x14ac:dyDescent="0.25">
      <c r="B3753" s="68"/>
      <c r="C3753" s="50"/>
      <c r="D3753" s="15"/>
    </row>
    <row r="3754" spans="2:4" x14ac:dyDescent="0.25">
      <c r="B3754" s="68"/>
      <c r="C3754" s="50"/>
      <c r="D3754" s="15"/>
    </row>
    <row r="3755" spans="2:4" x14ac:dyDescent="0.25">
      <c r="B3755" s="68"/>
      <c r="C3755" s="50"/>
      <c r="D3755" s="15"/>
    </row>
    <row r="3756" spans="2:4" x14ac:dyDescent="0.25">
      <c r="B3756" s="68"/>
      <c r="C3756" s="50"/>
      <c r="D3756" s="15"/>
    </row>
    <row r="3757" spans="2:4" x14ac:dyDescent="0.25">
      <c r="B3757" s="68"/>
      <c r="C3757" s="50"/>
      <c r="D3757" s="15"/>
    </row>
    <row r="3758" spans="2:4" x14ac:dyDescent="0.25">
      <c r="B3758" s="68"/>
      <c r="C3758" s="50"/>
      <c r="D3758" s="15"/>
    </row>
    <row r="3759" spans="2:4" x14ac:dyDescent="0.25">
      <c r="B3759" s="68"/>
      <c r="C3759" s="50"/>
      <c r="D3759" s="15"/>
    </row>
    <row r="3760" spans="2:4" x14ac:dyDescent="0.25">
      <c r="B3760" s="68"/>
      <c r="C3760" s="50"/>
      <c r="D3760" s="15"/>
    </row>
    <row r="3761" spans="2:4" x14ac:dyDescent="0.25">
      <c r="B3761" s="68"/>
      <c r="C3761" s="50"/>
      <c r="D3761" s="15"/>
    </row>
    <row r="3762" spans="2:4" x14ac:dyDescent="0.25">
      <c r="B3762" s="68"/>
      <c r="C3762" s="50"/>
      <c r="D3762" s="15"/>
    </row>
    <row r="3763" spans="2:4" x14ac:dyDescent="0.25">
      <c r="B3763" s="68"/>
      <c r="C3763" s="50"/>
      <c r="D3763" s="15"/>
    </row>
    <row r="3764" spans="2:4" x14ac:dyDescent="0.25">
      <c r="B3764" s="68"/>
      <c r="C3764" s="50"/>
      <c r="D3764" s="15"/>
    </row>
    <row r="3765" spans="2:4" x14ac:dyDescent="0.25">
      <c r="B3765" s="68"/>
      <c r="C3765" s="50"/>
      <c r="D3765" s="15"/>
    </row>
    <row r="3766" spans="2:4" x14ac:dyDescent="0.25">
      <c r="B3766" s="68"/>
      <c r="C3766" s="50"/>
      <c r="D3766" s="15"/>
    </row>
    <row r="3767" spans="2:4" x14ac:dyDescent="0.25">
      <c r="B3767" s="68"/>
      <c r="C3767" s="50"/>
      <c r="D3767" s="15"/>
    </row>
    <row r="3768" spans="2:4" x14ac:dyDescent="0.25">
      <c r="B3768" s="68"/>
      <c r="C3768" s="50"/>
      <c r="D3768" s="15"/>
    </row>
    <row r="3769" spans="2:4" x14ac:dyDescent="0.25">
      <c r="B3769" s="68"/>
      <c r="C3769" s="50"/>
      <c r="D3769" s="15"/>
    </row>
    <row r="3770" spans="2:4" x14ac:dyDescent="0.25">
      <c r="B3770" s="68"/>
      <c r="C3770" s="50"/>
      <c r="D3770" s="15"/>
    </row>
    <row r="3771" spans="2:4" x14ac:dyDescent="0.25">
      <c r="B3771" s="68"/>
      <c r="C3771" s="50"/>
      <c r="D3771" s="15"/>
    </row>
    <row r="3772" spans="2:4" x14ac:dyDescent="0.25">
      <c r="B3772" s="68"/>
      <c r="C3772" s="50"/>
      <c r="D3772" s="15"/>
    </row>
    <row r="3773" spans="2:4" x14ac:dyDescent="0.25">
      <c r="B3773" s="68"/>
      <c r="C3773" s="50"/>
      <c r="D3773" s="15"/>
    </row>
  </sheetData>
  <mergeCells count="4">
    <mergeCell ref="B2:E2"/>
    <mergeCell ref="L4:M4"/>
    <mergeCell ref="G4:I4"/>
    <mergeCell ref="B4:D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3773"/>
  <sheetViews>
    <sheetView showGridLines="0" workbookViewId="0">
      <pane ySplit="4" topLeftCell="A5" activePane="bottomLeft" state="frozen"/>
      <selection pane="bottomLeft" activeCell="J11" sqref="J11"/>
    </sheetView>
  </sheetViews>
  <sheetFormatPr defaultRowHeight="15" x14ac:dyDescent="0.25"/>
  <cols>
    <col min="1" max="1" width="1.85546875" style="74" customWidth="1"/>
    <col min="2" max="2" width="12.28515625" style="74" customWidth="1"/>
    <col min="3" max="3" width="7.42578125" style="74" customWidth="1"/>
    <col min="4" max="4" width="9.5703125" style="74" customWidth="1"/>
    <col min="5" max="6" width="9.140625" style="74"/>
    <col min="7" max="7" width="10.42578125" style="74" bestFit="1" customWidth="1"/>
    <col min="8" max="8" width="12.28515625" style="74" bestFit="1" customWidth="1"/>
    <col min="9" max="9" width="9" style="74" customWidth="1"/>
    <col min="10" max="11" width="9.140625" style="74"/>
    <col min="12" max="12" width="18.85546875" style="74" customWidth="1"/>
    <col min="13" max="16384" width="9.140625" style="74"/>
  </cols>
  <sheetData>
    <row r="2" spans="2:25" x14ac:dyDescent="0.25">
      <c r="B2" s="96" t="s">
        <v>54</v>
      </c>
      <c r="C2" s="96"/>
      <c r="D2" s="96"/>
      <c r="E2" s="96"/>
    </row>
    <row r="3" spans="2:25" x14ac:dyDescent="0.25">
      <c r="B3" s="65"/>
      <c r="C3" s="65"/>
      <c r="D3" s="65"/>
      <c r="E3" s="65"/>
    </row>
    <row r="4" spans="2:25" x14ac:dyDescent="0.25">
      <c r="B4" s="97" t="s">
        <v>96</v>
      </c>
      <c r="C4" s="97"/>
      <c r="D4" s="97"/>
      <c r="E4" s="66"/>
      <c r="G4" s="97" t="s">
        <v>55</v>
      </c>
      <c r="H4" s="97"/>
      <c r="I4" s="97"/>
      <c r="J4" s="66"/>
      <c r="L4" s="97" t="s">
        <v>56</v>
      </c>
      <c r="M4" s="97"/>
    </row>
    <row r="6" spans="2:25" x14ac:dyDescent="0.25">
      <c r="B6" s="51" t="s">
        <v>51</v>
      </c>
      <c r="C6" s="49" t="s">
        <v>52</v>
      </c>
      <c r="D6" s="53" t="s">
        <v>53</v>
      </c>
      <c r="G6" s="51" t="s">
        <v>51</v>
      </c>
      <c r="H6" s="49" t="s">
        <v>52</v>
      </c>
      <c r="I6" s="53" t="s">
        <v>53</v>
      </c>
      <c r="L6" s="74" t="s">
        <v>57</v>
      </c>
      <c r="M6" s="61">
        <f>P6</f>
        <v>1.2287860597426261</v>
      </c>
      <c r="O6" s="74" t="s">
        <v>86</v>
      </c>
      <c r="P6" s="60">
        <f>N33</f>
        <v>1.2287860597426261</v>
      </c>
    </row>
    <row r="7" spans="2:25" x14ac:dyDescent="0.25">
      <c r="B7" s="68">
        <v>45614</v>
      </c>
      <c r="C7" s="50">
        <v>420</v>
      </c>
      <c r="G7" s="69">
        <v>45614</v>
      </c>
      <c r="H7" s="50">
        <v>23453.80078125</v>
      </c>
      <c r="I7" s="54"/>
      <c r="L7" s="74" t="s">
        <v>58</v>
      </c>
      <c r="M7" s="62">
        <v>0.75</v>
      </c>
    </row>
    <row r="8" spans="2:25" x14ac:dyDescent="0.25">
      <c r="B8" s="68">
        <v>45615</v>
      </c>
      <c r="C8" s="50">
        <v>413.10000610351563</v>
      </c>
      <c r="D8" s="15">
        <f>C8/C7-1</f>
        <v>-1.6428556896391333E-2</v>
      </c>
      <c r="G8" s="69">
        <v>45615</v>
      </c>
      <c r="H8" s="50">
        <v>23518.5</v>
      </c>
      <c r="I8" s="55">
        <f>H8/H7-1</f>
        <v>2.758581406631766E-3</v>
      </c>
    </row>
    <row r="9" spans="2:25" x14ac:dyDescent="0.25">
      <c r="B9" s="68">
        <v>45617</v>
      </c>
      <c r="C9" s="50">
        <v>417.10000610351563</v>
      </c>
      <c r="D9" s="15">
        <f t="shared" ref="D9:D72" si="0">C9/C8-1</f>
        <v>9.6828853568151629E-3</v>
      </c>
      <c r="G9" s="69">
        <v>45617</v>
      </c>
      <c r="H9" s="50">
        <v>23349.900390625</v>
      </c>
      <c r="I9" s="55">
        <f>H9/H8-1</f>
        <v>-7.1688079331164722E-3</v>
      </c>
      <c r="L9" s="74" t="s">
        <v>59</v>
      </c>
      <c r="M9" s="60">
        <v>1</v>
      </c>
    </row>
    <row r="10" spans="2:25" x14ac:dyDescent="0.25">
      <c r="B10" s="68">
        <v>45618</v>
      </c>
      <c r="C10" s="50">
        <v>416.25</v>
      </c>
      <c r="D10" s="15">
        <f t="shared" si="0"/>
        <v>-2.0378952075696954E-3</v>
      </c>
      <c r="G10" s="69">
        <v>45618</v>
      </c>
      <c r="H10" s="50">
        <v>23907.25</v>
      </c>
      <c r="I10" s="55">
        <f t="shared" ref="I10:I73" si="1">H10/H9-1</f>
        <v>2.3869464111237804E-2</v>
      </c>
      <c r="L10" s="74" t="s">
        <v>60</v>
      </c>
      <c r="M10" s="62">
        <v>0.25</v>
      </c>
    </row>
    <row r="11" spans="2:25" x14ac:dyDescent="0.25">
      <c r="B11" s="68">
        <v>45621</v>
      </c>
      <c r="C11" s="50">
        <v>431.25</v>
      </c>
      <c r="D11" s="15">
        <f t="shared" si="0"/>
        <v>3.6036036036036112E-2</v>
      </c>
      <c r="G11" s="69">
        <v>45621</v>
      </c>
      <c r="H11" s="50">
        <v>24221.900390625</v>
      </c>
      <c r="I11" s="55">
        <f t="shared" si="1"/>
        <v>1.3161295867362366E-2</v>
      </c>
    </row>
    <row r="12" spans="2:25" x14ac:dyDescent="0.25">
      <c r="B12" s="68">
        <v>45622</v>
      </c>
      <c r="C12" s="50">
        <v>461.70001220703119</v>
      </c>
      <c r="D12" s="15">
        <f t="shared" si="0"/>
        <v>7.0608723958333286E-2</v>
      </c>
      <c r="G12" s="69">
        <v>45622</v>
      </c>
      <c r="H12" s="50">
        <v>24194.5</v>
      </c>
      <c r="I12" s="55">
        <f t="shared" si="1"/>
        <v>-1.1312238174179257E-3</v>
      </c>
      <c r="L12" s="63" t="s">
        <v>87</v>
      </c>
      <c r="M12" s="64">
        <f>(M6*M7)+(M9*M10)</f>
        <v>1.1715895448069695</v>
      </c>
    </row>
    <row r="13" spans="2:25" x14ac:dyDescent="0.25">
      <c r="B13" s="68">
        <v>45623</v>
      </c>
      <c r="C13" s="50">
        <v>498.79998779296881</v>
      </c>
      <c r="D13" s="15">
        <f t="shared" si="0"/>
        <v>8.0355154007017093E-2</v>
      </c>
      <c r="G13" s="69">
        <v>45623</v>
      </c>
      <c r="H13" s="50">
        <v>24274.900390625</v>
      </c>
      <c r="I13" s="55">
        <f t="shared" si="1"/>
        <v>3.3230854378061281E-3</v>
      </c>
    </row>
    <row r="14" spans="2:25" x14ac:dyDescent="0.25">
      <c r="B14" s="68">
        <v>45624</v>
      </c>
      <c r="C14" s="50">
        <v>491.70001220703119</v>
      </c>
      <c r="D14" s="15">
        <f t="shared" si="0"/>
        <v>-1.423411339152747E-2</v>
      </c>
      <c r="G14" s="69">
        <v>45624</v>
      </c>
      <c r="H14" s="50">
        <v>23914.150390625</v>
      </c>
      <c r="I14" s="55">
        <f t="shared" si="1"/>
        <v>-1.4861029054492936E-2</v>
      </c>
    </row>
    <row r="15" spans="2:25" x14ac:dyDescent="0.25">
      <c r="B15" s="68">
        <v>45625</v>
      </c>
      <c r="C15" s="50">
        <v>471.29998779296881</v>
      </c>
      <c r="D15" s="15">
        <f t="shared" si="0"/>
        <v>-4.148876125199874E-2</v>
      </c>
      <c r="G15" s="69">
        <v>45625</v>
      </c>
      <c r="H15" s="50">
        <v>24131.099609375</v>
      </c>
      <c r="I15" s="55">
        <f t="shared" si="1"/>
        <v>9.072001940535257E-3</v>
      </c>
      <c r="L15" s="70"/>
      <c r="M15" s="70" t="s">
        <v>61</v>
      </c>
      <c r="N15" s="70"/>
      <c r="O15" s="70"/>
    </row>
    <row r="16" spans="2:25" x14ac:dyDescent="0.25">
      <c r="B16" s="68">
        <v>45628</v>
      </c>
      <c r="C16" s="50">
        <v>495.35000610351563</v>
      </c>
      <c r="D16" s="15">
        <f t="shared" si="0"/>
        <v>5.10291087066852E-2</v>
      </c>
      <c r="G16" s="69">
        <v>45628</v>
      </c>
      <c r="H16" s="50">
        <v>24276.05078125</v>
      </c>
      <c r="I16" s="55">
        <f t="shared" si="1"/>
        <v>6.0068200049485654E-3</v>
      </c>
      <c r="L16" s="70"/>
      <c r="M16" t="s">
        <v>61</v>
      </c>
      <c r="N16"/>
      <c r="O16"/>
      <c r="P16"/>
      <c r="Q16"/>
      <c r="R16"/>
      <c r="S16"/>
      <c r="T16"/>
      <c r="U16"/>
      <c r="V16" s="70"/>
      <c r="W16" s="70"/>
      <c r="X16" s="70"/>
      <c r="Y16" s="70"/>
    </row>
    <row r="17" spans="2:25" ht="15.75" thickBot="1" x14ac:dyDescent="0.3">
      <c r="B17" s="68">
        <v>45629</v>
      </c>
      <c r="C17" s="50">
        <v>501.29998779296881</v>
      </c>
      <c r="D17" s="15">
        <f t="shared" si="0"/>
        <v>1.2011671779831978E-2</v>
      </c>
      <c r="G17" s="69">
        <v>45629</v>
      </c>
      <c r="H17" s="50">
        <v>24457.150390625</v>
      </c>
      <c r="I17" s="55">
        <f t="shared" si="1"/>
        <v>7.4600111445999318E-3</v>
      </c>
      <c r="L17" s="70"/>
      <c r="M17"/>
      <c r="N17"/>
      <c r="O17"/>
      <c r="P17"/>
      <c r="Q17"/>
      <c r="R17"/>
      <c r="S17"/>
      <c r="T17"/>
      <c r="U17"/>
      <c r="V17" s="70"/>
      <c r="W17" s="70"/>
      <c r="X17" s="70"/>
      <c r="Y17" s="70"/>
    </row>
    <row r="18" spans="2:25" x14ac:dyDescent="0.25">
      <c r="B18" s="68">
        <v>45630</v>
      </c>
      <c r="C18" s="50">
        <v>518.0999755859375</v>
      </c>
      <c r="D18" s="15">
        <f t="shared" si="0"/>
        <v>3.3512843012289961E-2</v>
      </c>
      <c r="G18" s="69">
        <v>45630</v>
      </c>
      <c r="H18" s="50">
        <v>24467.44921875</v>
      </c>
      <c r="I18" s="55">
        <f t="shared" si="1"/>
        <v>4.2109681465385407E-4</v>
      </c>
      <c r="L18" s="70"/>
      <c r="M18" s="59" t="s">
        <v>62</v>
      </c>
      <c r="N18" s="59"/>
      <c r="O18"/>
      <c r="P18"/>
      <c r="Q18"/>
      <c r="R18"/>
      <c r="S18"/>
      <c r="T18"/>
      <c r="U18"/>
      <c r="V18" s="70"/>
      <c r="W18" s="70"/>
      <c r="X18" s="70"/>
      <c r="Y18" s="70"/>
    </row>
    <row r="19" spans="2:25" x14ac:dyDescent="0.25">
      <c r="B19" s="68">
        <v>45631</v>
      </c>
      <c r="C19" s="50">
        <v>539.5999755859375</v>
      </c>
      <c r="D19" s="15">
        <f t="shared" si="0"/>
        <v>4.1497782306754383E-2</v>
      </c>
      <c r="G19" s="69">
        <v>45631</v>
      </c>
      <c r="H19" s="50">
        <v>24708.400390625</v>
      </c>
      <c r="I19" s="55">
        <f t="shared" si="1"/>
        <v>9.8478255628851041E-3</v>
      </c>
      <c r="L19" s="70"/>
      <c r="M19" s="56" t="s">
        <v>63</v>
      </c>
      <c r="N19" s="56">
        <v>0.31421260776673382</v>
      </c>
      <c r="O19"/>
      <c r="P19"/>
      <c r="Q19"/>
      <c r="R19"/>
      <c r="S19"/>
      <c r="T19"/>
      <c r="U19"/>
      <c r="V19" s="70"/>
      <c r="W19" s="70"/>
      <c r="X19" s="70"/>
      <c r="Y19" s="70"/>
    </row>
    <row r="20" spans="2:25" x14ac:dyDescent="0.25">
      <c r="B20" s="68">
        <v>45632</v>
      </c>
      <c r="C20" s="50">
        <v>544.6500244140625</v>
      </c>
      <c r="D20" s="15">
        <f t="shared" si="0"/>
        <v>9.3588751975781648E-3</v>
      </c>
      <c r="G20" s="69">
        <v>45632</v>
      </c>
      <c r="H20" s="50">
        <v>24677.80078125</v>
      </c>
      <c r="I20" s="55">
        <f t="shared" si="1"/>
        <v>-1.2384293961259507E-3</v>
      </c>
      <c r="L20" s="70"/>
      <c r="M20" s="56" t="s">
        <v>64</v>
      </c>
      <c r="N20" s="56">
        <v>9.8729562879571325E-2</v>
      </c>
      <c r="O20"/>
      <c r="P20"/>
      <c r="Q20"/>
      <c r="R20"/>
      <c r="S20"/>
      <c r="T20"/>
      <c r="U20"/>
      <c r="V20" s="70"/>
      <c r="W20" s="70"/>
      <c r="X20" s="70"/>
      <c r="Y20" s="70"/>
    </row>
    <row r="21" spans="2:25" x14ac:dyDescent="0.25">
      <c r="B21" s="68">
        <v>45635</v>
      </c>
      <c r="C21" s="50">
        <v>537.5</v>
      </c>
      <c r="D21" s="15">
        <f t="shared" si="0"/>
        <v>-1.3127740922722841E-2</v>
      </c>
      <c r="G21" s="69">
        <v>45635</v>
      </c>
      <c r="H21" s="50">
        <v>24619</v>
      </c>
      <c r="I21" s="55">
        <f t="shared" si="1"/>
        <v>-2.3827399277279726E-3</v>
      </c>
      <c r="L21" s="70"/>
      <c r="M21" s="56" t="s">
        <v>65</v>
      </c>
      <c r="N21" s="56">
        <v>9.5020631039569564E-2</v>
      </c>
      <c r="O21"/>
      <c r="P21"/>
      <c r="Q21"/>
      <c r="R21"/>
      <c r="S21"/>
      <c r="T21"/>
      <c r="U21"/>
      <c r="V21" s="70"/>
      <c r="W21" s="70"/>
      <c r="X21" s="70"/>
      <c r="Y21" s="70"/>
    </row>
    <row r="22" spans="2:25" x14ac:dyDescent="0.25">
      <c r="B22" s="68">
        <v>45636</v>
      </c>
      <c r="C22" s="50">
        <v>543.54998779296875</v>
      </c>
      <c r="D22" s="15">
        <f t="shared" si="0"/>
        <v>1.125579124273246E-2</v>
      </c>
      <c r="G22" s="69">
        <v>45636</v>
      </c>
      <c r="H22" s="50">
        <v>24610.05078125</v>
      </c>
      <c r="I22" s="55">
        <f t="shared" si="1"/>
        <v>-3.6350862139000739E-4</v>
      </c>
      <c r="L22" s="70"/>
      <c r="M22" s="56" t="s">
        <v>66</v>
      </c>
      <c r="N22" s="56">
        <v>2.9218380251475391E-2</v>
      </c>
      <c r="O22"/>
      <c r="P22"/>
      <c r="Q22"/>
      <c r="R22"/>
      <c r="S22"/>
      <c r="T22"/>
      <c r="U22"/>
      <c r="V22" s="70"/>
      <c r="W22" s="70"/>
      <c r="X22" s="70"/>
      <c r="Y22" s="70"/>
    </row>
    <row r="23" spans="2:25" ht="15.75" thickBot="1" x14ac:dyDescent="0.3">
      <c r="B23" s="68">
        <v>45637</v>
      </c>
      <c r="C23" s="50">
        <v>522.70001220703125</v>
      </c>
      <c r="D23" s="15">
        <f t="shared" si="0"/>
        <v>-3.8358892565882985E-2</v>
      </c>
      <c r="G23" s="69">
        <v>45637</v>
      </c>
      <c r="H23" s="50">
        <v>24641.80078125</v>
      </c>
      <c r="I23" s="55">
        <f t="shared" si="1"/>
        <v>1.2901233029631864E-3</v>
      </c>
      <c r="L23" s="70"/>
      <c r="M23" s="57" t="s">
        <v>67</v>
      </c>
      <c r="N23" s="57">
        <v>245</v>
      </c>
      <c r="O23"/>
      <c r="P23"/>
      <c r="Q23"/>
      <c r="R23"/>
      <c r="S23"/>
      <c r="T23"/>
      <c r="U23"/>
      <c r="V23" s="70"/>
      <c r="W23" s="70"/>
      <c r="X23" s="70"/>
      <c r="Y23" s="70"/>
    </row>
    <row r="24" spans="2:25" x14ac:dyDescent="0.25">
      <c r="B24" s="68">
        <v>45638</v>
      </c>
      <c r="C24" s="50">
        <v>504.54998779296881</v>
      </c>
      <c r="D24" s="15">
        <f t="shared" si="0"/>
        <v>-3.4723596690626413E-2</v>
      </c>
      <c r="G24" s="69">
        <v>45638</v>
      </c>
      <c r="H24" s="50">
        <v>24548.69921875</v>
      </c>
      <c r="I24" s="55">
        <f t="shared" si="1"/>
        <v>-3.7781963796591489E-3</v>
      </c>
      <c r="L24" s="70"/>
      <c r="M24"/>
      <c r="N24"/>
      <c r="O24"/>
      <c r="P24"/>
      <c r="Q24"/>
      <c r="R24"/>
      <c r="S24"/>
      <c r="T24"/>
      <c r="U24"/>
      <c r="V24" s="70"/>
      <c r="W24" s="70"/>
      <c r="X24" s="70"/>
      <c r="Y24" s="70"/>
    </row>
    <row r="25" spans="2:25" ht="15.75" thickBot="1" x14ac:dyDescent="0.3">
      <c r="B25" s="68">
        <v>45639</v>
      </c>
      <c r="C25" s="50">
        <v>532.5</v>
      </c>
      <c r="D25" s="15">
        <f t="shared" si="0"/>
        <v>5.5395922868399561E-2</v>
      </c>
      <c r="G25" s="69">
        <v>45639</v>
      </c>
      <c r="H25" s="50">
        <v>24768.30078125</v>
      </c>
      <c r="I25" s="55">
        <f t="shared" si="1"/>
        <v>8.9455478085889162E-3</v>
      </c>
      <c r="L25" s="70"/>
      <c r="M25" t="s">
        <v>68</v>
      </c>
      <c r="N25"/>
      <c r="O25"/>
      <c r="P25"/>
      <c r="Q25"/>
      <c r="R25"/>
      <c r="S25"/>
      <c r="T25"/>
      <c r="U25"/>
      <c r="V25" s="70"/>
      <c r="W25" s="70"/>
      <c r="X25" s="70"/>
      <c r="Y25" s="70"/>
    </row>
    <row r="26" spans="2:25" x14ac:dyDescent="0.25">
      <c r="B26" s="68">
        <v>45642</v>
      </c>
      <c r="C26" s="50">
        <v>594.79998779296875</v>
      </c>
      <c r="D26" s="15">
        <f t="shared" si="0"/>
        <v>0.11699528224031686</v>
      </c>
      <c r="G26" s="69">
        <v>45642</v>
      </c>
      <c r="H26" s="50">
        <v>24668.25</v>
      </c>
      <c r="I26" s="55">
        <f t="shared" si="1"/>
        <v>-4.0394689217332358E-3</v>
      </c>
      <c r="L26" s="70"/>
      <c r="M26" s="58"/>
      <c r="N26" s="58" t="s">
        <v>73</v>
      </c>
      <c r="O26" s="58" t="s">
        <v>74</v>
      </c>
      <c r="P26" s="58" t="s">
        <v>75</v>
      </c>
      <c r="Q26" s="58" t="s">
        <v>76</v>
      </c>
      <c r="R26" s="58" t="s">
        <v>77</v>
      </c>
      <c r="S26"/>
      <c r="T26"/>
      <c r="U26"/>
      <c r="V26" s="70"/>
      <c r="W26" s="70"/>
      <c r="X26" s="70"/>
      <c r="Y26" s="70"/>
    </row>
    <row r="27" spans="2:25" x14ac:dyDescent="0.25">
      <c r="B27" s="68">
        <v>45643</v>
      </c>
      <c r="C27" s="50">
        <v>586</v>
      </c>
      <c r="D27" s="15">
        <f t="shared" si="0"/>
        <v>-1.4794868819048679E-2</v>
      </c>
      <c r="G27" s="69">
        <v>45643</v>
      </c>
      <c r="H27" s="50">
        <v>24336</v>
      </c>
      <c r="I27" s="55">
        <f t="shared" si="1"/>
        <v>-1.3468730047733413E-2</v>
      </c>
      <c r="L27" s="70"/>
      <c r="M27" s="56" t="s">
        <v>69</v>
      </c>
      <c r="N27" s="56">
        <v>1</v>
      </c>
      <c r="O27" s="56">
        <v>2.2725352866199477E-2</v>
      </c>
      <c r="P27" s="56">
        <v>2.2725352866199477E-2</v>
      </c>
      <c r="Q27" s="56">
        <v>26.61940610899023</v>
      </c>
      <c r="R27" s="56">
        <v>5.1458708397883674E-7</v>
      </c>
      <c r="S27"/>
      <c r="T27"/>
      <c r="U27"/>
      <c r="V27" s="70"/>
      <c r="W27" s="70"/>
      <c r="X27" s="70"/>
      <c r="Y27" s="70"/>
    </row>
    <row r="28" spans="2:25" x14ac:dyDescent="0.25">
      <c r="B28" s="68">
        <v>45644</v>
      </c>
      <c r="C28" s="50">
        <v>577.3499755859375</v>
      </c>
      <c r="D28" s="15">
        <f t="shared" si="0"/>
        <v>-1.4761133812393301E-2</v>
      </c>
      <c r="G28" s="69">
        <v>45644</v>
      </c>
      <c r="H28" s="50">
        <v>24198.849609375</v>
      </c>
      <c r="I28" s="55">
        <f t="shared" si="1"/>
        <v>-5.6356998120069557E-3</v>
      </c>
      <c r="L28" s="70"/>
      <c r="M28" s="56" t="s">
        <v>70</v>
      </c>
      <c r="N28" s="56">
        <v>243</v>
      </c>
      <c r="O28" s="56">
        <v>0.20745243991831314</v>
      </c>
      <c r="P28" s="56">
        <v>8.5371374451980711E-4</v>
      </c>
      <c r="Q28" s="56"/>
      <c r="R28" s="56"/>
      <c r="S28"/>
      <c r="T28"/>
      <c r="U28"/>
      <c r="V28" s="70"/>
      <c r="W28" s="70"/>
      <c r="X28" s="70"/>
      <c r="Y28" s="70"/>
    </row>
    <row r="29" spans="2:25" ht="15.75" thickBot="1" x14ac:dyDescent="0.3">
      <c r="B29" s="68">
        <v>45645</v>
      </c>
      <c r="C29" s="50">
        <v>582.25</v>
      </c>
      <c r="D29" s="15">
        <f t="shared" si="0"/>
        <v>8.4870955594820163E-3</v>
      </c>
      <c r="G29" s="69">
        <v>45645</v>
      </c>
      <c r="H29" s="50">
        <v>23951.69921875</v>
      </c>
      <c r="I29" s="55">
        <f t="shared" si="1"/>
        <v>-1.0213311567061067E-2</v>
      </c>
      <c r="L29" s="70"/>
      <c r="M29" s="57" t="s">
        <v>71</v>
      </c>
      <c r="N29" s="57">
        <v>244</v>
      </c>
      <c r="O29" s="57">
        <v>0.23017779278451261</v>
      </c>
      <c r="P29" s="57"/>
      <c r="Q29" s="57"/>
      <c r="R29" s="57"/>
      <c r="S29"/>
      <c r="T29"/>
      <c r="U29"/>
      <c r="V29" s="70"/>
      <c r="W29" s="70"/>
      <c r="X29" s="70"/>
      <c r="Y29" s="70"/>
    </row>
    <row r="30" spans="2:25" ht="15.75" thickBot="1" x14ac:dyDescent="0.3">
      <c r="B30" s="68">
        <v>45646</v>
      </c>
      <c r="C30" s="50">
        <v>597.5</v>
      </c>
      <c r="D30" s="15">
        <f t="shared" si="0"/>
        <v>2.6191498497209142E-2</v>
      </c>
      <c r="G30" s="69">
        <v>45646</v>
      </c>
      <c r="H30" s="50">
        <v>23587.5</v>
      </c>
      <c r="I30" s="55">
        <f t="shared" si="1"/>
        <v>-1.520556915080562E-2</v>
      </c>
      <c r="L30" s="70"/>
      <c r="M30"/>
      <c r="N30"/>
      <c r="O30"/>
      <c r="P30"/>
      <c r="Q30"/>
      <c r="R30"/>
      <c r="S30"/>
      <c r="T30"/>
      <c r="U30"/>
      <c r="V30" s="70"/>
      <c r="W30" s="70"/>
      <c r="X30" s="70"/>
      <c r="Y30" s="70"/>
    </row>
    <row r="31" spans="2:25" x14ac:dyDescent="0.25">
      <c r="B31" s="68">
        <v>45649</v>
      </c>
      <c r="C31" s="50">
        <v>583.9000244140625</v>
      </c>
      <c r="D31" s="15">
        <f t="shared" si="0"/>
        <v>-2.2761465415794935E-2</v>
      </c>
      <c r="G31" s="69">
        <v>45649</v>
      </c>
      <c r="H31" s="50">
        <v>23753.44921875</v>
      </c>
      <c r="I31" s="55">
        <f t="shared" si="1"/>
        <v>7.0354729729729115E-3</v>
      </c>
      <c r="L31" s="70"/>
      <c r="M31" s="58"/>
      <c r="N31" s="58" t="s">
        <v>78</v>
      </c>
      <c r="O31" s="58" t="s">
        <v>66</v>
      </c>
      <c r="P31" s="58" t="s">
        <v>79</v>
      </c>
      <c r="Q31" s="58" t="s">
        <v>80</v>
      </c>
      <c r="R31" s="58" t="s">
        <v>81</v>
      </c>
      <c r="S31" s="58" t="s">
        <v>82</v>
      </c>
      <c r="T31" s="58" t="s">
        <v>83</v>
      </c>
      <c r="U31" s="58" t="s">
        <v>84</v>
      </c>
      <c r="V31" s="70"/>
      <c r="W31" s="70"/>
      <c r="X31" s="70"/>
      <c r="Y31" s="70"/>
    </row>
    <row r="32" spans="2:25" x14ac:dyDescent="0.25">
      <c r="B32" s="68">
        <v>45650</v>
      </c>
      <c r="C32" s="50">
        <v>567.45001220703125</v>
      </c>
      <c r="D32" s="15">
        <f t="shared" si="0"/>
        <v>-2.8172652028125245E-2</v>
      </c>
      <c r="G32" s="69">
        <v>45650</v>
      </c>
      <c r="H32" s="50">
        <v>23727.650390625</v>
      </c>
      <c r="I32" s="55">
        <f t="shared" si="1"/>
        <v>-1.0861087115143775E-3</v>
      </c>
      <c r="L32" s="70"/>
      <c r="M32" s="56" t="s">
        <v>72</v>
      </c>
      <c r="N32" s="56">
        <v>-3.3571178697373492E-4</v>
      </c>
      <c r="O32" s="56">
        <v>1.8695322329748514E-3</v>
      </c>
      <c r="P32" s="56">
        <v>-0.17956993789807038</v>
      </c>
      <c r="Q32" s="56">
        <v>0.85763985085030625</v>
      </c>
      <c r="R32" s="56">
        <v>-4.018268510912598E-3</v>
      </c>
      <c r="S32" s="56">
        <v>3.3468449369651277E-3</v>
      </c>
      <c r="T32" s="56">
        <v>-4.018268510912598E-3</v>
      </c>
      <c r="U32" s="56">
        <v>3.3468449369651277E-3</v>
      </c>
      <c r="V32" s="70"/>
      <c r="W32" s="70"/>
      <c r="X32" s="70"/>
      <c r="Y32" s="70"/>
    </row>
    <row r="33" spans="2:25" ht="15.75" thickBot="1" x14ac:dyDescent="0.3">
      <c r="B33" s="68">
        <v>45652</v>
      </c>
      <c r="C33" s="50">
        <v>559.1500244140625</v>
      </c>
      <c r="D33" s="15">
        <f t="shared" si="0"/>
        <v>-1.4626817542371495E-2</v>
      </c>
      <c r="G33" s="69">
        <v>45652</v>
      </c>
      <c r="H33" s="50">
        <v>23750.19921875</v>
      </c>
      <c r="I33" s="55">
        <f t="shared" si="1"/>
        <v>9.5031862631911324E-4</v>
      </c>
      <c r="L33" s="70"/>
      <c r="M33" s="57" t="s">
        <v>85</v>
      </c>
      <c r="N33" s="57">
        <v>1.2287860597426261</v>
      </c>
      <c r="O33" s="57">
        <v>0.23816453690300804</v>
      </c>
      <c r="P33" s="57">
        <v>5.1593997818535273</v>
      </c>
      <c r="Q33" s="57">
        <v>5.1458708397883674E-7</v>
      </c>
      <c r="R33" s="57">
        <v>0.75965565305241123</v>
      </c>
      <c r="S33" s="57">
        <v>1.697916466432841</v>
      </c>
      <c r="T33" s="57">
        <v>0.75965565305241123</v>
      </c>
      <c r="U33" s="57">
        <v>1.697916466432841</v>
      </c>
      <c r="V33" s="70"/>
      <c r="W33" s="70"/>
      <c r="X33" s="70"/>
      <c r="Y33" s="70"/>
    </row>
    <row r="34" spans="2:25" x14ac:dyDescent="0.25">
      <c r="B34" s="68">
        <v>45653</v>
      </c>
      <c r="C34" s="50">
        <v>546</v>
      </c>
      <c r="D34" s="15">
        <f t="shared" si="0"/>
        <v>-2.3517882213887953E-2</v>
      </c>
      <c r="G34" s="69">
        <v>45653</v>
      </c>
      <c r="H34" s="50">
        <v>23813.400390625</v>
      </c>
      <c r="I34" s="55">
        <f t="shared" si="1"/>
        <v>2.6610796521280289E-3</v>
      </c>
      <c r="L34" s="70"/>
      <c r="M34"/>
      <c r="N34"/>
      <c r="O34"/>
      <c r="P34"/>
      <c r="Q34"/>
      <c r="R34"/>
      <c r="S34"/>
      <c r="T34"/>
      <c r="U34"/>
      <c r="V34" s="70"/>
      <c r="W34" s="70"/>
      <c r="X34" s="70"/>
      <c r="Y34" s="70"/>
    </row>
    <row r="35" spans="2:25" x14ac:dyDescent="0.25">
      <c r="B35" s="68">
        <v>45656</v>
      </c>
      <c r="C35" s="50">
        <v>550.0999755859375</v>
      </c>
      <c r="D35" s="15">
        <f t="shared" si="0"/>
        <v>7.5091127947573E-3</v>
      </c>
      <c r="G35" s="69">
        <v>45656</v>
      </c>
      <c r="H35" s="50">
        <v>23644.900390625</v>
      </c>
      <c r="I35" s="55">
        <f t="shared" si="1"/>
        <v>-7.0758479358679072E-3</v>
      </c>
      <c r="L35" s="70"/>
      <c r="M35"/>
      <c r="N35"/>
      <c r="O35"/>
      <c r="P35"/>
      <c r="Q35"/>
      <c r="R35"/>
      <c r="S35"/>
      <c r="T35"/>
      <c r="U35"/>
      <c r="V35" s="70"/>
      <c r="W35" s="70"/>
      <c r="X35" s="70"/>
      <c r="Y35" s="70"/>
    </row>
    <row r="36" spans="2:25" x14ac:dyDescent="0.25">
      <c r="B36" s="68">
        <v>45657</v>
      </c>
      <c r="C36" s="50">
        <v>540.5999755859375</v>
      </c>
      <c r="D36" s="15">
        <f t="shared" si="0"/>
        <v>-1.7269588114198875E-2</v>
      </c>
      <c r="G36" s="69">
        <v>45657</v>
      </c>
      <c r="H36" s="50">
        <v>23644.80078125</v>
      </c>
      <c r="I36" s="55">
        <f t="shared" si="1"/>
        <v>-4.2127212783737988E-6</v>
      </c>
      <c r="L36" s="70"/>
      <c r="M36"/>
      <c r="N36"/>
      <c r="O36"/>
      <c r="P36"/>
      <c r="Q36"/>
      <c r="R36"/>
      <c r="S36"/>
      <c r="T36"/>
      <c r="U36"/>
      <c r="V36" s="70"/>
      <c r="W36" s="70"/>
      <c r="X36" s="70"/>
      <c r="Y36" s="70"/>
    </row>
    <row r="37" spans="2:25" x14ac:dyDescent="0.25">
      <c r="B37" s="68">
        <v>45658</v>
      </c>
      <c r="C37" s="50">
        <v>542.1500244140625</v>
      </c>
      <c r="D37" s="15">
        <f t="shared" si="0"/>
        <v>2.8672750612779296E-3</v>
      </c>
      <c r="G37" s="69">
        <v>45658</v>
      </c>
      <c r="H37" s="50">
        <v>23742.900390625</v>
      </c>
      <c r="I37" s="55">
        <f t="shared" si="1"/>
        <v>4.1488871182535636E-3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</row>
    <row r="38" spans="2:25" x14ac:dyDescent="0.25">
      <c r="B38" s="68">
        <v>45659</v>
      </c>
      <c r="C38" s="50">
        <v>556.9000244140625</v>
      </c>
      <c r="D38" s="15">
        <f t="shared" si="0"/>
        <v>2.7206491442919978E-2</v>
      </c>
      <c r="G38" s="69">
        <v>45659</v>
      </c>
      <c r="H38" s="50">
        <v>24188.650390625</v>
      </c>
      <c r="I38" s="55">
        <f t="shared" si="1"/>
        <v>1.8774033191665485E-2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</row>
    <row r="39" spans="2:25" x14ac:dyDescent="0.25">
      <c r="B39" s="68">
        <v>45660</v>
      </c>
      <c r="C39" s="50">
        <v>541.4000244140625</v>
      </c>
      <c r="D39" s="15">
        <f t="shared" si="0"/>
        <v>-2.783264377894068E-2</v>
      </c>
      <c r="G39" s="69">
        <v>45660</v>
      </c>
      <c r="H39" s="50">
        <v>24004.75</v>
      </c>
      <c r="I39" s="55">
        <f t="shared" si="1"/>
        <v>-7.6027553276091231E-3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</row>
    <row r="40" spans="2:25" x14ac:dyDescent="0.25">
      <c r="B40" s="68">
        <v>45663</v>
      </c>
      <c r="C40" s="50">
        <v>532.45001220703125</v>
      </c>
      <c r="D40" s="15">
        <f t="shared" si="0"/>
        <v>-1.6531237169258528E-2</v>
      </c>
      <c r="G40" s="69">
        <v>45663</v>
      </c>
      <c r="H40" s="50">
        <v>23616.05078125</v>
      </c>
      <c r="I40" s="55">
        <f t="shared" si="1"/>
        <v>-1.6192595996625703E-2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</row>
    <row r="41" spans="2:25" x14ac:dyDescent="0.25">
      <c r="B41" s="68">
        <v>45664</v>
      </c>
      <c r="C41" s="50">
        <v>508.95001220703119</v>
      </c>
      <c r="D41" s="15">
        <f t="shared" si="0"/>
        <v>-4.4135598574956192E-2</v>
      </c>
      <c r="G41" s="69">
        <v>45664</v>
      </c>
      <c r="H41" s="50">
        <v>23707.900390625</v>
      </c>
      <c r="I41" s="55">
        <f t="shared" si="1"/>
        <v>3.8892874268343647E-3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</row>
    <row r="42" spans="2:25" x14ac:dyDescent="0.25">
      <c r="B42" s="68">
        <v>45665</v>
      </c>
      <c r="C42" s="50">
        <v>490.64999389648438</v>
      </c>
      <c r="D42" s="15">
        <f t="shared" si="0"/>
        <v>-3.5956415898665384E-2</v>
      </c>
      <c r="G42" s="69">
        <v>45665</v>
      </c>
      <c r="H42" s="50">
        <v>23688.94921875</v>
      </c>
      <c r="I42" s="55">
        <f t="shared" si="1"/>
        <v>-7.9936103841971029E-4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</row>
    <row r="43" spans="2:25" x14ac:dyDescent="0.25">
      <c r="B43" s="68">
        <v>45666</v>
      </c>
      <c r="C43" s="50">
        <v>507.60000610351563</v>
      </c>
      <c r="D43" s="15">
        <f t="shared" si="0"/>
        <v>3.4546035703421074E-2</v>
      </c>
      <c r="G43" s="69">
        <v>45666</v>
      </c>
      <c r="H43" s="50">
        <v>23526.5</v>
      </c>
      <c r="I43" s="55">
        <f t="shared" si="1"/>
        <v>-6.8575949591475061E-3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</row>
    <row r="44" spans="2:25" x14ac:dyDescent="0.25">
      <c r="B44" s="68">
        <v>45667</v>
      </c>
      <c r="C44" s="50">
        <v>491.75</v>
      </c>
      <c r="D44" s="15">
        <f t="shared" si="0"/>
        <v>-3.1225385959280927E-2</v>
      </c>
      <c r="G44" s="69">
        <v>45667</v>
      </c>
      <c r="H44" s="50">
        <v>23431.5</v>
      </c>
      <c r="I44" s="55">
        <f t="shared" si="1"/>
        <v>-4.037999702463213E-3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</row>
    <row r="45" spans="2:25" x14ac:dyDescent="0.25">
      <c r="B45" s="68">
        <v>45670</v>
      </c>
      <c r="C45" s="50">
        <v>463.54998779296881</v>
      </c>
      <c r="D45" s="15">
        <f t="shared" si="0"/>
        <v>-5.7346237330007543E-2</v>
      </c>
      <c r="G45" s="69">
        <v>45670</v>
      </c>
      <c r="H45" s="50">
        <v>23085.94921875</v>
      </c>
      <c r="I45" s="55">
        <f t="shared" si="1"/>
        <v>-1.4747275302477436E-2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</row>
    <row r="46" spans="2:25" x14ac:dyDescent="0.25">
      <c r="B46" s="68">
        <v>45671</v>
      </c>
      <c r="C46" s="50">
        <v>465</v>
      </c>
      <c r="D46" s="15">
        <f t="shared" si="0"/>
        <v>3.1280600694973959E-3</v>
      </c>
      <c r="G46" s="69">
        <v>45671</v>
      </c>
      <c r="H46" s="50">
        <v>23176.05078125</v>
      </c>
      <c r="I46" s="55">
        <f t="shared" si="1"/>
        <v>3.9028744993869768E-3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</row>
    <row r="47" spans="2:25" x14ac:dyDescent="0.25">
      <c r="B47" s="68">
        <v>45672</v>
      </c>
      <c r="C47" s="50">
        <v>487.10000610351563</v>
      </c>
      <c r="D47" s="15">
        <f t="shared" si="0"/>
        <v>4.7526894846270151E-2</v>
      </c>
      <c r="G47" s="69">
        <v>45672</v>
      </c>
      <c r="H47" s="50">
        <v>23213.19921875</v>
      </c>
      <c r="I47" s="55">
        <f t="shared" si="1"/>
        <v>1.6028803979861728E-3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</row>
    <row r="48" spans="2:25" x14ac:dyDescent="0.25">
      <c r="B48" s="68">
        <v>45673</v>
      </c>
      <c r="C48" s="50">
        <v>483</v>
      </c>
      <c r="D48" s="15">
        <f t="shared" si="0"/>
        <v>-8.4171752250898901E-3</v>
      </c>
      <c r="G48" s="69">
        <v>45673</v>
      </c>
      <c r="H48" s="50">
        <v>23311.80078125</v>
      </c>
      <c r="I48" s="55">
        <f t="shared" si="1"/>
        <v>4.2476507253836893E-3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</row>
    <row r="49" spans="2:25" x14ac:dyDescent="0.25">
      <c r="B49" s="68">
        <v>45674</v>
      </c>
      <c r="C49" s="50">
        <v>473.04998779296881</v>
      </c>
      <c r="D49" s="15">
        <f t="shared" si="0"/>
        <v>-2.0600439352031485E-2</v>
      </c>
      <c r="G49" s="69">
        <v>45674</v>
      </c>
      <c r="H49" s="50">
        <v>23203.19921875</v>
      </c>
      <c r="I49" s="55">
        <f t="shared" si="1"/>
        <v>-4.6586517926727744E-3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</row>
    <row r="50" spans="2:25" x14ac:dyDescent="0.25">
      <c r="B50" s="68">
        <v>45677</v>
      </c>
      <c r="C50" s="50">
        <v>479</v>
      </c>
      <c r="D50" s="15">
        <f t="shared" si="0"/>
        <v>1.2577977720264144E-2</v>
      </c>
      <c r="G50" s="69">
        <v>45677</v>
      </c>
      <c r="H50" s="50">
        <v>23344.75</v>
      </c>
      <c r="I50" s="55">
        <f t="shared" si="1"/>
        <v>6.100485537167577E-3</v>
      </c>
    </row>
    <row r="51" spans="2:25" x14ac:dyDescent="0.25">
      <c r="B51" s="68">
        <v>45678</v>
      </c>
      <c r="C51" s="50">
        <v>440.29998779296881</v>
      </c>
      <c r="D51" s="15">
        <f t="shared" si="0"/>
        <v>-8.0793344899856345E-2</v>
      </c>
      <c r="G51" s="69">
        <v>45678</v>
      </c>
      <c r="H51" s="50">
        <v>23024.650390625</v>
      </c>
      <c r="I51" s="55">
        <f t="shared" si="1"/>
        <v>-1.3711845677293555E-2</v>
      </c>
    </row>
    <row r="52" spans="2:25" x14ac:dyDescent="0.25">
      <c r="B52" s="68">
        <v>45679</v>
      </c>
      <c r="C52" s="50">
        <v>433.64999389648438</v>
      </c>
      <c r="D52" s="15">
        <f t="shared" si="0"/>
        <v>-1.5103325189305461E-2</v>
      </c>
      <c r="G52" s="69">
        <v>45679</v>
      </c>
      <c r="H52" s="50">
        <v>23155.349609375</v>
      </c>
      <c r="I52" s="55">
        <f t="shared" si="1"/>
        <v>5.6764909144164655E-3</v>
      </c>
    </row>
    <row r="53" spans="2:25" x14ac:dyDescent="0.25">
      <c r="B53" s="68">
        <v>45680</v>
      </c>
      <c r="C53" s="50">
        <v>461.35000610351563</v>
      </c>
      <c r="D53" s="15">
        <f t="shared" si="0"/>
        <v>6.3876427065379993E-2</v>
      </c>
      <c r="G53" s="69">
        <v>45680</v>
      </c>
      <c r="H53" s="50">
        <v>23205.349609375</v>
      </c>
      <c r="I53" s="55">
        <f t="shared" si="1"/>
        <v>2.1593282262408753E-3</v>
      </c>
    </row>
    <row r="54" spans="2:25" x14ac:dyDescent="0.25">
      <c r="B54" s="68">
        <v>45681</v>
      </c>
      <c r="C54" s="50">
        <v>448.85000610351563</v>
      </c>
      <c r="D54" s="15">
        <f t="shared" si="0"/>
        <v>-2.7094396520275121E-2</v>
      </c>
      <c r="G54" s="69">
        <v>45681</v>
      </c>
      <c r="H54" s="50">
        <v>23092.19921875</v>
      </c>
      <c r="I54" s="55">
        <f t="shared" si="1"/>
        <v>-4.8760476583936674E-3</v>
      </c>
    </row>
    <row r="55" spans="2:25" x14ac:dyDescent="0.25">
      <c r="B55" s="68">
        <v>45684</v>
      </c>
      <c r="C55" s="50">
        <v>410</v>
      </c>
      <c r="D55" s="15">
        <f t="shared" si="0"/>
        <v>-8.6554540659972479E-2</v>
      </c>
      <c r="G55" s="69">
        <v>45684</v>
      </c>
      <c r="H55" s="50">
        <v>22829.150390625</v>
      </c>
      <c r="I55" s="55">
        <f t="shared" si="1"/>
        <v>-1.1391241935562957E-2</v>
      </c>
    </row>
    <row r="56" spans="2:25" x14ac:dyDescent="0.25">
      <c r="B56" s="68">
        <v>45685</v>
      </c>
      <c r="C56" s="50">
        <v>410.54998779296881</v>
      </c>
      <c r="D56" s="15">
        <f t="shared" si="0"/>
        <v>1.3414336413872796E-3</v>
      </c>
      <c r="G56" s="69">
        <v>45685</v>
      </c>
      <c r="H56" s="50">
        <v>22957.25</v>
      </c>
      <c r="I56" s="55">
        <f t="shared" si="1"/>
        <v>5.6112298172781294E-3</v>
      </c>
    </row>
    <row r="57" spans="2:25" x14ac:dyDescent="0.25">
      <c r="B57" s="68">
        <v>45686</v>
      </c>
      <c r="C57" s="50">
        <v>428.29998779296881</v>
      </c>
      <c r="D57" s="15">
        <f t="shared" si="0"/>
        <v>4.3234686463931693E-2</v>
      </c>
      <c r="G57" s="69">
        <v>45686</v>
      </c>
      <c r="H57" s="50">
        <v>23163.099609375</v>
      </c>
      <c r="I57" s="55">
        <f t="shared" si="1"/>
        <v>8.966649288351114E-3</v>
      </c>
    </row>
    <row r="58" spans="2:25" x14ac:dyDescent="0.25">
      <c r="B58" s="68">
        <v>45687</v>
      </c>
      <c r="C58" s="50">
        <v>404.75</v>
      </c>
      <c r="D58" s="15">
        <f t="shared" si="0"/>
        <v>-5.4984796787695411E-2</v>
      </c>
      <c r="G58" s="69">
        <v>45687</v>
      </c>
      <c r="H58" s="50">
        <v>23249.5</v>
      </c>
      <c r="I58" s="55">
        <f t="shared" si="1"/>
        <v>3.730087599762788E-3</v>
      </c>
    </row>
    <row r="59" spans="2:25" x14ac:dyDescent="0.25">
      <c r="B59" s="68">
        <v>45688</v>
      </c>
      <c r="C59" s="50">
        <v>416.5</v>
      </c>
      <c r="D59" s="15">
        <f t="shared" si="0"/>
        <v>2.9030265596047045E-2</v>
      </c>
      <c r="G59" s="69">
        <v>45688</v>
      </c>
      <c r="H59" s="50">
        <v>23508.400390625</v>
      </c>
      <c r="I59" s="55">
        <f t="shared" si="1"/>
        <v>1.1135740150325812E-2</v>
      </c>
    </row>
    <row r="60" spans="2:25" x14ac:dyDescent="0.25">
      <c r="B60" s="68">
        <v>45689</v>
      </c>
      <c r="C60" s="50">
        <v>435.29998779296881</v>
      </c>
      <c r="D60" s="15">
        <f t="shared" si="0"/>
        <v>4.5138025913490587E-2</v>
      </c>
      <c r="G60" s="69">
        <v>45689</v>
      </c>
      <c r="H60" s="50">
        <v>23482.150390625</v>
      </c>
      <c r="I60" s="55">
        <f t="shared" si="1"/>
        <v>-1.1166221250199504E-3</v>
      </c>
    </row>
    <row r="61" spans="2:25" x14ac:dyDescent="0.25">
      <c r="B61" s="68">
        <v>45691</v>
      </c>
      <c r="C61" s="50">
        <v>458.29998779296881</v>
      </c>
      <c r="D61" s="15">
        <f t="shared" si="0"/>
        <v>5.2837125304352028E-2</v>
      </c>
      <c r="G61" s="69">
        <v>45691</v>
      </c>
      <c r="H61" s="50">
        <v>23361.05078125</v>
      </c>
      <c r="I61" s="55">
        <f t="shared" si="1"/>
        <v>-5.1570919766934509E-3</v>
      </c>
    </row>
    <row r="62" spans="2:25" x14ac:dyDescent="0.25">
      <c r="B62" s="68">
        <v>45692</v>
      </c>
      <c r="C62" s="50">
        <v>433.64999389648438</v>
      </c>
      <c r="D62" s="15">
        <f t="shared" si="0"/>
        <v>-5.3785717986140846E-2</v>
      </c>
      <c r="G62" s="69">
        <v>45692</v>
      </c>
      <c r="H62" s="50">
        <v>23739.25</v>
      </c>
      <c r="I62" s="55">
        <f t="shared" si="1"/>
        <v>1.6189306820631133E-2</v>
      </c>
    </row>
    <row r="63" spans="2:25" x14ac:dyDescent="0.25">
      <c r="B63" s="68">
        <v>45693</v>
      </c>
      <c r="C63" s="50">
        <v>418.10000610351563</v>
      </c>
      <c r="D63" s="15">
        <f t="shared" si="0"/>
        <v>-3.5858383516271131E-2</v>
      </c>
      <c r="G63" s="69">
        <v>45693</v>
      </c>
      <c r="H63" s="50">
        <v>23696.30078125</v>
      </c>
      <c r="I63" s="55">
        <f t="shared" si="1"/>
        <v>-1.809207062143936E-3</v>
      </c>
    </row>
    <row r="64" spans="2:25" x14ac:dyDescent="0.25">
      <c r="B64" s="68">
        <v>45694</v>
      </c>
      <c r="C64" s="50">
        <v>388.89999389648438</v>
      </c>
      <c r="D64" s="15">
        <f t="shared" si="0"/>
        <v>-6.9839779432583238E-2</v>
      </c>
      <c r="G64" s="69">
        <v>45694</v>
      </c>
      <c r="H64" s="50">
        <v>23603.349609375</v>
      </c>
      <c r="I64" s="55">
        <f t="shared" si="1"/>
        <v>-3.9226026346081966E-3</v>
      </c>
    </row>
    <row r="65" spans="2:9" x14ac:dyDescent="0.25">
      <c r="B65" s="68">
        <v>45695</v>
      </c>
      <c r="C65" s="50">
        <v>381</v>
      </c>
      <c r="D65" s="15">
        <f t="shared" si="0"/>
        <v>-2.031368994720828E-2</v>
      </c>
      <c r="G65" s="69">
        <v>45695</v>
      </c>
      <c r="H65" s="50">
        <v>23559.94921875</v>
      </c>
      <c r="I65" s="55">
        <f t="shared" si="1"/>
        <v>-1.8387386257991967E-3</v>
      </c>
    </row>
    <row r="66" spans="2:9" x14ac:dyDescent="0.25">
      <c r="B66" s="68">
        <v>45698</v>
      </c>
      <c r="C66" s="50">
        <v>362.14999389648438</v>
      </c>
      <c r="D66" s="15">
        <f t="shared" si="0"/>
        <v>-4.9475081636523921E-2</v>
      </c>
      <c r="G66" s="69">
        <v>45698</v>
      </c>
      <c r="H66" s="50">
        <v>23381.599609375</v>
      </c>
      <c r="I66" s="55">
        <f t="shared" si="1"/>
        <v>-7.5700336923079092E-3</v>
      </c>
    </row>
    <row r="67" spans="2:9" x14ac:dyDescent="0.25">
      <c r="B67" s="68">
        <v>45699</v>
      </c>
      <c r="C67" s="50">
        <v>333.70001220703119</v>
      </c>
      <c r="D67" s="15">
        <f t="shared" si="0"/>
        <v>-7.855855907479381E-2</v>
      </c>
      <c r="G67" s="69">
        <v>45699</v>
      </c>
      <c r="H67" s="50">
        <v>23071.80078125</v>
      </c>
      <c r="I67" s="55">
        <f t="shared" si="1"/>
        <v>-1.3249684936046169E-2</v>
      </c>
    </row>
    <row r="68" spans="2:9" x14ac:dyDescent="0.25">
      <c r="B68" s="68">
        <v>45700</v>
      </c>
      <c r="C68" s="50">
        <v>341.45001220703119</v>
      </c>
      <c r="D68" s="15">
        <f t="shared" si="0"/>
        <v>2.3224452252017969E-2</v>
      </c>
      <c r="G68" s="69">
        <v>45700</v>
      </c>
      <c r="H68" s="50">
        <v>23045.25</v>
      </c>
      <c r="I68" s="55">
        <f t="shared" si="1"/>
        <v>-1.1507892904301098E-3</v>
      </c>
    </row>
    <row r="69" spans="2:9" x14ac:dyDescent="0.25">
      <c r="B69" s="68">
        <v>45701</v>
      </c>
      <c r="C69" s="50">
        <v>365.39999389648438</v>
      </c>
      <c r="D69" s="15">
        <f t="shared" si="0"/>
        <v>7.0141985161012776E-2</v>
      </c>
      <c r="G69" s="69">
        <v>45701</v>
      </c>
      <c r="H69" s="50">
        <v>23031.400390625</v>
      </c>
      <c r="I69" s="55">
        <f t="shared" si="1"/>
        <v>-6.0097457719054947E-4</v>
      </c>
    </row>
    <row r="70" spans="2:9" x14ac:dyDescent="0.25">
      <c r="B70" s="68">
        <v>45702</v>
      </c>
      <c r="C70" s="50">
        <v>340.39999389648438</v>
      </c>
      <c r="D70" s="15">
        <f t="shared" si="0"/>
        <v>-6.8418173009281325E-2</v>
      </c>
      <c r="G70" s="69">
        <v>45702</v>
      </c>
      <c r="H70" s="50">
        <v>22929.25</v>
      </c>
      <c r="I70" s="55">
        <f t="shared" si="1"/>
        <v>-4.4352661537063742E-3</v>
      </c>
    </row>
    <row r="71" spans="2:9" x14ac:dyDescent="0.25">
      <c r="B71" s="68">
        <v>45705</v>
      </c>
      <c r="C71" s="50">
        <v>338.39999389648438</v>
      </c>
      <c r="D71" s="15">
        <f t="shared" si="0"/>
        <v>-5.8754407633985206E-3</v>
      </c>
      <c r="G71" s="69">
        <v>45705</v>
      </c>
      <c r="H71" s="50">
        <v>22959.5</v>
      </c>
      <c r="I71" s="55">
        <f t="shared" si="1"/>
        <v>1.3192755977626813E-3</v>
      </c>
    </row>
    <row r="72" spans="2:9" x14ac:dyDescent="0.25">
      <c r="B72" s="68">
        <v>45706</v>
      </c>
      <c r="C72" s="50">
        <v>347.89999389648438</v>
      </c>
      <c r="D72" s="15">
        <f t="shared" si="0"/>
        <v>2.8073286558350397E-2</v>
      </c>
      <c r="G72" s="69">
        <v>45706</v>
      </c>
      <c r="H72" s="50">
        <v>22945.30078125</v>
      </c>
      <c r="I72" s="55">
        <f t="shared" si="1"/>
        <v>-6.1844634029484258E-4</v>
      </c>
    </row>
    <row r="73" spans="2:9" x14ac:dyDescent="0.25">
      <c r="B73" s="68">
        <v>45707</v>
      </c>
      <c r="C73" s="50">
        <v>377.5</v>
      </c>
      <c r="D73" s="15">
        <f t="shared" ref="D73:D136" si="2">C73/C72-1</f>
        <v>8.5081939128527129E-2</v>
      </c>
      <c r="G73" s="69">
        <v>45707</v>
      </c>
      <c r="H73" s="50">
        <v>22932.900390625</v>
      </c>
      <c r="I73" s="55">
        <f t="shared" si="1"/>
        <v>-5.4043269004055983E-4</v>
      </c>
    </row>
    <row r="74" spans="2:9" x14ac:dyDescent="0.25">
      <c r="B74" s="68">
        <v>45708</v>
      </c>
      <c r="C74" s="50">
        <v>373.64999389648438</v>
      </c>
      <c r="D74" s="15">
        <f t="shared" si="2"/>
        <v>-1.0198691664942028E-2</v>
      </c>
      <c r="G74" s="69">
        <v>45708</v>
      </c>
      <c r="H74" s="50">
        <v>22913.150390625</v>
      </c>
      <c r="I74" s="55">
        <f t="shared" ref="I74:I137" si="3">H74/H73-1</f>
        <v>-8.6120811862389068E-4</v>
      </c>
    </row>
    <row r="75" spans="2:9" x14ac:dyDescent="0.25">
      <c r="B75" s="68">
        <v>45709</v>
      </c>
      <c r="C75" s="50">
        <v>360.70001220703119</v>
      </c>
      <c r="D75" s="15">
        <f t="shared" si="2"/>
        <v>-3.4658054063934629E-2</v>
      </c>
      <c r="G75" s="69">
        <v>45709</v>
      </c>
      <c r="H75" s="50">
        <v>22795.900390625</v>
      </c>
      <c r="I75" s="55">
        <f t="shared" si="3"/>
        <v>-5.117148798882476E-3</v>
      </c>
    </row>
    <row r="76" spans="2:9" x14ac:dyDescent="0.25">
      <c r="B76" s="68">
        <v>45712</v>
      </c>
      <c r="C76" s="50">
        <v>364.95001220703119</v>
      </c>
      <c r="D76" s="15">
        <f t="shared" si="2"/>
        <v>1.1782644458466551E-2</v>
      </c>
      <c r="G76" s="69">
        <v>45712</v>
      </c>
      <c r="H76" s="50">
        <v>22553.349609375</v>
      </c>
      <c r="I76" s="55">
        <f t="shared" si="3"/>
        <v>-1.0640105330068539E-2</v>
      </c>
    </row>
    <row r="77" spans="2:9" x14ac:dyDescent="0.25">
      <c r="B77" s="68">
        <v>45713</v>
      </c>
      <c r="C77" s="50">
        <v>354.35000610351563</v>
      </c>
      <c r="D77" s="15">
        <f t="shared" si="2"/>
        <v>-2.9045090420499409E-2</v>
      </c>
      <c r="G77" s="69">
        <v>45713</v>
      </c>
      <c r="H77" s="50">
        <v>22547.55078125</v>
      </c>
      <c r="I77" s="55">
        <f t="shared" si="3"/>
        <v>-2.5711604818956513E-4</v>
      </c>
    </row>
    <row r="78" spans="2:9" x14ac:dyDescent="0.25">
      <c r="B78" s="68">
        <v>45715</v>
      </c>
      <c r="C78" s="50">
        <v>344.35000610351563</v>
      </c>
      <c r="D78" s="15">
        <f t="shared" si="2"/>
        <v>-2.822068527657573E-2</v>
      </c>
      <c r="G78" s="69">
        <v>45715</v>
      </c>
      <c r="H78" s="50">
        <v>22545.05078125</v>
      </c>
      <c r="I78" s="55">
        <f t="shared" si="3"/>
        <v>-1.1087678764998277E-4</v>
      </c>
    </row>
    <row r="79" spans="2:9" x14ac:dyDescent="0.25">
      <c r="B79" s="68">
        <v>45716</v>
      </c>
      <c r="C79" s="50">
        <v>334.70001220703119</v>
      </c>
      <c r="D79" s="15">
        <f t="shared" si="2"/>
        <v>-2.8023794759520104E-2</v>
      </c>
      <c r="G79" s="69">
        <v>45716</v>
      </c>
      <c r="H79" s="50">
        <v>22124.69921875</v>
      </c>
      <c r="I79" s="55">
        <f t="shared" si="3"/>
        <v>-1.8644959666695105E-2</v>
      </c>
    </row>
    <row r="80" spans="2:9" x14ac:dyDescent="0.25">
      <c r="B80" s="68">
        <v>45719</v>
      </c>
      <c r="C80" s="50">
        <v>326.39999389648438</v>
      </c>
      <c r="D80" s="15">
        <f t="shared" si="2"/>
        <v>-2.4798380662779285E-2</v>
      </c>
      <c r="G80" s="69">
        <v>45719</v>
      </c>
      <c r="H80" s="50">
        <v>22119.30078125</v>
      </c>
      <c r="I80" s="55">
        <f t="shared" si="3"/>
        <v>-2.4400049223838316E-4</v>
      </c>
    </row>
    <row r="81" spans="2:9" x14ac:dyDescent="0.25">
      <c r="B81" s="68">
        <v>45720</v>
      </c>
      <c r="C81" s="50">
        <v>350.64999389648438</v>
      </c>
      <c r="D81" s="15">
        <f t="shared" si="2"/>
        <v>7.4295344526540408E-2</v>
      </c>
      <c r="G81" s="69">
        <v>45720</v>
      </c>
      <c r="H81" s="50">
        <v>22082.650390625</v>
      </c>
      <c r="I81" s="55">
        <f t="shared" si="3"/>
        <v>-1.6569416451024388E-3</v>
      </c>
    </row>
    <row r="82" spans="2:9" x14ac:dyDescent="0.25">
      <c r="B82" s="68">
        <v>45721</v>
      </c>
      <c r="C82" s="50">
        <v>358.45001220703119</v>
      </c>
      <c r="D82" s="15">
        <f t="shared" si="2"/>
        <v>2.224445585716861E-2</v>
      </c>
      <c r="G82" s="69">
        <v>45721</v>
      </c>
      <c r="H82" s="50">
        <v>22337.30078125</v>
      </c>
      <c r="I82" s="55">
        <f t="shared" si="3"/>
        <v>1.1531695069225467E-2</v>
      </c>
    </row>
    <row r="83" spans="2:9" x14ac:dyDescent="0.25">
      <c r="B83" s="68">
        <v>45722</v>
      </c>
      <c r="C83" s="50">
        <v>362.70001220703119</v>
      </c>
      <c r="D83" s="15">
        <f t="shared" si="2"/>
        <v>1.1856604422558314E-2</v>
      </c>
      <c r="G83" s="69">
        <v>45722</v>
      </c>
      <c r="H83" s="50">
        <v>22544.69921875</v>
      </c>
      <c r="I83" s="55">
        <f t="shared" si="3"/>
        <v>9.2848477768670001E-3</v>
      </c>
    </row>
    <row r="84" spans="2:9" x14ac:dyDescent="0.25">
      <c r="B84" s="68">
        <v>45723</v>
      </c>
      <c r="C84" s="50">
        <v>360.95001220703119</v>
      </c>
      <c r="D84" s="15">
        <f t="shared" si="2"/>
        <v>-4.8249240173752206E-3</v>
      </c>
      <c r="G84" s="69">
        <v>45723</v>
      </c>
      <c r="H84" s="50">
        <v>22552.5</v>
      </c>
      <c r="I84" s="55">
        <f t="shared" si="3"/>
        <v>3.4601398645017767E-4</v>
      </c>
    </row>
    <row r="85" spans="2:9" x14ac:dyDescent="0.25">
      <c r="B85" s="68">
        <v>45726</v>
      </c>
      <c r="C85" s="50">
        <v>359.75</v>
      </c>
      <c r="D85" s="15">
        <f t="shared" si="2"/>
        <v>-3.3245938951316223E-3</v>
      </c>
      <c r="G85" s="69">
        <v>45726</v>
      </c>
      <c r="H85" s="50">
        <v>22460.30078125</v>
      </c>
      <c r="I85" s="55">
        <f t="shared" si="3"/>
        <v>-4.0882039130917258E-3</v>
      </c>
    </row>
    <row r="86" spans="2:9" x14ac:dyDescent="0.25">
      <c r="B86" s="68">
        <v>45727</v>
      </c>
      <c r="C86" s="50">
        <v>352.75</v>
      </c>
      <c r="D86" s="15">
        <f t="shared" si="2"/>
        <v>-1.9457956914524011E-2</v>
      </c>
      <c r="G86" s="69">
        <v>45727</v>
      </c>
      <c r="H86" s="50">
        <v>22497.900390625</v>
      </c>
      <c r="I86" s="55">
        <f t="shared" si="3"/>
        <v>1.6740474556060647E-3</v>
      </c>
    </row>
    <row r="87" spans="2:9" x14ac:dyDescent="0.25">
      <c r="B87" s="68">
        <v>45728</v>
      </c>
      <c r="C87" s="50">
        <v>348.5</v>
      </c>
      <c r="D87" s="15">
        <f t="shared" si="2"/>
        <v>-1.2048192771084376E-2</v>
      </c>
      <c r="G87" s="69">
        <v>45728</v>
      </c>
      <c r="H87" s="50">
        <v>22470.5</v>
      </c>
      <c r="I87" s="55">
        <f t="shared" si="3"/>
        <v>-1.2179087892316698E-3</v>
      </c>
    </row>
    <row r="88" spans="2:9" x14ac:dyDescent="0.25">
      <c r="B88" s="68">
        <v>45729</v>
      </c>
      <c r="C88" s="50">
        <v>353.29998779296881</v>
      </c>
      <c r="D88" s="15">
        <f t="shared" si="2"/>
        <v>1.3773279176381159E-2</v>
      </c>
      <c r="G88" s="69">
        <v>45729</v>
      </c>
      <c r="H88" s="50">
        <v>22397.19921875</v>
      </c>
      <c r="I88" s="55">
        <f t="shared" si="3"/>
        <v>-3.2620894617386709E-3</v>
      </c>
    </row>
    <row r="89" spans="2:9" x14ac:dyDescent="0.25">
      <c r="B89" s="68">
        <v>45733</v>
      </c>
      <c r="C89" s="50">
        <v>354.29998779296881</v>
      </c>
      <c r="D89" s="15">
        <f t="shared" si="2"/>
        <v>2.8304558011646996E-3</v>
      </c>
      <c r="G89" s="69">
        <v>45733</v>
      </c>
      <c r="H89" s="50">
        <v>22508.75</v>
      </c>
      <c r="I89" s="55">
        <f t="shared" si="3"/>
        <v>4.980568336268254E-3</v>
      </c>
    </row>
    <row r="90" spans="2:9" x14ac:dyDescent="0.25">
      <c r="B90" s="68">
        <v>45734</v>
      </c>
      <c r="C90" s="50">
        <v>356.20001220703119</v>
      </c>
      <c r="D90" s="15">
        <f t="shared" si="2"/>
        <v>5.3627560810773911E-3</v>
      </c>
      <c r="G90" s="69">
        <v>45734</v>
      </c>
      <c r="H90" s="50">
        <v>22834.30078125</v>
      </c>
      <c r="I90" s="55">
        <f t="shared" si="3"/>
        <v>1.446329899483545E-2</v>
      </c>
    </row>
    <row r="91" spans="2:9" x14ac:dyDescent="0.25">
      <c r="B91" s="68">
        <v>45735</v>
      </c>
      <c r="C91" s="50">
        <v>360.60000610351563</v>
      </c>
      <c r="D91" s="15">
        <f t="shared" si="2"/>
        <v>1.2352593334351347E-2</v>
      </c>
      <c r="G91" s="69">
        <v>45735</v>
      </c>
      <c r="H91" s="50">
        <v>22907.599609375</v>
      </c>
      <c r="I91" s="55">
        <f t="shared" si="3"/>
        <v>3.2100316461272094E-3</v>
      </c>
    </row>
    <row r="92" spans="2:9" x14ac:dyDescent="0.25">
      <c r="B92" s="68">
        <v>45736</v>
      </c>
      <c r="C92" s="50">
        <v>354.35000610351563</v>
      </c>
      <c r="D92" s="15">
        <f t="shared" si="2"/>
        <v>-1.7332223777627553E-2</v>
      </c>
      <c r="G92" s="69">
        <v>45736</v>
      </c>
      <c r="H92" s="50">
        <v>23190.650390625</v>
      </c>
      <c r="I92" s="55">
        <f t="shared" si="3"/>
        <v>1.2356195589090069E-2</v>
      </c>
    </row>
    <row r="93" spans="2:9" x14ac:dyDescent="0.25">
      <c r="B93" s="68">
        <v>45737</v>
      </c>
      <c r="C93" s="50">
        <v>350.5</v>
      </c>
      <c r="D93" s="15">
        <f t="shared" si="2"/>
        <v>-1.0864981056020961E-2</v>
      </c>
      <c r="G93" s="69">
        <v>45737</v>
      </c>
      <c r="H93" s="50">
        <v>23350.400390625</v>
      </c>
      <c r="I93" s="55">
        <f t="shared" si="3"/>
        <v>6.8885519512889015E-3</v>
      </c>
    </row>
    <row r="94" spans="2:9" x14ac:dyDescent="0.25">
      <c r="B94" s="68">
        <v>45740</v>
      </c>
      <c r="C94" s="50">
        <v>351.5</v>
      </c>
      <c r="D94" s="15">
        <f t="shared" si="2"/>
        <v>2.8530670470756636E-3</v>
      </c>
      <c r="G94" s="69">
        <v>45740</v>
      </c>
      <c r="H94" s="50">
        <v>23658.349609375</v>
      </c>
      <c r="I94" s="55">
        <f t="shared" si="3"/>
        <v>1.3188177230298859E-2</v>
      </c>
    </row>
    <row r="95" spans="2:9" x14ac:dyDescent="0.25">
      <c r="B95" s="68">
        <v>45741</v>
      </c>
      <c r="C95" s="50">
        <v>337.64999389648438</v>
      </c>
      <c r="D95" s="15">
        <f t="shared" si="2"/>
        <v>-3.9402577819390161E-2</v>
      </c>
      <c r="G95" s="69">
        <v>45741</v>
      </c>
      <c r="H95" s="50">
        <v>23668.650390625</v>
      </c>
      <c r="I95" s="55">
        <f t="shared" si="3"/>
        <v>4.3539728764163677E-4</v>
      </c>
    </row>
    <row r="96" spans="2:9" x14ac:dyDescent="0.25">
      <c r="B96" s="68">
        <v>45742</v>
      </c>
      <c r="C96" s="50">
        <v>323.75</v>
      </c>
      <c r="D96" s="15">
        <f t="shared" si="2"/>
        <v>-4.1166871457861798E-2</v>
      </c>
      <c r="G96" s="69">
        <v>45742</v>
      </c>
      <c r="H96" s="50">
        <v>23486.849609375</v>
      </c>
      <c r="I96" s="55">
        <f t="shared" si="3"/>
        <v>-7.6810793285454482E-3</v>
      </c>
    </row>
    <row r="97" spans="2:9" x14ac:dyDescent="0.25">
      <c r="B97" s="68">
        <v>45743</v>
      </c>
      <c r="C97" s="50">
        <v>334.95001220703119</v>
      </c>
      <c r="D97" s="15">
        <f t="shared" si="2"/>
        <v>3.459463229971016E-2</v>
      </c>
      <c r="G97" s="69">
        <v>45743</v>
      </c>
      <c r="H97" s="50">
        <v>23591.94921875</v>
      </c>
      <c r="I97" s="55">
        <f t="shared" si="3"/>
        <v>4.4748278770025962E-3</v>
      </c>
    </row>
    <row r="98" spans="2:9" x14ac:dyDescent="0.25">
      <c r="B98" s="68">
        <v>45744</v>
      </c>
      <c r="C98" s="50">
        <v>329.89999389648438</v>
      </c>
      <c r="D98" s="15">
        <f t="shared" si="2"/>
        <v>-1.5076931262881788E-2</v>
      </c>
      <c r="G98" s="69">
        <v>45744</v>
      </c>
      <c r="H98" s="50">
        <v>23519.349609375</v>
      </c>
      <c r="I98" s="55">
        <f t="shared" si="3"/>
        <v>-3.0773044101545244E-3</v>
      </c>
    </row>
    <row r="99" spans="2:9" x14ac:dyDescent="0.25">
      <c r="B99" s="68">
        <v>45748</v>
      </c>
      <c r="C99" s="50">
        <v>331.54998779296881</v>
      </c>
      <c r="D99" s="15">
        <f t="shared" si="2"/>
        <v>5.0014972022163207E-3</v>
      </c>
      <c r="G99" s="69">
        <v>45748</v>
      </c>
      <c r="H99" s="50">
        <v>23165.69921875</v>
      </c>
      <c r="I99" s="55">
        <f t="shared" si="3"/>
        <v>-1.5036571865236992E-2</v>
      </c>
    </row>
    <row r="100" spans="2:9" x14ac:dyDescent="0.25">
      <c r="B100" s="68">
        <v>45749</v>
      </c>
      <c r="C100" s="50">
        <v>344.79998779296881</v>
      </c>
      <c r="D100" s="15">
        <f t="shared" si="2"/>
        <v>3.9963807835437848E-2</v>
      </c>
      <c r="G100" s="69">
        <v>45749</v>
      </c>
      <c r="H100" s="50">
        <v>23332.349609375</v>
      </c>
      <c r="I100" s="55">
        <f t="shared" si="3"/>
        <v>7.1938424586863725E-3</v>
      </c>
    </row>
    <row r="101" spans="2:9" x14ac:dyDescent="0.25">
      <c r="B101" s="68">
        <v>45750</v>
      </c>
      <c r="C101" s="50">
        <v>345.20001220703119</v>
      </c>
      <c r="D101" s="15">
        <f t="shared" si="2"/>
        <v>1.1601636549436467E-3</v>
      </c>
      <c r="G101" s="69">
        <v>45750</v>
      </c>
      <c r="H101" s="50">
        <v>23250.099609375</v>
      </c>
      <c r="I101" s="55">
        <f t="shared" si="3"/>
        <v>-3.5251486188494496E-3</v>
      </c>
    </row>
    <row r="102" spans="2:9" x14ac:dyDescent="0.25">
      <c r="B102" s="68">
        <v>45751</v>
      </c>
      <c r="C102" s="50">
        <v>337.20001220703119</v>
      </c>
      <c r="D102" s="15">
        <f t="shared" si="2"/>
        <v>-2.3174970211768287E-2</v>
      </c>
      <c r="G102" s="69">
        <v>45751</v>
      </c>
      <c r="H102" s="50">
        <v>22904.44921875</v>
      </c>
      <c r="I102" s="55">
        <f t="shared" si="3"/>
        <v>-1.4866619775066536E-2</v>
      </c>
    </row>
    <row r="103" spans="2:9" x14ac:dyDescent="0.25">
      <c r="B103" s="68">
        <v>45754</v>
      </c>
      <c r="C103" s="50">
        <v>321.75</v>
      </c>
      <c r="D103" s="15">
        <f t="shared" si="2"/>
        <v>-4.5818539880554066E-2</v>
      </c>
      <c r="G103" s="69">
        <v>45754</v>
      </c>
      <c r="H103" s="50">
        <v>22161.599609375</v>
      </c>
      <c r="I103" s="55">
        <f t="shared" si="3"/>
        <v>-3.2432546283055363E-2</v>
      </c>
    </row>
    <row r="104" spans="2:9" x14ac:dyDescent="0.25">
      <c r="B104" s="68">
        <v>45755</v>
      </c>
      <c r="C104" s="50">
        <v>333.60000610351563</v>
      </c>
      <c r="D104" s="15">
        <f t="shared" si="2"/>
        <v>3.6829855799582312E-2</v>
      </c>
      <c r="G104" s="69">
        <v>45755</v>
      </c>
      <c r="H104" s="50">
        <v>22535.849609375</v>
      </c>
      <c r="I104" s="55">
        <f t="shared" si="3"/>
        <v>1.6887318902814252E-2</v>
      </c>
    </row>
    <row r="105" spans="2:9" x14ac:dyDescent="0.25">
      <c r="B105" s="68">
        <v>45756</v>
      </c>
      <c r="C105" s="50">
        <v>339.60000610351563</v>
      </c>
      <c r="D105" s="15">
        <f t="shared" si="2"/>
        <v>1.7985611181728256E-2</v>
      </c>
      <c r="G105" s="69">
        <v>45756</v>
      </c>
      <c r="H105" s="50">
        <v>22399.150390625</v>
      </c>
      <c r="I105" s="55">
        <f t="shared" si="3"/>
        <v>-6.0658560080705248E-3</v>
      </c>
    </row>
    <row r="106" spans="2:9" x14ac:dyDescent="0.25">
      <c r="B106" s="68">
        <v>45758</v>
      </c>
      <c r="C106" s="50">
        <v>332.75</v>
      </c>
      <c r="D106" s="15">
        <f t="shared" si="2"/>
        <v>-2.0170806773859851E-2</v>
      </c>
      <c r="G106" s="69">
        <v>45758</v>
      </c>
      <c r="H106" s="50">
        <v>22828.55078125</v>
      </c>
      <c r="I106" s="55">
        <f t="shared" si="3"/>
        <v>1.9170387409190415E-2</v>
      </c>
    </row>
    <row r="107" spans="2:9" x14ac:dyDescent="0.25">
      <c r="B107" s="68">
        <v>45762</v>
      </c>
      <c r="C107" s="50">
        <v>333.89999389648438</v>
      </c>
      <c r="D107" s="15">
        <f t="shared" si="2"/>
        <v>3.4560297415007213E-3</v>
      </c>
      <c r="G107" s="69">
        <v>45762</v>
      </c>
      <c r="H107" s="50">
        <v>23328.55078125</v>
      </c>
      <c r="I107" s="55">
        <f t="shared" si="3"/>
        <v>2.1902397782108451E-2</v>
      </c>
    </row>
    <row r="108" spans="2:9" x14ac:dyDescent="0.25">
      <c r="B108" s="68">
        <v>45763</v>
      </c>
      <c r="C108" s="50">
        <v>336.14999389648438</v>
      </c>
      <c r="D108" s="15">
        <f t="shared" si="2"/>
        <v>6.7385445975705061E-3</v>
      </c>
      <c r="G108" s="69">
        <v>45763</v>
      </c>
      <c r="H108" s="50">
        <v>23437.19921875</v>
      </c>
      <c r="I108" s="55">
        <f t="shared" si="3"/>
        <v>4.6573162010270508E-3</v>
      </c>
    </row>
    <row r="109" spans="2:9" x14ac:dyDescent="0.25">
      <c r="B109" s="68">
        <v>45764</v>
      </c>
      <c r="C109" s="50">
        <v>340.95001220703119</v>
      </c>
      <c r="D109" s="15">
        <f t="shared" si="2"/>
        <v>1.4279394311174531E-2</v>
      </c>
      <c r="G109" s="69">
        <v>45764</v>
      </c>
      <c r="H109" s="50">
        <v>23851.650390625</v>
      </c>
      <c r="I109" s="55">
        <f t="shared" si="3"/>
        <v>1.7683476937954135E-2</v>
      </c>
    </row>
    <row r="110" spans="2:9" x14ac:dyDescent="0.25">
      <c r="B110" s="68">
        <v>45768</v>
      </c>
      <c r="C110" s="50">
        <v>343.75</v>
      </c>
      <c r="D110" s="15">
        <f t="shared" si="2"/>
        <v>8.2123117545707114E-3</v>
      </c>
      <c r="G110" s="69">
        <v>45768</v>
      </c>
      <c r="H110" s="50">
        <v>24125.55078125</v>
      </c>
      <c r="I110" s="55">
        <f t="shared" si="3"/>
        <v>1.1483498464016417E-2</v>
      </c>
    </row>
    <row r="111" spans="2:9" x14ac:dyDescent="0.25">
      <c r="B111" s="68">
        <v>45769</v>
      </c>
      <c r="C111" s="50">
        <v>343.79998779296881</v>
      </c>
      <c r="D111" s="15">
        <f t="shared" si="2"/>
        <v>1.4541903409104329E-4</v>
      </c>
      <c r="G111" s="69">
        <v>45769</v>
      </c>
      <c r="H111" s="50">
        <v>24167.25</v>
      </c>
      <c r="I111" s="55">
        <f t="shared" si="3"/>
        <v>1.7284255654137493E-3</v>
      </c>
    </row>
    <row r="112" spans="2:9" x14ac:dyDescent="0.25">
      <c r="B112" s="68">
        <v>45770</v>
      </c>
      <c r="C112" s="50">
        <v>347.85000610351563</v>
      </c>
      <c r="D112" s="15">
        <f t="shared" si="2"/>
        <v>1.1780158389609108E-2</v>
      </c>
      <c r="G112" s="69">
        <v>45770</v>
      </c>
      <c r="H112" s="50">
        <v>24328.94921875</v>
      </c>
      <c r="I112" s="55">
        <f t="shared" si="3"/>
        <v>6.6908406521222208E-3</v>
      </c>
    </row>
    <row r="113" spans="2:9" x14ac:dyDescent="0.25">
      <c r="B113" s="68">
        <v>45771</v>
      </c>
      <c r="C113" s="50">
        <v>340.85000610351563</v>
      </c>
      <c r="D113" s="15">
        <f t="shared" si="2"/>
        <v>-2.0123616148268519E-2</v>
      </c>
      <c r="G113" s="69">
        <v>45771</v>
      </c>
      <c r="H113" s="50">
        <v>24246.69921875</v>
      </c>
      <c r="I113" s="55">
        <f t="shared" si="3"/>
        <v>-3.3807460922566923E-3</v>
      </c>
    </row>
    <row r="114" spans="2:9" x14ac:dyDescent="0.25">
      <c r="B114" s="68">
        <v>45772</v>
      </c>
      <c r="C114" s="50">
        <v>321.35000610351563</v>
      </c>
      <c r="D114" s="15">
        <f t="shared" si="2"/>
        <v>-5.7209915361063235E-2</v>
      </c>
      <c r="G114" s="69">
        <v>45772</v>
      </c>
      <c r="H114" s="50">
        <v>24039.349609375</v>
      </c>
      <c r="I114" s="55">
        <f t="shared" si="3"/>
        <v>-8.5516633626838701E-3</v>
      </c>
    </row>
    <row r="115" spans="2:9" x14ac:dyDescent="0.25">
      <c r="B115" s="68">
        <v>45775</v>
      </c>
      <c r="C115" s="50">
        <v>323.95001220703119</v>
      </c>
      <c r="D115" s="15">
        <f t="shared" si="2"/>
        <v>8.0908854959786947E-3</v>
      </c>
      <c r="G115" s="69">
        <v>45775</v>
      </c>
      <c r="H115" s="50">
        <v>24328.5</v>
      </c>
      <c r="I115" s="55">
        <f t="shared" si="3"/>
        <v>1.2028211882747275E-2</v>
      </c>
    </row>
    <row r="116" spans="2:9" x14ac:dyDescent="0.25">
      <c r="B116" s="68">
        <v>45776</v>
      </c>
      <c r="C116" s="50">
        <v>320.10000610351563</v>
      </c>
      <c r="D116" s="15">
        <f t="shared" si="2"/>
        <v>-1.188456847797581E-2</v>
      </c>
      <c r="G116" s="69">
        <v>45776</v>
      </c>
      <c r="H116" s="50">
        <v>24335.94921875</v>
      </c>
      <c r="I116" s="55">
        <f t="shared" si="3"/>
        <v>3.0619309657398119E-4</v>
      </c>
    </row>
    <row r="117" spans="2:9" x14ac:dyDescent="0.25">
      <c r="B117" s="68">
        <v>45777</v>
      </c>
      <c r="C117" s="50">
        <v>316.10000610351563</v>
      </c>
      <c r="D117" s="15">
        <f t="shared" si="2"/>
        <v>-1.2496094732052154E-2</v>
      </c>
      <c r="G117" s="69">
        <v>45777</v>
      </c>
      <c r="H117" s="50">
        <v>24334.19921875</v>
      </c>
      <c r="I117" s="55">
        <f t="shared" si="3"/>
        <v>-7.1910077731884847E-5</v>
      </c>
    </row>
    <row r="118" spans="2:9" x14ac:dyDescent="0.25">
      <c r="B118" s="68">
        <v>45779</v>
      </c>
      <c r="C118" s="50">
        <v>305.35000610351563</v>
      </c>
      <c r="D118" s="15">
        <f t="shared" si="2"/>
        <v>-3.4008224588517155E-2</v>
      </c>
      <c r="G118" s="69">
        <v>45779</v>
      </c>
      <c r="H118" s="50">
        <v>24346.69921875</v>
      </c>
      <c r="I118" s="55">
        <f t="shared" si="3"/>
        <v>5.1368035116472477E-4</v>
      </c>
    </row>
    <row r="119" spans="2:9" x14ac:dyDescent="0.25">
      <c r="B119" s="68">
        <v>45782</v>
      </c>
      <c r="C119" s="50">
        <v>343.85000610351563</v>
      </c>
      <c r="D119" s="15">
        <f t="shared" si="2"/>
        <v>0.12608481817730266</v>
      </c>
      <c r="G119" s="69">
        <v>45782</v>
      </c>
      <c r="H119" s="50">
        <v>24461.150390625</v>
      </c>
      <c r="I119" s="55">
        <f t="shared" si="3"/>
        <v>4.700890697612925E-3</v>
      </c>
    </row>
    <row r="120" spans="2:9" x14ac:dyDescent="0.25">
      <c r="B120" s="68">
        <v>45783</v>
      </c>
      <c r="C120" s="50">
        <v>342.29998779296881</v>
      </c>
      <c r="D120" s="15">
        <f t="shared" si="2"/>
        <v>-4.5078327265760665E-3</v>
      </c>
      <c r="G120" s="69">
        <v>45783</v>
      </c>
      <c r="H120" s="50">
        <v>24379.599609375</v>
      </c>
      <c r="I120" s="55">
        <f t="shared" si="3"/>
        <v>-3.3338898599493128E-3</v>
      </c>
    </row>
    <row r="121" spans="2:9" x14ac:dyDescent="0.25">
      <c r="B121" s="68">
        <v>45784</v>
      </c>
      <c r="C121" s="50">
        <v>328.85000610351563</v>
      </c>
      <c r="D121" s="15">
        <f t="shared" si="2"/>
        <v>-3.9292965729195606E-2</v>
      </c>
      <c r="G121" s="69">
        <v>45784</v>
      </c>
      <c r="H121" s="50">
        <v>24414.400390625</v>
      </c>
      <c r="I121" s="55">
        <f t="shared" si="3"/>
        <v>1.4274549954715887E-3</v>
      </c>
    </row>
    <row r="122" spans="2:9" x14ac:dyDescent="0.25">
      <c r="B122" s="68">
        <v>45785</v>
      </c>
      <c r="C122" s="50">
        <v>314.60000610351563</v>
      </c>
      <c r="D122" s="15">
        <f t="shared" si="2"/>
        <v>-4.3332825712383838E-2</v>
      </c>
      <c r="G122" s="69">
        <v>45785</v>
      </c>
      <c r="H122" s="50">
        <v>24273.80078125</v>
      </c>
      <c r="I122" s="55">
        <f t="shared" si="3"/>
        <v>-5.7588802970967023E-3</v>
      </c>
    </row>
    <row r="123" spans="2:9" x14ac:dyDescent="0.25">
      <c r="B123" s="68">
        <v>45786</v>
      </c>
      <c r="C123" s="50">
        <v>313.20001220703119</v>
      </c>
      <c r="D123" s="15">
        <f t="shared" si="2"/>
        <v>-4.45007587197499E-3</v>
      </c>
      <c r="G123" s="69">
        <v>45786</v>
      </c>
      <c r="H123" s="50">
        <v>24008</v>
      </c>
      <c r="I123" s="55">
        <f t="shared" si="3"/>
        <v>-1.09501096942064E-2</v>
      </c>
    </row>
    <row r="124" spans="2:9" x14ac:dyDescent="0.25">
      <c r="B124" s="68">
        <v>45789</v>
      </c>
      <c r="C124" s="50">
        <v>320.5</v>
      </c>
      <c r="D124" s="15">
        <f t="shared" si="2"/>
        <v>2.3307750665550353E-2</v>
      </c>
      <c r="G124" s="69">
        <v>45789</v>
      </c>
      <c r="H124" s="50">
        <v>24924.69921875</v>
      </c>
      <c r="I124" s="55">
        <f t="shared" si="3"/>
        <v>3.8183073090219954E-2</v>
      </c>
    </row>
    <row r="125" spans="2:9" x14ac:dyDescent="0.25">
      <c r="B125" s="68">
        <v>45790</v>
      </c>
      <c r="C125" s="50">
        <v>310.45001220703119</v>
      </c>
      <c r="D125" s="15">
        <f t="shared" si="2"/>
        <v>-3.1357216202710814E-2</v>
      </c>
      <c r="G125" s="69">
        <v>45790</v>
      </c>
      <c r="H125" s="50">
        <v>24578.349609375</v>
      </c>
      <c r="I125" s="55">
        <f t="shared" si="3"/>
        <v>-1.389583907654357E-2</v>
      </c>
    </row>
    <row r="126" spans="2:9" x14ac:dyDescent="0.25">
      <c r="B126" s="68">
        <v>45791</v>
      </c>
      <c r="C126" s="50">
        <v>307.35000610351563</v>
      </c>
      <c r="D126" s="15">
        <f t="shared" si="2"/>
        <v>-9.9855241798098016E-3</v>
      </c>
      <c r="G126" s="69">
        <v>45791</v>
      </c>
      <c r="H126" s="50">
        <v>24666.900390625</v>
      </c>
      <c r="I126" s="55">
        <f t="shared" si="3"/>
        <v>3.6027960647213586E-3</v>
      </c>
    </row>
    <row r="127" spans="2:9" x14ac:dyDescent="0.25">
      <c r="B127" s="68">
        <v>45792</v>
      </c>
      <c r="C127" s="50">
        <v>316.14999389648438</v>
      </c>
      <c r="D127" s="15">
        <f t="shared" si="2"/>
        <v>2.8631812650769639E-2</v>
      </c>
      <c r="G127" s="69">
        <v>45792</v>
      </c>
      <c r="H127" s="50">
        <v>25062.099609375</v>
      </c>
      <c r="I127" s="55">
        <f t="shared" si="3"/>
        <v>1.6021438141461841E-2</v>
      </c>
    </row>
    <row r="128" spans="2:9" x14ac:dyDescent="0.25">
      <c r="B128" s="68">
        <v>45793</v>
      </c>
      <c r="C128" s="50">
        <v>321.14999389648438</v>
      </c>
      <c r="D128" s="15">
        <f t="shared" si="2"/>
        <v>1.5815277863447053E-2</v>
      </c>
      <c r="G128" s="69">
        <v>45793</v>
      </c>
      <c r="H128" s="50">
        <v>25019.80078125</v>
      </c>
      <c r="I128" s="55">
        <f t="shared" si="3"/>
        <v>-1.6877607536591732E-3</v>
      </c>
    </row>
    <row r="129" spans="2:9" x14ac:dyDescent="0.25">
      <c r="B129" s="68">
        <v>45796</v>
      </c>
      <c r="C129" s="50">
        <v>323.60000610351563</v>
      </c>
      <c r="D129" s="15">
        <f t="shared" si="2"/>
        <v>7.6288720336110671E-3</v>
      </c>
      <c r="G129" s="69">
        <v>45796</v>
      </c>
      <c r="H129" s="50">
        <v>24945.44921875</v>
      </c>
      <c r="I129" s="55">
        <f t="shared" si="3"/>
        <v>-2.9717088137536374E-3</v>
      </c>
    </row>
    <row r="130" spans="2:9" x14ac:dyDescent="0.25">
      <c r="B130" s="68">
        <v>45797</v>
      </c>
      <c r="C130" s="50">
        <v>311.45001220703119</v>
      </c>
      <c r="D130" s="15">
        <f t="shared" si="2"/>
        <v>-3.7546333953398681E-2</v>
      </c>
      <c r="G130" s="69">
        <v>45797</v>
      </c>
      <c r="H130" s="50">
        <v>24683.900390625</v>
      </c>
      <c r="I130" s="55">
        <f t="shared" si="3"/>
        <v>-1.0484831354666824E-2</v>
      </c>
    </row>
    <row r="131" spans="2:9" x14ac:dyDescent="0.25">
      <c r="B131" s="68">
        <v>45798</v>
      </c>
      <c r="C131" s="50">
        <v>313.89999389648438</v>
      </c>
      <c r="D131" s="15">
        <f t="shared" si="2"/>
        <v>7.8663721092571137E-3</v>
      </c>
      <c r="G131" s="69">
        <v>45798</v>
      </c>
      <c r="H131" s="50">
        <v>24813.44921875</v>
      </c>
      <c r="I131" s="55">
        <f t="shared" si="3"/>
        <v>5.2483127088862602E-3</v>
      </c>
    </row>
    <row r="132" spans="2:9" x14ac:dyDescent="0.25">
      <c r="B132" s="68">
        <v>45799</v>
      </c>
      <c r="C132" s="50">
        <v>314.89999389648438</v>
      </c>
      <c r="D132" s="15">
        <f t="shared" si="2"/>
        <v>3.1857280007778765E-3</v>
      </c>
      <c r="G132" s="69">
        <v>45799</v>
      </c>
      <c r="H132" s="50">
        <v>24609.69921875</v>
      </c>
      <c r="I132" s="55">
        <f t="shared" si="3"/>
        <v>-8.2112727740422109E-3</v>
      </c>
    </row>
    <row r="133" spans="2:9" x14ac:dyDescent="0.25">
      <c r="B133" s="68">
        <v>45800</v>
      </c>
      <c r="C133" s="50">
        <v>323.64999389648438</v>
      </c>
      <c r="D133" s="15">
        <f t="shared" si="2"/>
        <v>2.778659945886286E-2</v>
      </c>
      <c r="G133" s="69">
        <v>45800</v>
      </c>
      <c r="H133" s="50">
        <v>24853.150390625</v>
      </c>
      <c r="I133" s="55">
        <f t="shared" si="3"/>
        <v>9.8924887180058541E-3</v>
      </c>
    </row>
    <row r="134" spans="2:9" x14ac:dyDescent="0.25">
      <c r="B134" s="68">
        <v>45803</v>
      </c>
      <c r="C134" s="50">
        <v>321</v>
      </c>
      <c r="D134" s="15">
        <f t="shared" si="2"/>
        <v>-8.1878385492321071E-3</v>
      </c>
      <c r="G134" s="69">
        <v>45803</v>
      </c>
      <c r="H134" s="50">
        <v>25001.150390625</v>
      </c>
      <c r="I134" s="55">
        <f t="shared" si="3"/>
        <v>5.9549794562796521E-3</v>
      </c>
    </row>
    <row r="135" spans="2:9" x14ac:dyDescent="0.25">
      <c r="B135" s="68">
        <v>45804</v>
      </c>
      <c r="C135" s="50">
        <v>320.25</v>
      </c>
      <c r="D135" s="15">
        <f t="shared" si="2"/>
        <v>-2.3364485981308691E-3</v>
      </c>
      <c r="G135" s="69">
        <v>45804</v>
      </c>
      <c r="H135" s="50">
        <v>24826.19921875</v>
      </c>
      <c r="I135" s="55">
        <f t="shared" si="3"/>
        <v>-6.9977248703164685E-3</v>
      </c>
    </row>
    <row r="136" spans="2:9" x14ac:dyDescent="0.25">
      <c r="B136" s="68">
        <v>45805</v>
      </c>
      <c r="C136" s="50">
        <v>320.25</v>
      </c>
      <c r="D136" s="15">
        <f t="shared" si="2"/>
        <v>0</v>
      </c>
      <c r="G136" s="69">
        <v>45805</v>
      </c>
      <c r="H136" s="50">
        <v>24752.44921875</v>
      </c>
      <c r="I136" s="55">
        <f t="shared" si="3"/>
        <v>-2.9706520659956714E-3</v>
      </c>
    </row>
    <row r="137" spans="2:9" x14ac:dyDescent="0.25">
      <c r="B137" s="68">
        <v>45806</v>
      </c>
      <c r="C137" s="50">
        <v>329.20001220703119</v>
      </c>
      <c r="D137" s="15">
        <f t="shared" ref="D137:D200" si="4">C137/C136-1</f>
        <v>2.7946954588700113E-2</v>
      </c>
      <c r="G137" s="69">
        <v>45806</v>
      </c>
      <c r="H137" s="50">
        <v>24833.599609375</v>
      </c>
      <c r="I137" s="55">
        <f t="shared" si="3"/>
        <v>3.2784792287758879E-3</v>
      </c>
    </row>
    <row r="138" spans="2:9" x14ac:dyDescent="0.25">
      <c r="B138" s="68">
        <v>45807</v>
      </c>
      <c r="C138" s="50">
        <v>332.85000610351563</v>
      </c>
      <c r="D138" s="15">
        <f t="shared" si="4"/>
        <v>1.1087465860083245E-2</v>
      </c>
      <c r="G138" s="69">
        <v>45807</v>
      </c>
      <c r="H138" s="50">
        <v>24750.69921875</v>
      </c>
      <c r="I138" s="55">
        <f t="shared" ref="I138:I201" si="5">H138/H137-1</f>
        <v>-3.3382349691143398E-3</v>
      </c>
    </row>
    <row r="139" spans="2:9" x14ac:dyDescent="0.25">
      <c r="B139" s="68">
        <v>45810</v>
      </c>
      <c r="C139" s="50">
        <v>333.39999389648438</v>
      </c>
      <c r="D139" s="15">
        <f t="shared" si="4"/>
        <v>1.6523592695916189E-3</v>
      </c>
      <c r="G139" s="69">
        <v>45810</v>
      </c>
      <c r="H139" s="50">
        <v>24716.599609375</v>
      </c>
      <c r="I139" s="55">
        <f t="shared" si="5"/>
        <v>-1.3777230725331435E-3</v>
      </c>
    </row>
    <row r="140" spans="2:9" x14ac:dyDescent="0.25">
      <c r="B140" s="68">
        <v>45811</v>
      </c>
      <c r="C140" s="50">
        <v>333.39999389648438</v>
      </c>
      <c r="D140" s="15">
        <f t="shared" si="4"/>
        <v>0</v>
      </c>
      <c r="G140" s="69">
        <v>45811</v>
      </c>
      <c r="H140" s="50">
        <v>24542.5</v>
      </c>
      <c r="I140" s="55">
        <f t="shared" si="5"/>
        <v>-7.0438333802584907E-3</v>
      </c>
    </row>
    <row r="141" spans="2:9" x14ac:dyDescent="0.25">
      <c r="B141" s="68">
        <v>45812</v>
      </c>
      <c r="C141" s="50">
        <v>362.5</v>
      </c>
      <c r="D141" s="15">
        <f t="shared" si="4"/>
        <v>8.7282563396059221E-2</v>
      </c>
      <c r="G141" s="69">
        <v>45812</v>
      </c>
      <c r="H141" s="50">
        <v>24620.19921875</v>
      </c>
      <c r="I141" s="55">
        <f t="shared" si="5"/>
        <v>3.1659048079861751E-3</v>
      </c>
    </row>
    <row r="142" spans="2:9" x14ac:dyDescent="0.25">
      <c r="B142" s="68">
        <v>45813</v>
      </c>
      <c r="C142" s="50">
        <v>364.20001220703119</v>
      </c>
      <c r="D142" s="15">
        <f t="shared" si="4"/>
        <v>4.6896888469825093E-3</v>
      </c>
      <c r="G142" s="69">
        <v>45813</v>
      </c>
      <c r="H142" s="50">
        <v>24750.900390625</v>
      </c>
      <c r="I142" s="55">
        <f t="shared" si="5"/>
        <v>5.3086967621067682E-3</v>
      </c>
    </row>
    <row r="143" spans="2:9" x14ac:dyDescent="0.25">
      <c r="B143" s="68">
        <v>45814</v>
      </c>
      <c r="C143" s="50">
        <v>374.75</v>
      </c>
      <c r="D143" s="15">
        <f t="shared" si="4"/>
        <v>2.8967565731358613E-2</v>
      </c>
      <c r="G143" s="69">
        <v>45814</v>
      </c>
      <c r="H143" s="50">
        <v>25003.05078125</v>
      </c>
      <c r="I143" s="55">
        <f t="shared" si="5"/>
        <v>1.018752395450262E-2</v>
      </c>
    </row>
    <row r="144" spans="2:9" x14ac:dyDescent="0.25">
      <c r="B144" s="68">
        <v>45817</v>
      </c>
      <c r="C144" s="50">
        <v>364.5</v>
      </c>
      <c r="D144" s="15">
        <f t="shared" si="4"/>
        <v>-2.7351567711807911E-2</v>
      </c>
      <c r="G144" s="69">
        <v>45817</v>
      </c>
      <c r="H144" s="50">
        <v>25103.19921875</v>
      </c>
      <c r="I144" s="55">
        <f t="shared" si="5"/>
        <v>4.0054487100871228E-3</v>
      </c>
    </row>
    <row r="145" spans="2:9" x14ac:dyDescent="0.25">
      <c r="B145" s="68">
        <v>45818</v>
      </c>
      <c r="C145" s="50">
        <v>361.14999389648438</v>
      </c>
      <c r="D145" s="15">
        <f t="shared" si="4"/>
        <v>-9.1906888985339164E-3</v>
      </c>
      <c r="G145" s="69">
        <v>45818</v>
      </c>
      <c r="H145" s="50">
        <v>25104.25</v>
      </c>
      <c r="I145" s="55">
        <f t="shared" si="5"/>
        <v>4.1858459586929797E-5</v>
      </c>
    </row>
    <row r="146" spans="2:9" x14ac:dyDescent="0.25">
      <c r="B146" s="68">
        <v>45819</v>
      </c>
      <c r="C146" s="50">
        <v>356.04998779296881</v>
      </c>
      <c r="D146" s="15">
        <f t="shared" si="4"/>
        <v>-1.4121573278988775E-2</v>
      </c>
      <c r="G146" s="69">
        <v>45819</v>
      </c>
      <c r="H146" s="50">
        <v>25141.400390625</v>
      </c>
      <c r="I146" s="55">
        <f t="shared" si="5"/>
        <v>1.4798446727146697E-3</v>
      </c>
    </row>
    <row r="147" spans="2:9" x14ac:dyDescent="0.25">
      <c r="B147" s="68">
        <v>45820</v>
      </c>
      <c r="C147" s="50">
        <v>356.45001220703119</v>
      </c>
      <c r="D147" s="15">
        <f t="shared" si="4"/>
        <v>1.1235063271368695E-3</v>
      </c>
      <c r="G147" s="69">
        <v>45820</v>
      </c>
      <c r="H147" s="50">
        <v>24888.19921875</v>
      </c>
      <c r="I147" s="55">
        <f t="shared" si="5"/>
        <v>-1.0071084662786611E-2</v>
      </c>
    </row>
    <row r="148" spans="2:9" x14ac:dyDescent="0.25">
      <c r="B148" s="68">
        <v>45821</v>
      </c>
      <c r="C148" s="50">
        <v>354.35000610351563</v>
      </c>
      <c r="D148" s="15">
        <f t="shared" si="4"/>
        <v>-5.8914462942867285E-3</v>
      </c>
      <c r="G148" s="69">
        <v>45821</v>
      </c>
      <c r="H148" s="50">
        <v>24718.599609375</v>
      </c>
      <c r="I148" s="55">
        <f t="shared" si="5"/>
        <v>-6.8144588479197576E-3</v>
      </c>
    </row>
    <row r="149" spans="2:9" x14ac:dyDescent="0.25">
      <c r="B149" s="68">
        <v>45824</v>
      </c>
      <c r="C149" s="50">
        <v>361.10000610351563</v>
      </c>
      <c r="D149" s="15">
        <f t="shared" si="4"/>
        <v>1.9048962561688532E-2</v>
      </c>
      <c r="G149" s="69">
        <v>45824</v>
      </c>
      <c r="H149" s="50">
        <v>24946.5</v>
      </c>
      <c r="I149" s="55">
        <f t="shared" si="5"/>
        <v>9.2197937677085395E-3</v>
      </c>
    </row>
    <row r="150" spans="2:9" x14ac:dyDescent="0.25">
      <c r="B150" s="68">
        <v>45825</v>
      </c>
      <c r="C150" s="50">
        <v>355.85000610351563</v>
      </c>
      <c r="D150" s="15">
        <f t="shared" si="4"/>
        <v>-1.4538908643759507E-2</v>
      </c>
      <c r="G150" s="69">
        <v>45825</v>
      </c>
      <c r="H150" s="50">
        <v>24853.400390625</v>
      </c>
      <c r="I150" s="55">
        <f t="shared" si="5"/>
        <v>-3.7319707924959866E-3</v>
      </c>
    </row>
    <row r="151" spans="2:9" x14ac:dyDescent="0.25">
      <c r="B151" s="68">
        <v>45826</v>
      </c>
      <c r="C151" s="50">
        <v>365.29998779296881</v>
      </c>
      <c r="D151" s="15">
        <f t="shared" si="4"/>
        <v>2.65560812909027E-2</v>
      </c>
      <c r="G151" s="69">
        <v>45826</v>
      </c>
      <c r="H151" s="50">
        <v>24812.05078125</v>
      </c>
      <c r="I151" s="55">
        <f t="shared" si="5"/>
        <v>-1.6637405234334324E-3</v>
      </c>
    </row>
    <row r="152" spans="2:9" x14ac:dyDescent="0.25">
      <c r="B152" s="68">
        <v>45827</v>
      </c>
      <c r="C152" s="50">
        <v>374.29998779296881</v>
      </c>
      <c r="D152" s="15">
        <f t="shared" si="4"/>
        <v>2.4637285247051999E-2</v>
      </c>
      <c r="G152" s="69">
        <v>45827</v>
      </c>
      <c r="H152" s="50">
        <v>24793.25</v>
      </c>
      <c r="I152" s="55">
        <f t="shared" si="5"/>
        <v>-7.5772782410266082E-4</v>
      </c>
    </row>
    <row r="153" spans="2:9" x14ac:dyDescent="0.25">
      <c r="B153" s="68">
        <v>45828</v>
      </c>
      <c r="C153" s="50">
        <v>390.10000610351563</v>
      </c>
      <c r="D153" s="15">
        <f t="shared" si="4"/>
        <v>4.2212179604147027E-2</v>
      </c>
      <c r="G153" s="69">
        <v>45828</v>
      </c>
      <c r="H153" s="50">
        <v>25112.400390625</v>
      </c>
      <c r="I153" s="55">
        <f t="shared" si="5"/>
        <v>1.287247095983779E-2</v>
      </c>
    </row>
    <row r="154" spans="2:9" x14ac:dyDescent="0.25">
      <c r="B154" s="68">
        <v>45831</v>
      </c>
      <c r="C154" s="50">
        <v>389.04998779296881</v>
      </c>
      <c r="D154" s="15">
        <f t="shared" si="4"/>
        <v>-2.6916644299364023E-3</v>
      </c>
      <c r="G154" s="69">
        <v>45831</v>
      </c>
      <c r="H154" s="50">
        <v>24971.900390625</v>
      </c>
      <c r="I154" s="55">
        <f t="shared" si="5"/>
        <v>-5.5948454872697395E-3</v>
      </c>
    </row>
    <row r="155" spans="2:9" x14ac:dyDescent="0.25">
      <c r="B155" s="68">
        <v>45832</v>
      </c>
      <c r="C155" s="50">
        <v>390.95001220703119</v>
      </c>
      <c r="D155" s="15">
        <f t="shared" si="4"/>
        <v>4.8837539485375725E-3</v>
      </c>
      <c r="G155" s="69">
        <v>45832</v>
      </c>
      <c r="H155" s="50">
        <v>25044.349609375</v>
      </c>
      <c r="I155" s="55">
        <f t="shared" si="5"/>
        <v>2.9012296868362597E-3</v>
      </c>
    </row>
    <row r="156" spans="2:9" x14ac:dyDescent="0.25">
      <c r="B156" s="68">
        <v>45833</v>
      </c>
      <c r="C156" s="50">
        <v>400.20001220703119</v>
      </c>
      <c r="D156" s="15">
        <f t="shared" si="4"/>
        <v>2.3660313879467543E-2</v>
      </c>
      <c r="G156" s="69">
        <v>45833</v>
      </c>
      <c r="H156" s="50">
        <v>25244.75</v>
      </c>
      <c r="I156" s="55">
        <f t="shared" si="5"/>
        <v>8.0018205204253068E-3</v>
      </c>
    </row>
    <row r="157" spans="2:9" x14ac:dyDescent="0.25">
      <c r="B157" s="68">
        <v>45834</v>
      </c>
      <c r="C157" s="50">
        <v>405.04998779296881</v>
      </c>
      <c r="D157" s="15">
        <f t="shared" si="4"/>
        <v>1.211887915542742E-2</v>
      </c>
      <c r="G157" s="69">
        <v>45834</v>
      </c>
      <c r="H157" s="50">
        <v>25549</v>
      </c>
      <c r="I157" s="55">
        <f t="shared" si="5"/>
        <v>1.2052010814129765E-2</v>
      </c>
    </row>
    <row r="158" spans="2:9" x14ac:dyDescent="0.25">
      <c r="B158" s="68">
        <v>45835</v>
      </c>
      <c r="C158" s="50">
        <v>407.14999389648438</v>
      </c>
      <c r="D158" s="15">
        <f t="shared" si="4"/>
        <v>5.1845603426827758E-3</v>
      </c>
      <c r="G158" s="69">
        <v>45835</v>
      </c>
      <c r="H158" s="50">
        <v>25637.80078125</v>
      </c>
      <c r="I158" s="55">
        <f t="shared" si="5"/>
        <v>3.4757047731810431E-3</v>
      </c>
    </row>
    <row r="159" spans="2:9" x14ac:dyDescent="0.25">
      <c r="B159" s="68">
        <v>45838</v>
      </c>
      <c r="C159" s="50">
        <v>400.35000610351563</v>
      </c>
      <c r="D159" s="15">
        <f t="shared" si="4"/>
        <v>-1.6701431646582776E-2</v>
      </c>
      <c r="G159" s="69">
        <v>45838</v>
      </c>
      <c r="H159" s="50">
        <v>25517.05078125</v>
      </c>
      <c r="I159" s="55">
        <f t="shared" si="5"/>
        <v>-4.7098423546652057E-3</v>
      </c>
    </row>
    <row r="160" spans="2:9" x14ac:dyDescent="0.25">
      <c r="B160" s="68">
        <v>45839</v>
      </c>
      <c r="C160" s="50">
        <v>393.60000610351563</v>
      </c>
      <c r="D160" s="15">
        <f t="shared" si="4"/>
        <v>-1.686024702658484E-2</v>
      </c>
      <c r="G160" s="69">
        <v>45839</v>
      </c>
      <c r="H160" s="50">
        <v>25541.80078125</v>
      </c>
      <c r="I160" s="55">
        <f t="shared" si="5"/>
        <v>9.6993967728375985E-4</v>
      </c>
    </row>
    <row r="161" spans="2:9" x14ac:dyDescent="0.25">
      <c r="B161" s="68">
        <v>45840</v>
      </c>
      <c r="C161" s="50">
        <v>381.45001220703119</v>
      </c>
      <c r="D161" s="15">
        <f t="shared" si="4"/>
        <v>-3.0868886453444322E-2</v>
      </c>
      <c r="G161" s="69">
        <v>45840</v>
      </c>
      <c r="H161" s="50">
        <v>25453.400390625</v>
      </c>
      <c r="I161" s="55">
        <f t="shared" si="5"/>
        <v>-3.4610085397696055E-3</v>
      </c>
    </row>
    <row r="162" spans="2:9" x14ac:dyDescent="0.25">
      <c r="B162" s="68">
        <v>45841</v>
      </c>
      <c r="C162" s="50">
        <v>386.04998779296881</v>
      </c>
      <c r="D162" s="15">
        <f t="shared" si="4"/>
        <v>1.2059183218589009E-2</v>
      </c>
      <c r="G162" s="69">
        <v>45841</v>
      </c>
      <c r="H162" s="50">
        <v>25405.30078125</v>
      </c>
      <c r="I162" s="55">
        <f t="shared" si="5"/>
        <v>-1.8897125192245401E-3</v>
      </c>
    </row>
    <row r="163" spans="2:9" x14ac:dyDescent="0.25">
      <c r="B163" s="68">
        <v>45842</v>
      </c>
      <c r="C163" s="50">
        <v>383.54998779296881</v>
      </c>
      <c r="D163" s="15">
        <f t="shared" si="4"/>
        <v>-6.4758453025536289E-3</v>
      </c>
      <c r="G163" s="69">
        <v>45842</v>
      </c>
      <c r="H163" s="50">
        <v>25461</v>
      </c>
      <c r="I163" s="55">
        <f t="shared" si="5"/>
        <v>2.1924250859925998E-3</v>
      </c>
    </row>
    <row r="164" spans="2:9" x14ac:dyDescent="0.25">
      <c r="B164" s="68">
        <v>45845</v>
      </c>
      <c r="C164" s="50">
        <v>376.79998779296881</v>
      </c>
      <c r="D164" s="15">
        <f t="shared" si="4"/>
        <v>-1.7598749093543198E-2</v>
      </c>
      <c r="G164" s="69">
        <v>45845</v>
      </c>
      <c r="H164" s="50">
        <v>25461.30078125</v>
      </c>
      <c r="I164" s="55">
        <f t="shared" si="5"/>
        <v>1.1813410706551508E-5</v>
      </c>
    </row>
    <row r="165" spans="2:9" x14ac:dyDescent="0.25">
      <c r="B165" s="68">
        <v>45846</v>
      </c>
      <c r="C165" s="50">
        <v>381.39999389648438</v>
      </c>
      <c r="D165" s="15">
        <f t="shared" si="4"/>
        <v>1.2208084534341967E-2</v>
      </c>
      <c r="G165" s="69">
        <v>45846</v>
      </c>
      <c r="H165" s="50">
        <v>25522.5</v>
      </c>
      <c r="I165" s="55">
        <f t="shared" si="5"/>
        <v>2.4036171315751087E-3</v>
      </c>
    </row>
    <row r="166" spans="2:9" x14ac:dyDescent="0.25">
      <c r="B166" s="68">
        <v>45847</v>
      </c>
      <c r="C166" s="50">
        <v>380.35000610351563</v>
      </c>
      <c r="D166" s="15">
        <f t="shared" si="4"/>
        <v>-2.7529832453372372E-3</v>
      </c>
      <c r="G166" s="69">
        <v>45847</v>
      </c>
      <c r="H166" s="50">
        <v>25476.099609375</v>
      </c>
      <c r="I166" s="55">
        <f t="shared" si="5"/>
        <v>-1.8180190273288099E-3</v>
      </c>
    </row>
    <row r="167" spans="2:9" x14ac:dyDescent="0.25">
      <c r="B167" s="68">
        <v>45848</v>
      </c>
      <c r="C167" s="50">
        <v>384.79998779296881</v>
      </c>
      <c r="D167" s="15">
        <f t="shared" si="4"/>
        <v>1.1699701900996118E-2</v>
      </c>
      <c r="G167" s="69">
        <v>45848</v>
      </c>
      <c r="H167" s="50">
        <v>25355.25</v>
      </c>
      <c r="I167" s="55">
        <f t="shared" si="5"/>
        <v>-4.7436464461980687E-3</v>
      </c>
    </row>
    <row r="168" spans="2:9" x14ac:dyDescent="0.25">
      <c r="B168" s="68">
        <v>45849</v>
      </c>
      <c r="C168" s="50">
        <v>385.14999389648438</v>
      </c>
      <c r="D168" s="15">
        <f t="shared" si="4"/>
        <v>9.0957929994495146E-4</v>
      </c>
      <c r="G168" s="69">
        <v>45849</v>
      </c>
      <c r="H168" s="50">
        <v>25149.849609375</v>
      </c>
      <c r="I168" s="55">
        <f t="shared" si="5"/>
        <v>-8.1009018102760066E-3</v>
      </c>
    </row>
    <row r="169" spans="2:9" x14ac:dyDescent="0.25">
      <c r="B169" s="68">
        <v>45852</v>
      </c>
      <c r="C169" s="50">
        <v>393.29998779296881</v>
      </c>
      <c r="D169" s="15">
        <f t="shared" si="4"/>
        <v>2.1160571272590634E-2</v>
      </c>
      <c r="G169" s="69">
        <v>45852</v>
      </c>
      <c r="H169" s="50">
        <v>25082.30078125</v>
      </c>
      <c r="I169" s="55">
        <f t="shared" si="5"/>
        <v>-2.685854157148504E-3</v>
      </c>
    </row>
    <row r="170" spans="2:9" x14ac:dyDescent="0.25">
      <c r="B170" s="68">
        <v>45853</v>
      </c>
      <c r="C170" s="50">
        <v>388.60000610351563</v>
      </c>
      <c r="D170" s="15">
        <f t="shared" si="4"/>
        <v>-1.1950119082961286E-2</v>
      </c>
      <c r="G170" s="69">
        <v>45853</v>
      </c>
      <c r="H170" s="50">
        <v>25195.80078125</v>
      </c>
      <c r="I170" s="55">
        <f t="shared" si="5"/>
        <v>4.5251032187942908E-3</v>
      </c>
    </row>
    <row r="171" spans="2:9" x14ac:dyDescent="0.25">
      <c r="B171" s="68">
        <v>45854</v>
      </c>
      <c r="C171" s="50">
        <v>389.79998779296881</v>
      </c>
      <c r="D171" s="15">
        <f t="shared" si="4"/>
        <v>3.0879610669216628E-3</v>
      </c>
      <c r="G171" s="69">
        <v>45854</v>
      </c>
      <c r="H171" s="50">
        <v>25212.05078125</v>
      </c>
      <c r="I171" s="55">
        <f t="shared" si="5"/>
        <v>6.4494874130338609E-4</v>
      </c>
    </row>
    <row r="172" spans="2:9" x14ac:dyDescent="0.25">
      <c r="B172" s="68">
        <v>45855</v>
      </c>
      <c r="C172" s="50">
        <v>385.60000610351563</v>
      </c>
      <c r="D172" s="15">
        <f t="shared" si="4"/>
        <v>-1.0774709648487479E-2</v>
      </c>
      <c r="G172" s="69">
        <v>45855</v>
      </c>
      <c r="H172" s="50">
        <v>25111.44921875</v>
      </c>
      <c r="I172" s="55">
        <f t="shared" si="5"/>
        <v>-3.9902173517283313E-3</v>
      </c>
    </row>
    <row r="173" spans="2:9" x14ac:dyDescent="0.25">
      <c r="B173" s="68">
        <v>45856</v>
      </c>
      <c r="C173" s="50">
        <v>388.64999389648438</v>
      </c>
      <c r="D173" s="15">
        <f t="shared" si="4"/>
        <v>7.9097192549058004E-3</v>
      </c>
      <c r="G173" s="69">
        <v>45856</v>
      </c>
      <c r="H173" s="50">
        <v>24968.400390625</v>
      </c>
      <c r="I173" s="55">
        <f t="shared" si="5"/>
        <v>-5.6965580472427835E-3</v>
      </c>
    </row>
    <row r="174" spans="2:9" x14ac:dyDescent="0.25">
      <c r="B174" s="68">
        <v>45859</v>
      </c>
      <c r="C174" s="50">
        <v>395.5</v>
      </c>
      <c r="D174" s="15">
        <f t="shared" si="4"/>
        <v>1.7625128550343261E-2</v>
      </c>
      <c r="G174" s="69">
        <v>45859</v>
      </c>
      <c r="H174" s="50">
        <v>25090.69921875</v>
      </c>
      <c r="I174" s="55">
        <f t="shared" si="5"/>
        <v>4.8981443028652816E-3</v>
      </c>
    </row>
    <row r="175" spans="2:9" x14ac:dyDescent="0.25">
      <c r="B175" s="68">
        <v>45860</v>
      </c>
      <c r="C175" s="50">
        <v>417</v>
      </c>
      <c r="D175" s="15">
        <f t="shared" si="4"/>
        <v>5.436156763590394E-2</v>
      </c>
      <c r="G175" s="69">
        <v>45860</v>
      </c>
      <c r="H175" s="50">
        <v>25060.900390625</v>
      </c>
      <c r="I175" s="55">
        <f t="shared" si="5"/>
        <v>-1.1876443882732346E-3</v>
      </c>
    </row>
    <row r="176" spans="2:9" x14ac:dyDescent="0.25">
      <c r="B176" s="68">
        <v>45861</v>
      </c>
      <c r="C176" s="50">
        <v>418.89999389648438</v>
      </c>
      <c r="D176" s="15">
        <f t="shared" si="4"/>
        <v>4.5563402793389329E-3</v>
      </c>
      <c r="G176" s="69">
        <v>45861</v>
      </c>
      <c r="H176" s="50">
        <v>25219.900390625</v>
      </c>
      <c r="I176" s="55">
        <f t="shared" si="5"/>
        <v>6.3445445902445829E-3</v>
      </c>
    </row>
    <row r="177" spans="2:9" x14ac:dyDescent="0.25">
      <c r="B177" s="68">
        <v>45862</v>
      </c>
      <c r="C177" s="50">
        <v>419.04998779296881</v>
      </c>
      <c r="D177" s="15">
        <f t="shared" si="4"/>
        <v>3.5806612239164259E-4</v>
      </c>
      <c r="G177" s="69">
        <v>45862</v>
      </c>
      <c r="H177" s="50">
        <v>25062.099609375</v>
      </c>
      <c r="I177" s="55">
        <f t="shared" si="5"/>
        <v>-6.2569946274910748E-3</v>
      </c>
    </row>
    <row r="178" spans="2:9" x14ac:dyDescent="0.25">
      <c r="B178" s="68">
        <v>45863</v>
      </c>
      <c r="C178" s="50">
        <v>407.79998779296881</v>
      </c>
      <c r="D178" s="15">
        <f t="shared" si="4"/>
        <v>-2.6846439154552759E-2</v>
      </c>
      <c r="G178" s="69">
        <v>45863</v>
      </c>
      <c r="H178" s="50">
        <v>24837</v>
      </c>
      <c r="I178" s="55">
        <f t="shared" si="5"/>
        <v>-8.9816740370306514E-3</v>
      </c>
    </row>
    <row r="179" spans="2:9" x14ac:dyDescent="0.25">
      <c r="B179" s="68">
        <v>45866</v>
      </c>
      <c r="C179" s="50">
        <v>407</v>
      </c>
      <c r="D179" s="15">
        <f t="shared" si="4"/>
        <v>-1.9617160787531729E-3</v>
      </c>
      <c r="G179" s="69">
        <v>45866</v>
      </c>
      <c r="H179" s="50">
        <v>24680.900390625</v>
      </c>
      <c r="I179" s="55">
        <f t="shared" si="5"/>
        <v>-6.2849623293875778E-3</v>
      </c>
    </row>
    <row r="180" spans="2:9" x14ac:dyDescent="0.25">
      <c r="B180" s="68">
        <v>45867</v>
      </c>
      <c r="C180" s="50">
        <v>413.54998779296881</v>
      </c>
      <c r="D180" s="15">
        <f t="shared" si="4"/>
        <v>1.6093336100660549E-2</v>
      </c>
      <c r="G180" s="69">
        <v>45867</v>
      </c>
      <c r="H180" s="50">
        <v>24821.099609375</v>
      </c>
      <c r="I180" s="55">
        <f t="shared" si="5"/>
        <v>5.6804742343701253E-3</v>
      </c>
    </row>
    <row r="181" spans="2:9" x14ac:dyDescent="0.25">
      <c r="B181" s="68">
        <v>45868</v>
      </c>
      <c r="C181" s="50">
        <v>401.29998779296881</v>
      </c>
      <c r="D181" s="15">
        <f t="shared" si="4"/>
        <v>-2.9621570213012816E-2</v>
      </c>
      <c r="G181" s="69">
        <v>45868</v>
      </c>
      <c r="H181" s="50">
        <v>24855.05078125</v>
      </c>
      <c r="I181" s="55">
        <f t="shared" si="5"/>
        <v>1.367835124523431E-3</v>
      </c>
    </row>
    <row r="182" spans="2:9" x14ac:dyDescent="0.25">
      <c r="B182" s="68">
        <v>45869</v>
      </c>
      <c r="C182" s="50">
        <v>403.79998779296881</v>
      </c>
      <c r="D182" s="15">
        <f t="shared" si="4"/>
        <v>6.2297534912703068E-3</v>
      </c>
      <c r="G182" s="69">
        <v>45869</v>
      </c>
      <c r="H182" s="50">
        <v>24768.349609375</v>
      </c>
      <c r="I182" s="55">
        <f t="shared" si="5"/>
        <v>-3.4882717656889994E-3</v>
      </c>
    </row>
    <row r="183" spans="2:9" x14ac:dyDescent="0.25">
      <c r="B183" s="68">
        <v>45870</v>
      </c>
      <c r="C183" s="50">
        <v>392.29998779296881</v>
      </c>
      <c r="D183" s="15">
        <f t="shared" si="4"/>
        <v>-2.8479446130880381E-2</v>
      </c>
      <c r="G183" s="69">
        <v>45870</v>
      </c>
      <c r="H183" s="50">
        <v>24565.349609375</v>
      </c>
      <c r="I183" s="55">
        <f t="shared" si="5"/>
        <v>-8.1959437427822079E-3</v>
      </c>
    </row>
    <row r="184" spans="2:9" x14ac:dyDescent="0.25">
      <c r="B184" s="68">
        <v>45873</v>
      </c>
      <c r="C184" s="50">
        <v>399.10000610351563</v>
      </c>
      <c r="D184" s="15">
        <f t="shared" si="4"/>
        <v>1.7333720423502674E-2</v>
      </c>
      <c r="G184" s="69">
        <v>45873</v>
      </c>
      <c r="H184" s="50">
        <v>24722.75</v>
      </c>
      <c r="I184" s="55">
        <f t="shared" si="5"/>
        <v>6.4074150430544208E-3</v>
      </c>
    </row>
    <row r="185" spans="2:9" x14ac:dyDescent="0.25">
      <c r="B185" s="68">
        <v>45874</v>
      </c>
      <c r="C185" s="50">
        <v>385.75</v>
      </c>
      <c r="D185" s="15">
        <f t="shared" si="4"/>
        <v>-3.3450277873593892E-2</v>
      </c>
      <c r="G185" s="69">
        <v>45874</v>
      </c>
      <c r="H185" s="50">
        <v>24649.55078125</v>
      </c>
      <c r="I185" s="55">
        <f t="shared" si="5"/>
        <v>-2.9608040671041946E-3</v>
      </c>
    </row>
    <row r="186" spans="2:9" x14ac:dyDescent="0.25">
      <c r="B186" s="68">
        <v>45875</v>
      </c>
      <c r="C186" s="50">
        <v>394.04998779296881</v>
      </c>
      <c r="D186" s="15">
        <f t="shared" si="4"/>
        <v>2.1516494602641156E-2</v>
      </c>
      <c r="G186" s="69">
        <v>45875</v>
      </c>
      <c r="H186" s="50">
        <v>24574.19921875</v>
      </c>
      <c r="I186" s="55">
        <f t="shared" si="5"/>
        <v>-3.0569142281212658E-3</v>
      </c>
    </row>
    <row r="187" spans="2:9" x14ac:dyDescent="0.25">
      <c r="B187" s="68">
        <v>45876</v>
      </c>
      <c r="C187" s="50">
        <v>398.35000610351563</v>
      </c>
      <c r="D187" s="15">
        <f t="shared" si="4"/>
        <v>1.0912367577095461E-2</v>
      </c>
      <c r="G187" s="69">
        <v>45876</v>
      </c>
      <c r="H187" s="50">
        <v>24596.150390625</v>
      </c>
      <c r="I187" s="55">
        <f t="shared" si="5"/>
        <v>8.9326092295416437E-4</v>
      </c>
    </row>
    <row r="188" spans="2:9" x14ac:dyDescent="0.25">
      <c r="B188" s="68">
        <v>45877</v>
      </c>
      <c r="C188" s="50">
        <v>385.04998779296881</v>
      </c>
      <c r="D188" s="15">
        <f t="shared" si="4"/>
        <v>-3.3387769817406876E-2</v>
      </c>
      <c r="G188" s="69">
        <v>45877</v>
      </c>
      <c r="H188" s="50">
        <v>24363.30078125</v>
      </c>
      <c r="I188" s="55">
        <f t="shared" si="5"/>
        <v>-9.4669127354072291E-3</v>
      </c>
    </row>
    <row r="189" spans="2:9" x14ac:dyDescent="0.25">
      <c r="B189" s="68">
        <v>45880</v>
      </c>
      <c r="C189" s="50">
        <v>400.29998779296881</v>
      </c>
      <c r="D189" s="15">
        <f t="shared" si="4"/>
        <v>3.9605247327522353E-2</v>
      </c>
      <c r="G189" s="69">
        <v>45880</v>
      </c>
      <c r="H189" s="50">
        <v>24585.05078125</v>
      </c>
      <c r="I189" s="55">
        <f t="shared" si="5"/>
        <v>9.1018044718578217E-3</v>
      </c>
    </row>
    <row r="190" spans="2:9" x14ac:dyDescent="0.25">
      <c r="B190" s="68">
        <v>45881</v>
      </c>
      <c r="C190" s="50">
        <v>393.14999389648438</v>
      </c>
      <c r="D190" s="15">
        <f t="shared" si="4"/>
        <v>-1.7861589094482655E-2</v>
      </c>
      <c r="G190" s="69">
        <v>45881</v>
      </c>
      <c r="H190" s="50">
        <v>24487.400390625</v>
      </c>
      <c r="I190" s="55">
        <f t="shared" si="5"/>
        <v>-3.9719417907191357E-3</v>
      </c>
    </row>
    <row r="191" spans="2:9" x14ac:dyDescent="0.25">
      <c r="B191" s="68">
        <v>45882</v>
      </c>
      <c r="C191" s="50">
        <v>400.35000610351563</v>
      </c>
      <c r="D191" s="15">
        <f t="shared" si="4"/>
        <v>1.8313652089047228E-2</v>
      </c>
      <c r="G191" s="69">
        <v>45882</v>
      </c>
      <c r="H191" s="50">
        <v>24619.349609375</v>
      </c>
      <c r="I191" s="55">
        <f t="shared" si="5"/>
        <v>5.3884535167121328E-3</v>
      </c>
    </row>
    <row r="192" spans="2:9" x14ac:dyDescent="0.25">
      <c r="B192" s="68">
        <v>45883</v>
      </c>
      <c r="C192" s="50">
        <v>398.35000610351563</v>
      </c>
      <c r="D192" s="15">
        <f t="shared" si="4"/>
        <v>-4.9956287486176976E-3</v>
      </c>
      <c r="G192" s="69">
        <v>45883</v>
      </c>
      <c r="H192" s="50">
        <v>24631.30078125</v>
      </c>
      <c r="I192" s="55">
        <f t="shared" si="5"/>
        <v>4.8543816407109475E-4</v>
      </c>
    </row>
    <row r="193" spans="2:9" x14ac:dyDescent="0.25">
      <c r="B193" s="68">
        <v>45887</v>
      </c>
      <c r="C193" s="50">
        <v>399.79998779296881</v>
      </c>
      <c r="D193" s="15">
        <f t="shared" si="4"/>
        <v>3.6399690403829954E-3</v>
      </c>
      <c r="G193" s="69">
        <v>45887</v>
      </c>
      <c r="H193" s="50">
        <v>24876.94921875</v>
      </c>
      <c r="I193" s="55">
        <f t="shared" si="5"/>
        <v>9.9730192766349646E-3</v>
      </c>
    </row>
    <row r="194" spans="2:9" x14ac:dyDescent="0.25">
      <c r="B194" s="68">
        <v>45888</v>
      </c>
      <c r="C194" s="50">
        <v>409.60000610351563</v>
      </c>
      <c r="D194" s="15">
        <f t="shared" si="4"/>
        <v>2.4512302675760989E-2</v>
      </c>
      <c r="G194" s="69">
        <v>45888</v>
      </c>
      <c r="H194" s="50">
        <v>24980.650390625</v>
      </c>
      <c r="I194" s="55">
        <f t="shared" si="5"/>
        <v>4.1685646806257637E-3</v>
      </c>
    </row>
    <row r="195" spans="2:9" x14ac:dyDescent="0.25">
      <c r="B195" s="68">
        <v>45889</v>
      </c>
      <c r="C195" s="50">
        <v>420.35000610351563</v>
      </c>
      <c r="D195" s="15">
        <f t="shared" si="4"/>
        <v>2.6245116796417278E-2</v>
      </c>
      <c r="G195" s="69">
        <v>45889</v>
      </c>
      <c r="H195" s="50">
        <v>25050.55078125</v>
      </c>
      <c r="I195" s="55">
        <f t="shared" si="5"/>
        <v>2.7981813736617234E-3</v>
      </c>
    </row>
    <row r="196" spans="2:9" x14ac:dyDescent="0.25">
      <c r="B196" s="68">
        <v>45890</v>
      </c>
      <c r="C196" s="50">
        <v>435.04998779296881</v>
      </c>
      <c r="D196" s="15">
        <f t="shared" si="4"/>
        <v>3.4970813550632363E-2</v>
      </c>
      <c r="G196" s="69">
        <v>45890</v>
      </c>
      <c r="H196" s="50">
        <v>25083.75</v>
      </c>
      <c r="I196" s="55">
        <f t="shared" si="5"/>
        <v>1.3252889742787488E-3</v>
      </c>
    </row>
    <row r="197" spans="2:9" x14ac:dyDescent="0.25">
      <c r="B197" s="68">
        <v>45891</v>
      </c>
      <c r="C197" s="50">
        <v>428.29998779296881</v>
      </c>
      <c r="D197" s="15">
        <f t="shared" si="4"/>
        <v>-1.5515458428681073E-2</v>
      </c>
      <c r="G197" s="69">
        <v>45891</v>
      </c>
      <c r="H197" s="50">
        <v>24870.099609375</v>
      </c>
      <c r="I197" s="55">
        <f t="shared" si="5"/>
        <v>-8.5174820600987244E-3</v>
      </c>
    </row>
    <row r="198" spans="2:9" x14ac:dyDescent="0.25">
      <c r="B198" s="68">
        <v>45894</v>
      </c>
      <c r="C198" s="50">
        <v>425.39999389648438</v>
      </c>
      <c r="D198" s="15">
        <f t="shared" si="4"/>
        <v>-6.7709408805451954E-3</v>
      </c>
      <c r="G198" s="69">
        <v>45894</v>
      </c>
      <c r="H198" s="50">
        <v>24967.75</v>
      </c>
      <c r="I198" s="55">
        <f t="shared" si="5"/>
        <v>3.9264173509054867E-3</v>
      </c>
    </row>
    <row r="199" spans="2:9" x14ac:dyDescent="0.25">
      <c r="B199" s="68">
        <v>45895</v>
      </c>
      <c r="C199" s="50">
        <v>431</v>
      </c>
      <c r="D199" s="15">
        <f t="shared" si="4"/>
        <v>1.3164095401652309E-2</v>
      </c>
      <c r="G199" s="69">
        <v>45895</v>
      </c>
      <c r="H199" s="50">
        <v>24712.05078125</v>
      </c>
      <c r="I199" s="55">
        <f t="shared" si="5"/>
        <v>-1.0241179872034878E-2</v>
      </c>
    </row>
    <row r="200" spans="2:9" x14ac:dyDescent="0.25">
      <c r="B200" s="68">
        <v>45897</v>
      </c>
      <c r="C200" s="50">
        <v>420.95001220703119</v>
      </c>
      <c r="D200" s="15">
        <f t="shared" si="4"/>
        <v>-2.3317837106656136E-2</v>
      </c>
      <c r="G200" s="69">
        <v>45897</v>
      </c>
      <c r="H200" s="50">
        <v>24500.900390625</v>
      </c>
      <c r="I200" s="55">
        <f t="shared" si="5"/>
        <v>-8.5444301039235837E-3</v>
      </c>
    </row>
    <row r="201" spans="2:9" x14ac:dyDescent="0.25">
      <c r="B201" s="68">
        <v>45898</v>
      </c>
      <c r="C201" s="50">
        <v>409.70001220703119</v>
      </c>
      <c r="D201" s="15">
        <f t="shared" ref="D201:D252" si="6">C201/C200-1</f>
        <v>-2.6725263508169284E-2</v>
      </c>
      <c r="G201" s="69">
        <v>45898</v>
      </c>
      <c r="H201" s="50">
        <v>24426.849609375</v>
      </c>
      <c r="I201" s="55">
        <f t="shared" si="5"/>
        <v>-3.0223697933294824E-3</v>
      </c>
    </row>
    <row r="202" spans="2:9" x14ac:dyDescent="0.25">
      <c r="B202" s="68">
        <v>45901</v>
      </c>
      <c r="C202" s="50">
        <v>428.64999389648438</v>
      </c>
      <c r="D202" s="15">
        <f t="shared" si="6"/>
        <v>4.6253310043538054E-2</v>
      </c>
      <c r="G202" s="69">
        <v>45901</v>
      </c>
      <c r="H202" s="50">
        <v>24625.05078125</v>
      </c>
      <c r="I202" s="55">
        <f t="shared" ref="I202:I253" si="7">H202/H201-1</f>
        <v>8.1140701746054145E-3</v>
      </c>
    </row>
    <row r="203" spans="2:9" x14ac:dyDescent="0.25">
      <c r="B203" s="68">
        <v>45902</v>
      </c>
      <c r="C203" s="50">
        <v>425.60000610351563</v>
      </c>
      <c r="D203" s="15">
        <f t="shared" si="6"/>
        <v>-7.1153338070624184E-3</v>
      </c>
      <c r="G203" s="69">
        <v>45902</v>
      </c>
      <c r="H203" s="50">
        <v>24579.599609375</v>
      </c>
      <c r="I203" s="55">
        <f t="shared" si="7"/>
        <v>-1.8457290617897026E-3</v>
      </c>
    </row>
    <row r="204" spans="2:9" x14ac:dyDescent="0.25">
      <c r="B204" s="68">
        <v>45903</v>
      </c>
      <c r="C204" s="50">
        <v>430.64999389648438</v>
      </c>
      <c r="D204" s="15">
        <f t="shared" si="6"/>
        <v>1.1865572651661216E-2</v>
      </c>
      <c r="G204" s="69">
        <v>45903</v>
      </c>
      <c r="H204" s="50">
        <v>24715.05078125</v>
      </c>
      <c r="I204" s="55">
        <f t="shared" si="7"/>
        <v>5.5107151470170646E-3</v>
      </c>
    </row>
    <row r="205" spans="2:9" x14ac:dyDescent="0.25">
      <c r="B205" s="68">
        <v>45904</v>
      </c>
      <c r="C205" s="50">
        <v>423.29998779296881</v>
      </c>
      <c r="D205" s="15">
        <f t="shared" si="6"/>
        <v>-1.7067238378464467E-2</v>
      </c>
      <c r="G205" s="69">
        <v>45904</v>
      </c>
      <c r="H205" s="50">
        <v>24734.30078125</v>
      </c>
      <c r="I205" s="55">
        <f t="shared" si="7"/>
        <v>7.7887762280481887E-4</v>
      </c>
    </row>
    <row r="206" spans="2:9" x14ac:dyDescent="0.25">
      <c r="B206" s="68">
        <v>45905</v>
      </c>
      <c r="C206" s="50">
        <v>439.10000610351563</v>
      </c>
      <c r="D206" s="15">
        <f t="shared" si="6"/>
        <v>3.7325818016026968E-2</v>
      </c>
      <c r="G206" s="69">
        <v>45905</v>
      </c>
      <c r="H206" s="50">
        <v>24741</v>
      </c>
      <c r="I206" s="55">
        <f t="shared" si="7"/>
        <v>2.7084730671167456E-4</v>
      </c>
    </row>
    <row r="207" spans="2:9" x14ac:dyDescent="0.25">
      <c r="B207" s="68">
        <v>45908</v>
      </c>
      <c r="C207" s="50">
        <v>442.85000610351563</v>
      </c>
      <c r="D207" s="15">
        <f t="shared" si="6"/>
        <v>8.5401957364490411E-3</v>
      </c>
      <c r="G207" s="69">
        <v>45908</v>
      </c>
      <c r="H207" s="50">
        <v>24773.150390625</v>
      </c>
      <c r="I207" s="55">
        <f t="shared" si="7"/>
        <v>1.2994782193525012E-3</v>
      </c>
    </row>
    <row r="208" spans="2:9" x14ac:dyDescent="0.25">
      <c r="B208" s="68">
        <v>45909</v>
      </c>
      <c r="C208" s="50">
        <v>436.79998779296881</v>
      </c>
      <c r="D208" s="15">
        <f t="shared" si="6"/>
        <v>-1.3661551828301532E-2</v>
      </c>
      <c r="G208" s="69">
        <v>45909</v>
      </c>
      <c r="H208" s="50">
        <v>24868.599609375</v>
      </c>
      <c r="I208" s="55">
        <f t="shared" si="7"/>
        <v>3.852930178235292E-3</v>
      </c>
    </row>
    <row r="209" spans="2:9" x14ac:dyDescent="0.25">
      <c r="B209" s="68">
        <v>45910</v>
      </c>
      <c r="C209" s="50">
        <v>423.95001220703119</v>
      </c>
      <c r="D209" s="15">
        <f t="shared" si="6"/>
        <v>-2.9418443097640745E-2</v>
      </c>
      <c r="G209" s="69">
        <v>45910</v>
      </c>
      <c r="H209" s="50">
        <v>24973.099609375</v>
      </c>
      <c r="I209" s="55">
        <f t="shared" si="7"/>
        <v>4.2020862308871365E-3</v>
      </c>
    </row>
    <row r="210" spans="2:9" x14ac:dyDescent="0.25">
      <c r="B210" s="68">
        <v>45911</v>
      </c>
      <c r="C210" s="50">
        <v>423.5</v>
      </c>
      <c r="D210" s="15">
        <f t="shared" si="6"/>
        <v>-1.0614746882268156E-3</v>
      </c>
      <c r="G210" s="69">
        <v>45911</v>
      </c>
      <c r="H210" s="50">
        <v>25005.5</v>
      </c>
      <c r="I210" s="55">
        <f t="shared" si="7"/>
        <v>1.2974116602184615E-3</v>
      </c>
    </row>
    <row r="211" spans="2:9" x14ac:dyDescent="0.25">
      <c r="B211" s="68">
        <v>45912</v>
      </c>
      <c r="C211" s="50">
        <v>420.04998779296881</v>
      </c>
      <c r="D211" s="15">
        <f t="shared" si="6"/>
        <v>-8.1464278796485878E-3</v>
      </c>
      <c r="G211" s="69">
        <v>45912</v>
      </c>
      <c r="H211" s="50">
        <v>25114</v>
      </c>
      <c r="I211" s="55">
        <f t="shared" si="7"/>
        <v>4.3390454100098452E-3</v>
      </c>
    </row>
    <row r="212" spans="2:9" x14ac:dyDescent="0.25">
      <c r="B212" s="68">
        <v>45915</v>
      </c>
      <c r="C212" s="50">
        <v>424.79998779296881</v>
      </c>
      <c r="D212" s="15">
        <f t="shared" si="6"/>
        <v>1.1308177926530938E-2</v>
      </c>
      <c r="G212" s="69">
        <v>45915</v>
      </c>
      <c r="H212" s="50">
        <v>25069.19921875</v>
      </c>
      <c r="I212" s="55">
        <f t="shared" si="7"/>
        <v>-1.7838966811339896E-3</v>
      </c>
    </row>
    <row r="213" spans="2:9" x14ac:dyDescent="0.25">
      <c r="B213" s="68">
        <v>45916</v>
      </c>
      <c r="C213" s="50">
        <v>437.29998779296881</v>
      </c>
      <c r="D213" s="15">
        <f t="shared" si="6"/>
        <v>2.9425612898303699E-2</v>
      </c>
      <c r="G213" s="69">
        <v>45916</v>
      </c>
      <c r="H213" s="50">
        <v>25239.099609375</v>
      </c>
      <c r="I213" s="55">
        <f t="shared" si="7"/>
        <v>6.7772563910986072E-3</v>
      </c>
    </row>
    <row r="214" spans="2:9" x14ac:dyDescent="0.25">
      <c r="B214" s="68">
        <v>45917</v>
      </c>
      <c r="C214" s="50">
        <v>441.04998779296881</v>
      </c>
      <c r="D214" s="15">
        <f t="shared" si="6"/>
        <v>8.5753489702253827E-3</v>
      </c>
      <c r="G214" s="69">
        <v>45917</v>
      </c>
      <c r="H214" s="50">
        <v>25330.25</v>
      </c>
      <c r="I214" s="55">
        <f t="shared" si="7"/>
        <v>3.6114755294653911E-3</v>
      </c>
    </row>
    <row r="215" spans="2:9" x14ac:dyDescent="0.25">
      <c r="B215" s="68">
        <v>45918</v>
      </c>
      <c r="C215" s="50">
        <v>444.54998779296881</v>
      </c>
      <c r="D215" s="15">
        <f t="shared" si="6"/>
        <v>7.9356084273216609E-3</v>
      </c>
      <c r="G215" s="69">
        <v>45918</v>
      </c>
      <c r="H215" s="50">
        <v>25423.599609375</v>
      </c>
      <c r="I215" s="55">
        <f t="shared" si="7"/>
        <v>3.6853015416349333E-3</v>
      </c>
    </row>
    <row r="216" spans="2:9" x14ac:dyDescent="0.25">
      <c r="B216" s="68">
        <v>45919</v>
      </c>
      <c r="C216" s="50">
        <v>461.20001220703119</v>
      </c>
      <c r="D216" s="15">
        <f t="shared" si="6"/>
        <v>3.7453660715915937E-2</v>
      </c>
      <c r="G216" s="69">
        <v>45919</v>
      </c>
      <c r="H216" s="50">
        <v>25327.05078125</v>
      </c>
      <c r="I216" s="55">
        <f t="shared" si="7"/>
        <v>-3.7976065391384095E-3</v>
      </c>
    </row>
    <row r="217" spans="2:9" x14ac:dyDescent="0.25">
      <c r="B217" s="68">
        <v>45922</v>
      </c>
      <c r="C217" s="50">
        <v>449.35000610351563</v>
      </c>
      <c r="D217" s="15">
        <f t="shared" si="6"/>
        <v>-2.5693854704834984E-2</v>
      </c>
      <c r="G217" s="69">
        <v>45922</v>
      </c>
      <c r="H217" s="50">
        <v>25202.349609375</v>
      </c>
      <c r="I217" s="55">
        <f t="shared" si="7"/>
        <v>-4.9236357186648316E-3</v>
      </c>
    </row>
    <row r="218" spans="2:9" x14ac:dyDescent="0.25">
      <c r="B218" s="68">
        <v>45923</v>
      </c>
      <c r="C218" s="50">
        <v>449.14999389648438</v>
      </c>
      <c r="D218" s="15">
        <f t="shared" si="6"/>
        <v>-4.4511450832196431E-4</v>
      </c>
      <c r="G218" s="69">
        <v>45923</v>
      </c>
      <c r="H218" s="50">
        <v>25169.5</v>
      </c>
      <c r="I218" s="55">
        <f t="shared" si="7"/>
        <v>-1.3034343973540308E-3</v>
      </c>
    </row>
    <row r="219" spans="2:9" x14ac:dyDescent="0.25">
      <c r="B219" s="68">
        <v>45924</v>
      </c>
      <c r="C219" s="50">
        <v>438.54998779296881</v>
      </c>
      <c r="D219" s="15">
        <f t="shared" si="6"/>
        <v>-2.360014749540118E-2</v>
      </c>
      <c r="G219" s="69">
        <v>45924</v>
      </c>
      <c r="H219" s="50">
        <v>25056.900390625</v>
      </c>
      <c r="I219" s="55">
        <f t="shared" si="7"/>
        <v>-4.4736530076083802E-3</v>
      </c>
    </row>
    <row r="220" spans="2:9" x14ac:dyDescent="0.25">
      <c r="B220" s="68">
        <v>45925</v>
      </c>
      <c r="C220" s="50">
        <v>425.45001220703119</v>
      </c>
      <c r="D220" s="15">
        <f t="shared" si="6"/>
        <v>-2.9871111505130998E-2</v>
      </c>
      <c r="G220" s="69">
        <v>45925</v>
      </c>
      <c r="H220" s="50">
        <v>24890.849609375</v>
      </c>
      <c r="I220" s="55">
        <f t="shared" si="7"/>
        <v>-6.6269482123226808E-3</v>
      </c>
    </row>
    <row r="221" spans="2:9" x14ac:dyDescent="0.25">
      <c r="B221" s="68">
        <v>45926</v>
      </c>
      <c r="C221" s="50">
        <v>420.85000610351563</v>
      </c>
      <c r="D221" s="15">
        <f t="shared" si="6"/>
        <v>-1.0812095361457219E-2</v>
      </c>
      <c r="G221" s="69">
        <v>45926</v>
      </c>
      <c r="H221" s="50">
        <v>24654.69921875</v>
      </c>
      <c r="I221" s="55">
        <f t="shared" si="7"/>
        <v>-9.4874379272315013E-3</v>
      </c>
    </row>
    <row r="222" spans="2:9" x14ac:dyDescent="0.25">
      <c r="B222" s="68">
        <v>45929</v>
      </c>
      <c r="C222" s="50">
        <v>416.25</v>
      </c>
      <c r="D222" s="15">
        <f t="shared" si="6"/>
        <v>-1.0930274532024553E-2</v>
      </c>
      <c r="G222" s="69">
        <v>45929</v>
      </c>
      <c r="H222" s="50">
        <v>24634.900390625</v>
      </c>
      <c r="I222" s="55">
        <f t="shared" si="7"/>
        <v>-8.0304480494097774E-4</v>
      </c>
    </row>
    <row r="223" spans="2:9" x14ac:dyDescent="0.25">
      <c r="B223" s="68">
        <v>45930</v>
      </c>
      <c r="C223" s="50">
        <v>422.79998779296881</v>
      </c>
      <c r="D223" s="15">
        <f t="shared" si="6"/>
        <v>1.57357064095347E-2</v>
      </c>
      <c r="G223" s="69">
        <v>45930</v>
      </c>
      <c r="H223" s="50">
        <v>24611.099609375</v>
      </c>
      <c r="I223" s="55">
        <f t="shared" si="7"/>
        <v>-9.6614075448253622E-4</v>
      </c>
    </row>
    <row r="224" spans="2:9" x14ac:dyDescent="0.25">
      <c r="B224" s="68">
        <v>45931</v>
      </c>
      <c r="C224" s="50">
        <v>417.75</v>
      </c>
      <c r="D224" s="15">
        <f t="shared" si="6"/>
        <v>-1.1944153119137768E-2</v>
      </c>
      <c r="G224" s="69">
        <v>45931</v>
      </c>
      <c r="H224" s="50">
        <v>24836.30078125</v>
      </c>
      <c r="I224" s="55">
        <f t="shared" si="7"/>
        <v>9.1503904924759016E-3</v>
      </c>
    </row>
    <row r="225" spans="2:9" x14ac:dyDescent="0.25">
      <c r="B225" s="68">
        <v>45933</v>
      </c>
      <c r="C225" s="50">
        <v>411.79998779296881</v>
      </c>
      <c r="D225" s="15">
        <f t="shared" si="6"/>
        <v>-1.4242997503366106E-2</v>
      </c>
      <c r="G225" s="69">
        <v>45933</v>
      </c>
      <c r="H225" s="50">
        <v>24894.25</v>
      </c>
      <c r="I225" s="55">
        <f t="shared" si="7"/>
        <v>2.3332467769816567E-3</v>
      </c>
    </row>
    <row r="226" spans="2:9" x14ac:dyDescent="0.25">
      <c r="B226" s="68">
        <v>45936</v>
      </c>
      <c r="C226" s="50">
        <v>421.54998779296881</v>
      </c>
      <c r="D226" s="15">
        <f t="shared" si="6"/>
        <v>2.3676542712531168E-2</v>
      </c>
      <c r="G226" s="69">
        <v>45936</v>
      </c>
      <c r="H226" s="50">
        <v>25077.650390625</v>
      </c>
      <c r="I226" s="55">
        <f t="shared" si="7"/>
        <v>7.3671787912872322E-3</v>
      </c>
    </row>
    <row r="227" spans="2:9" x14ac:dyDescent="0.25">
      <c r="B227" s="68">
        <v>45937</v>
      </c>
      <c r="C227" s="50">
        <v>420.70001220703119</v>
      </c>
      <c r="D227" s="15">
        <f t="shared" si="6"/>
        <v>-2.0163103085061307E-3</v>
      </c>
      <c r="G227" s="69">
        <v>45937</v>
      </c>
      <c r="H227" s="50">
        <v>25108.30078125</v>
      </c>
      <c r="I227" s="55">
        <f t="shared" si="7"/>
        <v>1.2222193924698033E-3</v>
      </c>
    </row>
    <row r="228" spans="2:9" x14ac:dyDescent="0.25">
      <c r="B228" s="68">
        <v>45938</v>
      </c>
      <c r="C228" s="50">
        <v>421</v>
      </c>
      <c r="D228" s="15">
        <f t="shared" si="6"/>
        <v>7.1306818223049184E-4</v>
      </c>
      <c r="G228" s="69">
        <v>45938</v>
      </c>
      <c r="H228" s="50">
        <v>25046.150390625</v>
      </c>
      <c r="I228" s="55">
        <f t="shared" si="7"/>
        <v>-2.4752925801897474E-3</v>
      </c>
    </row>
    <row r="229" spans="2:9" x14ac:dyDescent="0.25">
      <c r="B229" s="68">
        <v>45939</v>
      </c>
      <c r="C229" s="50">
        <v>436.70001220703119</v>
      </c>
      <c r="D229" s="15">
        <f t="shared" si="6"/>
        <v>3.7292190515513468E-2</v>
      </c>
      <c r="G229" s="69">
        <v>45939</v>
      </c>
      <c r="H229" s="50">
        <v>25181.80078125</v>
      </c>
      <c r="I229" s="55">
        <f t="shared" si="7"/>
        <v>5.4160175719368819E-3</v>
      </c>
    </row>
    <row r="230" spans="2:9" x14ac:dyDescent="0.25">
      <c r="B230" s="68">
        <v>45940</v>
      </c>
      <c r="C230" s="50">
        <v>435.45001220703119</v>
      </c>
      <c r="D230" s="15">
        <f t="shared" si="6"/>
        <v>-2.862376837780789E-3</v>
      </c>
      <c r="G230" s="69">
        <v>45940</v>
      </c>
      <c r="H230" s="50">
        <v>25285.349609375</v>
      </c>
      <c r="I230" s="55">
        <f t="shared" si="7"/>
        <v>4.1120501676790155E-3</v>
      </c>
    </row>
    <row r="231" spans="2:9" x14ac:dyDescent="0.25">
      <c r="B231" s="68">
        <v>45943</v>
      </c>
      <c r="C231" s="50">
        <v>434.85000610351563</v>
      </c>
      <c r="D231" s="15">
        <f t="shared" si="6"/>
        <v>-1.3778989245505358E-3</v>
      </c>
      <c r="G231" s="69">
        <v>45943</v>
      </c>
      <c r="H231" s="50">
        <v>25227.349609375</v>
      </c>
      <c r="I231" s="55">
        <f t="shared" si="7"/>
        <v>-2.2938183927065925E-3</v>
      </c>
    </row>
    <row r="232" spans="2:9" x14ac:dyDescent="0.25">
      <c r="B232" s="68">
        <v>45944</v>
      </c>
      <c r="C232" s="50">
        <v>440.20001220703119</v>
      </c>
      <c r="D232" s="15">
        <f t="shared" si="6"/>
        <v>1.2303106883806647E-2</v>
      </c>
      <c r="G232" s="69">
        <v>45944</v>
      </c>
      <c r="H232" s="50">
        <v>25145.5</v>
      </c>
      <c r="I232" s="55">
        <f t="shared" si="7"/>
        <v>-3.2444791324643951E-3</v>
      </c>
    </row>
    <row r="233" spans="2:9" x14ac:dyDescent="0.25">
      <c r="B233" s="68">
        <v>45945</v>
      </c>
      <c r="C233" s="50">
        <v>442.54998779296881</v>
      </c>
      <c r="D233" s="15">
        <f t="shared" si="6"/>
        <v>5.3384268986171879E-3</v>
      </c>
      <c r="G233" s="69">
        <v>45945</v>
      </c>
      <c r="H233" s="50">
        <v>25323.55078125</v>
      </c>
      <c r="I233" s="55">
        <f t="shared" si="7"/>
        <v>7.0808208725219313E-3</v>
      </c>
    </row>
    <row r="234" spans="2:9" x14ac:dyDescent="0.25">
      <c r="B234" s="68">
        <v>45946</v>
      </c>
      <c r="C234" s="50">
        <v>449.35000610351563</v>
      </c>
      <c r="D234" s="15">
        <f t="shared" si="6"/>
        <v>1.5365537223171133E-2</v>
      </c>
      <c r="G234" s="69">
        <v>45946</v>
      </c>
      <c r="H234" s="50">
        <v>25585.30078125</v>
      </c>
      <c r="I234" s="55">
        <f t="shared" si="7"/>
        <v>1.0336228211479837E-2</v>
      </c>
    </row>
    <row r="235" spans="2:9" x14ac:dyDescent="0.25">
      <c r="B235" s="68">
        <v>45947</v>
      </c>
      <c r="C235" s="50">
        <v>432</v>
      </c>
      <c r="D235" s="15">
        <f t="shared" si="6"/>
        <v>-3.8611340531547134E-2</v>
      </c>
      <c r="G235" s="69">
        <v>45947</v>
      </c>
      <c r="H235" s="50">
        <v>25709.849609375</v>
      </c>
      <c r="I235" s="55">
        <f t="shared" si="7"/>
        <v>4.8679837376106594E-3</v>
      </c>
    </row>
    <row r="236" spans="2:9" x14ac:dyDescent="0.25">
      <c r="B236" s="68">
        <v>45950</v>
      </c>
      <c r="C236" s="50">
        <v>421.39999389648438</v>
      </c>
      <c r="D236" s="15">
        <f t="shared" si="6"/>
        <v>-2.4537051165545387E-2</v>
      </c>
      <c r="G236" s="69">
        <v>45950</v>
      </c>
      <c r="H236" s="50">
        <v>25843.150390625</v>
      </c>
      <c r="I236" s="55">
        <f t="shared" si="7"/>
        <v>5.184813729964155E-3</v>
      </c>
    </row>
    <row r="237" spans="2:9" x14ac:dyDescent="0.25">
      <c r="B237" s="68">
        <v>45951</v>
      </c>
      <c r="C237" s="50">
        <v>432.04998779296881</v>
      </c>
      <c r="D237" s="15">
        <f t="shared" si="6"/>
        <v>2.527288573976727E-2</v>
      </c>
      <c r="G237" s="69">
        <v>45951</v>
      </c>
      <c r="H237" s="50">
        <v>25868.599609375</v>
      </c>
      <c r="I237" s="55">
        <f t="shared" si="7"/>
        <v>9.8475682590271063E-4</v>
      </c>
    </row>
    <row r="238" spans="2:9" x14ac:dyDescent="0.25">
      <c r="B238" s="68">
        <v>45953</v>
      </c>
      <c r="C238" s="50">
        <v>424.14999389648438</v>
      </c>
      <c r="D238" s="15">
        <f t="shared" si="6"/>
        <v>-1.8284907116511651E-2</v>
      </c>
      <c r="G238" s="69">
        <v>45953</v>
      </c>
      <c r="H238" s="50">
        <v>25891.400390625</v>
      </c>
      <c r="I238" s="55">
        <f t="shared" si="7"/>
        <v>8.8140763683774992E-4</v>
      </c>
    </row>
    <row r="239" spans="2:9" x14ac:dyDescent="0.25">
      <c r="B239" s="68">
        <v>45954</v>
      </c>
      <c r="C239" s="50">
        <v>424.95001220703119</v>
      </c>
      <c r="D239" s="15">
        <f t="shared" si="6"/>
        <v>1.8861683886810532E-3</v>
      </c>
      <c r="G239" s="69">
        <v>45954</v>
      </c>
      <c r="H239" s="50">
        <v>25795.150390625</v>
      </c>
      <c r="I239" s="55">
        <f t="shared" si="7"/>
        <v>-3.7174505259611745E-3</v>
      </c>
    </row>
    <row r="240" spans="2:9" x14ac:dyDescent="0.25">
      <c r="B240" s="68">
        <v>45957</v>
      </c>
      <c r="C240" s="50">
        <v>425.5</v>
      </c>
      <c r="D240" s="15">
        <f t="shared" si="6"/>
        <v>1.2942411511236429E-3</v>
      </c>
      <c r="G240" s="69">
        <v>45957</v>
      </c>
      <c r="H240" s="50">
        <v>25966.05078125</v>
      </c>
      <c r="I240" s="55">
        <f t="shared" si="7"/>
        <v>6.625291500029773E-3</v>
      </c>
    </row>
    <row r="241" spans="2:9" x14ac:dyDescent="0.25">
      <c r="B241" s="68">
        <v>45958</v>
      </c>
      <c r="C241" s="50">
        <v>422.60000610351563</v>
      </c>
      <c r="D241" s="15">
        <f t="shared" si="6"/>
        <v>-6.8154968189997334E-3</v>
      </c>
      <c r="G241" s="69">
        <v>45958</v>
      </c>
      <c r="H241" s="50">
        <v>25936.19921875</v>
      </c>
      <c r="I241" s="55">
        <f t="shared" si="7"/>
        <v>-1.149638146805021E-3</v>
      </c>
    </row>
    <row r="242" spans="2:9" x14ac:dyDescent="0.25">
      <c r="B242" s="68">
        <v>45959</v>
      </c>
      <c r="C242" s="50">
        <v>418.95001220703119</v>
      </c>
      <c r="D242" s="15">
        <f t="shared" si="6"/>
        <v>-8.6369944244401031E-3</v>
      </c>
      <c r="G242" s="69">
        <v>45959</v>
      </c>
      <c r="H242" s="50">
        <v>26053.900390625</v>
      </c>
      <c r="I242" s="55">
        <f t="shared" si="7"/>
        <v>4.5381040946781415E-3</v>
      </c>
    </row>
    <row r="243" spans="2:9" x14ac:dyDescent="0.25">
      <c r="B243" s="68">
        <v>45960</v>
      </c>
      <c r="C243" s="50">
        <v>418.10000610351563</v>
      </c>
      <c r="D243" s="15">
        <f t="shared" si="6"/>
        <v>-2.02889623761493E-3</v>
      </c>
      <c r="G243" s="69">
        <v>45960</v>
      </c>
      <c r="H243" s="50">
        <v>25877.849609375</v>
      </c>
      <c r="I243" s="55">
        <f t="shared" si="7"/>
        <v>-6.7571756478100875E-3</v>
      </c>
    </row>
    <row r="244" spans="2:9" x14ac:dyDescent="0.25">
      <c r="B244" s="68">
        <v>45961</v>
      </c>
      <c r="C244" s="50">
        <v>410.04998779296881</v>
      </c>
      <c r="D244" s="15">
        <f t="shared" si="6"/>
        <v>-1.9253810554965001E-2</v>
      </c>
      <c r="G244" s="69">
        <v>45961</v>
      </c>
      <c r="H244" s="50">
        <v>25722.099609375</v>
      </c>
      <c r="I244" s="55">
        <f t="shared" si="7"/>
        <v>-6.0186608373972161E-3</v>
      </c>
    </row>
    <row r="245" spans="2:9" x14ac:dyDescent="0.25">
      <c r="B245" s="68">
        <v>45964</v>
      </c>
      <c r="C245" s="50">
        <v>402.54998779296881</v>
      </c>
      <c r="D245" s="15">
        <f t="shared" si="6"/>
        <v>-1.8290452928355405E-2</v>
      </c>
      <c r="G245" s="69">
        <v>45964</v>
      </c>
      <c r="H245" s="50">
        <v>25763.349609375</v>
      </c>
      <c r="I245" s="55">
        <f t="shared" si="7"/>
        <v>1.6036793506921665E-3</v>
      </c>
    </row>
    <row r="246" spans="2:9" x14ac:dyDescent="0.25">
      <c r="B246" s="68">
        <v>45965</v>
      </c>
      <c r="C246" s="50">
        <v>413.20001220703119</v>
      </c>
      <c r="D246" s="15">
        <f t="shared" si="6"/>
        <v>2.6456402278018931E-2</v>
      </c>
      <c r="G246" s="69">
        <v>45965</v>
      </c>
      <c r="H246" s="50">
        <v>25597.650390625</v>
      </c>
      <c r="I246" s="55">
        <f t="shared" si="7"/>
        <v>-6.431586779760301E-3</v>
      </c>
    </row>
    <row r="247" spans="2:9" x14ac:dyDescent="0.25">
      <c r="B247" s="68">
        <v>45967</v>
      </c>
      <c r="C247" s="50">
        <v>404</v>
      </c>
      <c r="D247" s="15">
        <f t="shared" si="6"/>
        <v>-2.2265275738717949E-2</v>
      </c>
      <c r="G247" s="69">
        <v>45967</v>
      </c>
      <c r="H247" s="50">
        <v>25509.69921875</v>
      </c>
      <c r="I247" s="55">
        <f t="shared" si="7"/>
        <v>-3.4359080045569534E-3</v>
      </c>
    </row>
    <row r="248" spans="2:9" x14ac:dyDescent="0.25">
      <c r="B248" s="68">
        <v>45968</v>
      </c>
      <c r="C248" s="50">
        <v>401.60000610351563</v>
      </c>
      <c r="D248" s="15">
        <f t="shared" si="6"/>
        <v>-5.9405789516939755E-3</v>
      </c>
      <c r="G248" s="69">
        <v>45968</v>
      </c>
      <c r="H248" s="50">
        <v>25492.30078125</v>
      </c>
      <c r="I248" s="55">
        <f t="shared" si="7"/>
        <v>-6.8203224784446626E-4</v>
      </c>
    </row>
    <row r="249" spans="2:9" x14ac:dyDescent="0.25">
      <c r="B249" s="68">
        <v>45971</v>
      </c>
      <c r="C249" s="50">
        <v>386.45001220703119</v>
      </c>
      <c r="D249" s="15">
        <f t="shared" si="6"/>
        <v>-3.7724087814329899E-2</v>
      </c>
      <c r="G249" s="69">
        <v>45971</v>
      </c>
      <c r="H249" s="50">
        <v>25574.349609375</v>
      </c>
      <c r="I249" s="55">
        <f t="shared" si="7"/>
        <v>3.2185728871263475E-3</v>
      </c>
    </row>
    <row r="250" spans="2:9" x14ac:dyDescent="0.25">
      <c r="B250" s="68">
        <v>45972</v>
      </c>
      <c r="C250" s="50">
        <v>394.20001220703119</v>
      </c>
      <c r="D250" s="15">
        <f t="shared" si="6"/>
        <v>2.0054340160942097E-2</v>
      </c>
      <c r="G250" s="69">
        <v>45972</v>
      </c>
      <c r="H250" s="50">
        <v>25694.94921875</v>
      </c>
      <c r="I250" s="55">
        <f t="shared" si="7"/>
        <v>4.7156471705849246E-3</v>
      </c>
    </row>
    <row r="251" spans="2:9" x14ac:dyDescent="0.25">
      <c r="B251" s="68">
        <v>45973</v>
      </c>
      <c r="C251" s="50">
        <v>395.64999389648438</v>
      </c>
      <c r="D251" s="15">
        <f t="shared" si="6"/>
        <v>3.6782893063220801E-3</v>
      </c>
      <c r="G251" s="69">
        <v>45973</v>
      </c>
      <c r="H251" s="50">
        <v>25875.80078125</v>
      </c>
      <c r="I251" s="55">
        <f t="shared" si="7"/>
        <v>7.0384090258497345E-3</v>
      </c>
    </row>
    <row r="252" spans="2:9" x14ac:dyDescent="0.25">
      <c r="B252" s="68">
        <v>45975</v>
      </c>
      <c r="C252" s="50">
        <v>393.14999389648438</v>
      </c>
      <c r="D252" s="15">
        <f t="shared" si="6"/>
        <v>-6.3187161343772891E-3</v>
      </c>
      <c r="G252" s="69">
        <v>45974</v>
      </c>
      <c r="H252" s="50">
        <v>25879.150390625</v>
      </c>
      <c r="I252" s="55">
        <f t="shared" si="7"/>
        <v>1.2944949620363744E-4</v>
      </c>
    </row>
    <row r="253" spans="2:9" x14ac:dyDescent="0.25">
      <c r="B253" s="68"/>
      <c r="C253" s="50"/>
      <c r="D253" s="15"/>
      <c r="G253" s="69">
        <v>45975</v>
      </c>
      <c r="H253" s="50">
        <v>25910.05078125</v>
      </c>
      <c r="I253" s="55">
        <f t="shared" si="7"/>
        <v>1.194026471448284E-3</v>
      </c>
    </row>
    <row r="254" spans="2:9" x14ac:dyDescent="0.25">
      <c r="B254" s="68"/>
      <c r="C254" s="50"/>
      <c r="D254" s="15"/>
    </row>
    <row r="255" spans="2:9" x14ac:dyDescent="0.25">
      <c r="B255" s="68"/>
      <c r="D255" s="15"/>
    </row>
    <row r="256" spans="2:9" x14ac:dyDescent="0.25">
      <c r="B256" s="68"/>
      <c r="D256" s="15"/>
    </row>
    <row r="257" spans="2:4" x14ac:dyDescent="0.25">
      <c r="B257" s="68"/>
      <c r="D257" s="15"/>
    </row>
    <row r="258" spans="2:4" x14ac:dyDescent="0.25">
      <c r="B258" s="68"/>
      <c r="D258" s="15"/>
    </row>
    <row r="259" spans="2:4" x14ac:dyDescent="0.25">
      <c r="B259" s="68"/>
      <c r="D259" s="15"/>
    </row>
    <row r="260" spans="2:4" x14ac:dyDescent="0.25">
      <c r="B260" s="68"/>
      <c r="C260" s="50"/>
      <c r="D260" s="15"/>
    </row>
    <row r="261" spans="2:4" x14ac:dyDescent="0.25">
      <c r="B261" s="68"/>
      <c r="C261" s="50"/>
      <c r="D261" s="15"/>
    </row>
    <row r="262" spans="2:4" x14ac:dyDescent="0.25">
      <c r="B262" s="68"/>
      <c r="C262" s="50"/>
      <c r="D262" s="15"/>
    </row>
    <row r="263" spans="2:4" x14ac:dyDescent="0.25">
      <c r="B263" s="68"/>
      <c r="C263" s="50"/>
      <c r="D263" s="15"/>
    </row>
    <row r="264" spans="2:4" x14ac:dyDescent="0.25">
      <c r="B264" s="68"/>
      <c r="C264" s="50"/>
      <c r="D264" s="15"/>
    </row>
    <row r="265" spans="2:4" x14ac:dyDescent="0.25">
      <c r="B265" s="68"/>
      <c r="C265" s="50"/>
      <c r="D265" s="15"/>
    </row>
    <row r="266" spans="2:4" x14ac:dyDescent="0.25">
      <c r="B266" s="68"/>
      <c r="C266" s="50"/>
      <c r="D266" s="15"/>
    </row>
    <row r="267" spans="2:4" x14ac:dyDescent="0.25">
      <c r="B267" s="68"/>
      <c r="C267" s="50"/>
      <c r="D267" s="15"/>
    </row>
    <row r="268" spans="2:4" x14ac:dyDescent="0.25">
      <c r="B268" s="68"/>
      <c r="C268" s="50"/>
      <c r="D268" s="15"/>
    </row>
    <row r="269" spans="2:4" x14ac:dyDescent="0.25">
      <c r="B269" s="68"/>
      <c r="C269" s="50"/>
      <c r="D269" s="15"/>
    </row>
    <row r="270" spans="2:4" x14ac:dyDescent="0.25">
      <c r="B270" s="68"/>
      <c r="C270" s="50"/>
      <c r="D270" s="15"/>
    </row>
    <row r="271" spans="2:4" x14ac:dyDescent="0.25">
      <c r="B271" s="68"/>
      <c r="C271" s="50"/>
      <c r="D271" s="15"/>
    </row>
    <row r="272" spans="2:4" x14ac:dyDescent="0.25">
      <c r="B272" s="68"/>
      <c r="C272" s="50"/>
      <c r="D272" s="15"/>
    </row>
    <row r="273" spans="2:4" x14ac:dyDescent="0.25">
      <c r="B273" s="68"/>
      <c r="C273" s="50"/>
      <c r="D273" s="15"/>
    </row>
    <row r="274" spans="2:4" x14ac:dyDescent="0.25">
      <c r="B274" s="68"/>
      <c r="C274" s="50"/>
      <c r="D274" s="15"/>
    </row>
    <row r="275" spans="2:4" x14ac:dyDescent="0.25">
      <c r="B275" s="68"/>
      <c r="C275" s="50"/>
      <c r="D275" s="15"/>
    </row>
    <row r="276" spans="2:4" x14ac:dyDescent="0.25">
      <c r="B276" s="68"/>
      <c r="C276" s="50"/>
      <c r="D276" s="15"/>
    </row>
    <row r="277" spans="2:4" x14ac:dyDescent="0.25">
      <c r="B277" s="68"/>
      <c r="C277" s="50"/>
      <c r="D277" s="15"/>
    </row>
    <row r="278" spans="2:4" x14ac:dyDescent="0.25">
      <c r="B278" s="68"/>
      <c r="C278" s="50"/>
      <c r="D278" s="15"/>
    </row>
    <row r="279" spans="2:4" x14ac:dyDescent="0.25">
      <c r="B279" s="68"/>
      <c r="C279" s="50"/>
      <c r="D279" s="15"/>
    </row>
    <row r="280" spans="2:4" x14ac:dyDescent="0.25">
      <c r="B280" s="68"/>
      <c r="C280" s="50"/>
      <c r="D280" s="15"/>
    </row>
    <row r="281" spans="2:4" x14ac:dyDescent="0.25">
      <c r="B281" s="68"/>
      <c r="C281" s="50"/>
      <c r="D281" s="15"/>
    </row>
    <row r="282" spans="2:4" x14ac:dyDescent="0.25">
      <c r="B282" s="68"/>
      <c r="C282" s="50"/>
      <c r="D282" s="15"/>
    </row>
    <row r="283" spans="2:4" x14ac:dyDescent="0.25">
      <c r="B283" s="68"/>
      <c r="C283" s="50"/>
      <c r="D283" s="15"/>
    </row>
    <row r="284" spans="2:4" x14ac:dyDescent="0.25">
      <c r="B284" s="68"/>
      <c r="C284" s="50"/>
      <c r="D284" s="15"/>
    </row>
    <row r="285" spans="2:4" x14ac:dyDescent="0.25">
      <c r="B285" s="68"/>
      <c r="C285" s="50"/>
      <c r="D285" s="15"/>
    </row>
    <row r="286" spans="2:4" x14ac:dyDescent="0.25">
      <c r="B286" s="68"/>
      <c r="C286" s="50"/>
      <c r="D286" s="15"/>
    </row>
    <row r="287" spans="2:4" x14ac:dyDescent="0.25">
      <c r="B287" s="68"/>
      <c r="C287" s="50"/>
      <c r="D287" s="15"/>
    </row>
    <row r="288" spans="2:4" x14ac:dyDescent="0.25">
      <c r="B288" s="68"/>
      <c r="C288" s="50"/>
      <c r="D288" s="15"/>
    </row>
    <row r="289" spans="2:4" x14ac:dyDescent="0.25">
      <c r="B289" s="68"/>
      <c r="C289" s="50"/>
      <c r="D289" s="15"/>
    </row>
    <row r="290" spans="2:4" x14ac:dyDescent="0.25">
      <c r="B290" s="68"/>
      <c r="C290" s="50"/>
      <c r="D290" s="15"/>
    </row>
    <row r="291" spans="2:4" x14ac:dyDescent="0.25">
      <c r="B291" s="68"/>
      <c r="C291" s="50"/>
      <c r="D291" s="15"/>
    </row>
    <row r="292" spans="2:4" x14ac:dyDescent="0.25">
      <c r="B292" s="68"/>
      <c r="C292" s="50"/>
      <c r="D292" s="15"/>
    </row>
    <row r="293" spans="2:4" x14ac:dyDescent="0.25">
      <c r="B293" s="68"/>
      <c r="C293" s="50"/>
      <c r="D293" s="15"/>
    </row>
    <row r="294" spans="2:4" x14ac:dyDescent="0.25">
      <c r="B294" s="68"/>
      <c r="C294" s="50"/>
      <c r="D294" s="15"/>
    </row>
    <row r="295" spans="2:4" x14ac:dyDescent="0.25">
      <c r="B295" s="68"/>
      <c r="C295" s="50"/>
      <c r="D295" s="15"/>
    </row>
    <row r="296" spans="2:4" x14ac:dyDescent="0.25">
      <c r="B296" s="68"/>
      <c r="C296" s="50"/>
      <c r="D296" s="15"/>
    </row>
    <row r="297" spans="2:4" x14ac:dyDescent="0.25">
      <c r="B297" s="68"/>
      <c r="C297" s="50"/>
      <c r="D297" s="15"/>
    </row>
    <row r="298" spans="2:4" x14ac:dyDescent="0.25">
      <c r="B298" s="68"/>
      <c r="C298" s="50"/>
      <c r="D298" s="15"/>
    </row>
    <row r="299" spans="2:4" x14ac:dyDescent="0.25">
      <c r="B299" s="68"/>
      <c r="C299" s="50"/>
      <c r="D299" s="15"/>
    </row>
    <row r="300" spans="2:4" x14ac:dyDescent="0.25">
      <c r="B300" s="68"/>
      <c r="C300" s="50"/>
      <c r="D300" s="15"/>
    </row>
    <row r="301" spans="2:4" x14ac:dyDescent="0.25">
      <c r="B301" s="68"/>
      <c r="C301" s="50"/>
      <c r="D301" s="15"/>
    </row>
    <row r="302" spans="2:4" x14ac:dyDescent="0.25">
      <c r="B302" s="68"/>
      <c r="C302" s="50"/>
      <c r="D302" s="15"/>
    </row>
    <row r="303" spans="2:4" x14ac:dyDescent="0.25">
      <c r="B303" s="68"/>
      <c r="C303" s="50"/>
      <c r="D303" s="15"/>
    </row>
    <row r="304" spans="2:4" x14ac:dyDescent="0.25">
      <c r="B304" s="68"/>
      <c r="C304" s="50"/>
      <c r="D304" s="15"/>
    </row>
    <row r="305" spans="2:4" x14ac:dyDescent="0.25">
      <c r="B305" s="68"/>
      <c r="C305" s="50"/>
      <c r="D305" s="15"/>
    </row>
    <row r="306" spans="2:4" x14ac:dyDescent="0.25">
      <c r="B306" s="68"/>
      <c r="C306" s="50"/>
      <c r="D306" s="15"/>
    </row>
    <row r="307" spans="2:4" x14ac:dyDescent="0.25">
      <c r="B307" s="68"/>
      <c r="C307" s="50"/>
      <c r="D307" s="15"/>
    </row>
    <row r="308" spans="2:4" x14ac:dyDescent="0.25">
      <c r="B308" s="68"/>
      <c r="C308" s="50"/>
      <c r="D308" s="15"/>
    </row>
    <row r="309" spans="2:4" x14ac:dyDescent="0.25">
      <c r="B309" s="68"/>
      <c r="C309" s="50"/>
      <c r="D309" s="15"/>
    </row>
    <row r="310" spans="2:4" x14ac:dyDescent="0.25">
      <c r="B310" s="68"/>
      <c r="C310" s="50"/>
      <c r="D310" s="15"/>
    </row>
    <row r="311" spans="2:4" x14ac:dyDescent="0.25">
      <c r="B311" s="68"/>
      <c r="C311" s="50"/>
      <c r="D311" s="15"/>
    </row>
    <row r="312" spans="2:4" x14ac:dyDescent="0.25">
      <c r="B312" s="68"/>
      <c r="C312" s="50"/>
      <c r="D312" s="15"/>
    </row>
    <row r="313" spans="2:4" x14ac:dyDescent="0.25">
      <c r="B313" s="68"/>
      <c r="C313" s="50"/>
      <c r="D313" s="15"/>
    </row>
    <row r="314" spans="2:4" x14ac:dyDescent="0.25">
      <c r="B314" s="68"/>
      <c r="C314" s="50"/>
      <c r="D314" s="15"/>
    </row>
    <row r="315" spans="2:4" x14ac:dyDescent="0.25">
      <c r="B315" s="68"/>
      <c r="C315" s="50"/>
      <c r="D315" s="15"/>
    </row>
    <row r="316" spans="2:4" x14ac:dyDescent="0.25">
      <c r="B316" s="68"/>
      <c r="C316" s="50"/>
      <c r="D316" s="15"/>
    </row>
    <row r="317" spans="2:4" x14ac:dyDescent="0.25">
      <c r="B317" s="68"/>
      <c r="C317" s="50"/>
      <c r="D317" s="15"/>
    </row>
    <row r="318" spans="2:4" x14ac:dyDescent="0.25">
      <c r="B318" s="68"/>
      <c r="C318" s="50"/>
      <c r="D318" s="15"/>
    </row>
    <row r="319" spans="2:4" x14ac:dyDescent="0.25">
      <c r="B319" s="68"/>
      <c r="C319" s="50"/>
      <c r="D319" s="15"/>
    </row>
    <row r="320" spans="2:4" x14ac:dyDescent="0.25">
      <c r="B320" s="68"/>
      <c r="C320" s="50"/>
      <c r="D320" s="15"/>
    </row>
    <row r="321" spans="2:4" x14ac:dyDescent="0.25">
      <c r="B321" s="68"/>
      <c r="C321" s="50"/>
      <c r="D321" s="15"/>
    </row>
    <row r="322" spans="2:4" x14ac:dyDescent="0.25">
      <c r="B322" s="68"/>
      <c r="C322" s="50"/>
      <c r="D322" s="15"/>
    </row>
    <row r="323" spans="2:4" x14ac:dyDescent="0.25">
      <c r="B323" s="68"/>
      <c r="C323" s="50"/>
      <c r="D323" s="15"/>
    </row>
    <row r="324" spans="2:4" x14ac:dyDescent="0.25">
      <c r="B324" s="68"/>
      <c r="C324" s="50"/>
      <c r="D324" s="15"/>
    </row>
    <row r="325" spans="2:4" x14ac:dyDescent="0.25">
      <c r="B325" s="68"/>
      <c r="C325" s="50"/>
      <c r="D325" s="15"/>
    </row>
    <row r="326" spans="2:4" x14ac:dyDescent="0.25">
      <c r="B326" s="68"/>
      <c r="C326" s="50"/>
      <c r="D326" s="15"/>
    </row>
    <row r="327" spans="2:4" x14ac:dyDescent="0.25">
      <c r="B327" s="68"/>
      <c r="C327" s="50"/>
      <c r="D327" s="15"/>
    </row>
    <row r="328" spans="2:4" x14ac:dyDescent="0.25">
      <c r="B328" s="68"/>
      <c r="C328" s="50"/>
      <c r="D328" s="15"/>
    </row>
    <row r="329" spans="2:4" x14ac:dyDescent="0.25">
      <c r="B329" s="68"/>
      <c r="C329" s="50"/>
      <c r="D329" s="15"/>
    </row>
    <row r="330" spans="2:4" x14ac:dyDescent="0.25">
      <c r="B330" s="68"/>
      <c r="C330" s="50"/>
      <c r="D330" s="15"/>
    </row>
    <row r="331" spans="2:4" x14ac:dyDescent="0.25">
      <c r="B331" s="68"/>
      <c r="C331" s="50"/>
      <c r="D331" s="15"/>
    </row>
    <row r="332" spans="2:4" x14ac:dyDescent="0.25">
      <c r="B332" s="68"/>
      <c r="C332" s="50"/>
      <c r="D332" s="15"/>
    </row>
    <row r="333" spans="2:4" x14ac:dyDescent="0.25">
      <c r="B333" s="68"/>
      <c r="C333" s="50"/>
      <c r="D333" s="15"/>
    </row>
    <row r="334" spans="2:4" x14ac:dyDescent="0.25">
      <c r="B334" s="68"/>
      <c r="C334" s="50"/>
      <c r="D334" s="15"/>
    </row>
    <row r="335" spans="2:4" x14ac:dyDescent="0.25">
      <c r="B335" s="68"/>
      <c r="C335" s="50"/>
      <c r="D335" s="15"/>
    </row>
    <row r="336" spans="2:4" x14ac:dyDescent="0.25">
      <c r="B336" s="68"/>
      <c r="C336" s="50"/>
      <c r="D336" s="15"/>
    </row>
    <row r="337" spans="2:4" x14ac:dyDescent="0.25">
      <c r="B337" s="68"/>
      <c r="C337" s="50"/>
      <c r="D337" s="15"/>
    </row>
    <row r="338" spans="2:4" x14ac:dyDescent="0.25">
      <c r="B338" s="68"/>
      <c r="C338" s="50"/>
      <c r="D338" s="15"/>
    </row>
    <row r="339" spans="2:4" x14ac:dyDescent="0.25">
      <c r="B339" s="68"/>
      <c r="C339" s="50"/>
      <c r="D339" s="15"/>
    </row>
    <row r="340" spans="2:4" x14ac:dyDescent="0.25">
      <c r="B340" s="68"/>
      <c r="C340" s="50"/>
      <c r="D340" s="15"/>
    </row>
    <row r="341" spans="2:4" x14ac:dyDescent="0.25">
      <c r="B341" s="68"/>
      <c r="C341" s="50"/>
      <c r="D341" s="15"/>
    </row>
    <row r="342" spans="2:4" x14ac:dyDescent="0.25">
      <c r="B342" s="68"/>
      <c r="C342" s="50"/>
      <c r="D342" s="15"/>
    </row>
    <row r="343" spans="2:4" x14ac:dyDescent="0.25">
      <c r="B343" s="68"/>
      <c r="C343" s="50"/>
      <c r="D343" s="15"/>
    </row>
    <row r="344" spans="2:4" x14ac:dyDescent="0.25">
      <c r="B344" s="68"/>
      <c r="C344" s="50"/>
      <c r="D344" s="15"/>
    </row>
    <row r="345" spans="2:4" x14ac:dyDescent="0.25">
      <c r="B345" s="68"/>
      <c r="C345" s="50"/>
      <c r="D345" s="15"/>
    </row>
    <row r="346" spans="2:4" x14ac:dyDescent="0.25">
      <c r="B346" s="68"/>
      <c r="C346" s="50"/>
      <c r="D346" s="15"/>
    </row>
    <row r="347" spans="2:4" x14ac:dyDescent="0.25">
      <c r="B347" s="68"/>
      <c r="C347" s="50"/>
      <c r="D347" s="15"/>
    </row>
    <row r="348" spans="2:4" x14ac:dyDescent="0.25">
      <c r="B348" s="68"/>
      <c r="C348" s="50"/>
      <c r="D348" s="15"/>
    </row>
    <row r="349" spans="2:4" x14ac:dyDescent="0.25">
      <c r="B349" s="68"/>
      <c r="C349" s="50"/>
      <c r="D349" s="15"/>
    </row>
    <row r="350" spans="2:4" x14ac:dyDescent="0.25">
      <c r="B350" s="68"/>
      <c r="C350" s="50"/>
      <c r="D350" s="15"/>
    </row>
    <row r="351" spans="2:4" x14ac:dyDescent="0.25">
      <c r="B351" s="68"/>
      <c r="C351" s="50"/>
      <c r="D351" s="15"/>
    </row>
    <row r="352" spans="2:4" x14ac:dyDescent="0.25">
      <c r="B352" s="68"/>
      <c r="C352" s="50"/>
      <c r="D352" s="15"/>
    </row>
    <row r="353" spans="2:4" x14ac:dyDescent="0.25">
      <c r="B353" s="68"/>
      <c r="C353" s="50"/>
      <c r="D353" s="15"/>
    </row>
    <row r="354" spans="2:4" x14ac:dyDescent="0.25">
      <c r="B354" s="68"/>
      <c r="C354" s="50"/>
      <c r="D354" s="15"/>
    </row>
    <row r="355" spans="2:4" x14ac:dyDescent="0.25">
      <c r="B355" s="68"/>
      <c r="C355" s="50"/>
      <c r="D355" s="15"/>
    </row>
    <row r="356" spans="2:4" x14ac:dyDescent="0.25">
      <c r="B356" s="68"/>
      <c r="C356" s="50"/>
      <c r="D356" s="15"/>
    </row>
    <row r="357" spans="2:4" x14ac:dyDescent="0.25">
      <c r="B357" s="68"/>
      <c r="C357" s="50"/>
      <c r="D357" s="15"/>
    </row>
    <row r="358" spans="2:4" x14ac:dyDescent="0.25">
      <c r="B358" s="68"/>
      <c r="C358" s="50"/>
      <c r="D358" s="15"/>
    </row>
    <row r="359" spans="2:4" x14ac:dyDescent="0.25">
      <c r="B359" s="68"/>
      <c r="C359" s="50"/>
      <c r="D359" s="15"/>
    </row>
    <row r="360" spans="2:4" x14ac:dyDescent="0.25">
      <c r="B360" s="68"/>
      <c r="C360" s="50"/>
      <c r="D360" s="15"/>
    </row>
    <row r="361" spans="2:4" x14ac:dyDescent="0.25">
      <c r="B361" s="68"/>
      <c r="C361" s="50"/>
      <c r="D361" s="15"/>
    </row>
    <row r="362" spans="2:4" x14ac:dyDescent="0.25">
      <c r="B362" s="68"/>
      <c r="C362" s="50"/>
      <c r="D362" s="15"/>
    </row>
    <row r="363" spans="2:4" x14ac:dyDescent="0.25">
      <c r="B363" s="68"/>
      <c r="C363" s="50"/>
      <c r="D363" s="15"/>
    </row>
    <row r="364" spans="2:4" x14ac:dyDescent="0.25">
      <c r="B364" s="68"/>
      <c r="C364" s="50"/>
      <c r="D364" s="15"/>
    </row>
    <row r="365" spans="2:4" x14ac:dyDescent="0.25">
      <c r="B365" s="68"/>
      <c r="C365" s="50"/>
      <c r="D365" s="15"/>
    </row>
    <row r="366" spans="2:4" x14ac:dyDescent="0.25">
      <c r="B366" s="68"/>
      <c r="C366" s="50"/>
      <c r="D366" s="15"/>
    </row>
    <row r="367" spans="2:4" x14ac:dyDescent="0.25">
      <c r="B367" s="68"/>
      <c r="C367" s="50"/>
      <c r="D367" s="15"/>
    </row>
    <row r="368" spans="2:4" x14ac:dyDescent="0.25">
      <c r="B368" s="68"/>
      <c r="C368" s="50"/>
      <c r="D368" s="15"/>
    </row>
    <row r="369" spans="2:4" x14ac:dyDescent="0.25">
      <c r="B369" s="68"/>
      <c r="C369" s="50"/>
      <c r="D369" s="15"/>
    </row>
    <row r="370" spans="2:4" x14ac:dyDescent="0.25">
      <c r="B370" s="68"/>
      <c r="C370" s="50"/>
      <c r="D370" s="15"/>
    </row>
    <row r="371" spans="2:4" x14ac:dyDescent="0.25">
      <c r="B371" s="68"/>
      <c r="C371" s="50"/>
      <c r="D371" s="15"/>
    </row>
    <row r="372" spans="2:4" x14ac:dyDescent="0.25">
      <c r="B372" s="68"/>
      <c r="C372" s="50"/>
      <c r="D372" s="15"/>
    </row>
    <row r="373" spans="2:4" x14ac:dyDescent="0.25">
      <c r="B373" s="68"/>
      <c r="C373" s="50"/>
      <c r="D373" s="15"/>
    </row>
    <row r="374" spans="2:4" x14ac:dyDescent="0.25">
      <c r="B374" s="68"/>
      <c r="C374" s="50"/>
      <c r="D374" s="15"/>
    </row>
    <row r="375" spans="2:4" x14ac:dyDescent="0.25">
      <c r="B375" s="68"/>
      <c r="C375" s="50"/>
      <c r="D375" s="15"/>
    </row>
    <row r="376" spans="2:4" x14ac:dyDescent="0.25">
      <c r="B376" s="68"/>
      <c r="C376" s="50"/>
      <c r="D376" s="15"/>
    </row>
    <row r="377" spans="2:4" x14ac:dyDescent="0.25">
      <c r="B377" s="68"/>
      <c r="C377" s="50"/>
      <c r="D377" s="15"/>
    </row>
    <row r="378" spans="2:4" x14ac:dyDescent="0.25">
      <c r="B378" s="68"/>
      <c r="C378" s="50"/>
      <c r="D378" s="15"/>
    </row>
    <row r="379" spans="2:4" x14ac:dyDescent="0.25">
      <c r="B379" s="68"/>
      <c r="C379" s="50"/>
      <c r="D379" s="15"/>
    </row>
    <row r="380" spans="2:4" x14ac:dyDescent="0.25">
      <c r="B380" s="68"/>
      <c r="C380" s="50"/>
      <c r="D380" s="15"/>
    </row>
    <row r="381" spans="2:4" x14ac:dyDescent="0.25">
      <c r="B381" s="68"/>
      <c r="C381" s="50"/>
      <c r="D381" s="15"/>
    </row>
    <row r="382" spans="2:4" x14ac:dyDescent="0.25">
      <c r="B382" s="68"/>
      <c r="C382" s="50"/>
      <c r="D382" s="15"/>
    </row>
    <row r="383" spans="2:4" x14ac:dyDescent="0.25">
      <c r="B383" s="68"/>
      <c r="C383" s="50"/>
      <c r="D383" s="15"/>
    </row>
    <row r="384" spans="2:4" x14ac:dyDescent="0.25">
      <c r="B384" s="68"/>
      <c r="C384" s="50"/>
      <c r="D384" s="15"/>
    </row>
    <row r="385" spans="2:4" x14ac:dyDescent="0.25">
      <c r="B385" s="68"/>
      <c r="C385" s="50"/>
      <c r="D385" s="15"/>
    </row>
    <row r="386" spans="2:4" x14ac:dyDescent="0.25">
      <c r="B386" s="68"/>
      <c r="C386" s="50"/>
      <c r="D386" s="15"/>
    </row>
    <row r="387" spans="2:4" x14ac:dyDescent="0.25">
      <c r="B387" s="68"/>
      <c r="C387" s="50"/>
      <c r="D387" s="15"/>
    </row>
    <row r="388" spans="2:4" x14ac:dyDescent="0.25">
      <c r="B388" s="68"/>
      <c r="C388" s="50"/>
      <c r="D388" s="15"/>
    </row>
    <row r="389" spans="2:4" x14ac:dyDescent="0.25">
      <c r="B389" s="68"/>
      <c r="C389" s="50"/>
      <c r="D389" s="15"/>
    </row>
    <row r="390" spans="2:4" x14ac:dyDescent="0.25">
      <c r="B390" s="68"/>
      <c r="C390" s="50"/>
      <c r="D390" s="15"/>
    </row>
    <row r="391" spans="2:4" x14ac:dyDescent="0.25">
      <c r="B391" s="68"/>
      <c r="C391" s="50"/>
      <c r="D391" s="15"/>
    </row>
    <row r="392" spans="2:4" x14ac:dyDescent="0.25">
      <c r="B392" s="68"/>
      <c r="C392" s="50"/>
      <c r="D392" s="15"/>
    </row>
    <row r="393" spans="2:4" x14ac:dyDescent="0.25">
      <c r="B393" s="68"/>
      <c r="C393" s="50"/>
      <c r="D393" s="15"/>
    </row>
    <row r="394" spans="2:4" x14ac:dyDescent="0.25">
      <c r="B394" s="68"/>
      <c r="C394" s="50"/>
      <c r="D394" s="15"/>
    </row>
    <row r="395" spans="2:4" x14ac:dyDescent="0.25">
      <c r="B395" s="68"/>
      <c r="C395" s="50"/>
      <c r="D395" s="15"/>
    </row>
    <row r="396" spans="2:4" x14ac:dyDescent="0.25">
      <c r="B396" s="68"/>
      <c r="C396" s="50"/>
      <c r="D396" s="15"/>
    </row>
    <row r="397" spans="2:4" x14ac:dyDescent="0.25">
      <c r="B397" s="68"/>
      <c r="C397" s="50"/>
      <c r="D397" s="15"/>
    </row>
    <row r="398" spans="2:4" x14ac:dyDescent="0.25">
      <c r="B398" s="68"/>
      <c r="C398" s="50"/>
      <c r="D398" s="15"/>
    </row>
    <row r="399" spans="2:4" x14ac:dyDescent="0.25">
      <c r="B399" s="68"/>
      <c r="C399" s="50"/>
      <c r="D399" s="15"/>
    </row>
    <row r="400" spans="2:4" x14ac:dyDescent="0.25">
      <c r="B400" s="68"/>
      <c r="C400" s="50"/>
      <c r="D400" s="15"/>
    </row>
    <row r="401" spans="2:4" x14ac:dyDescent="0.25">
      <c r="B401" s="68"/>
      <c r="C401" s="50"/>
      <c r="D401" s="15"/>
    </row>
    <row r="402" spans="2:4" x14ac:dyDescent="0.25">
      <c r="B402" s="68"/>
      <c r="C402" s="50"/>
      <c r="D402" s="15"/>
    </row>
    <row r="403" spans="2:4" x14ac:dyDescent="0.25">
      <c r="B403" s="68"/>
      <c r="C403" s="50"/>
      <c r="D403" s="15"/>
    </row>
    <row r="404" spans="2:4" x14ac:dyDescent="0.25">
      <c r="B404" s="68"/>
      <c r="C404" s="50"/>
      <c r="D404" s="15"/>
    </row>
    <row r="405" spans="2:4" x14ac:dyDescent="0.25">
      <c r="B405" s="68"/>
      <c r="C405" s="50"/>
      <c r="D405" s="15"/>
    </row>
    <row r="406" spans="2:4" x14ac:dyDescent="0.25">
      <c r="B406" s="68"/>
      <c r="C406" s="50"/>
      <c r="D406" s="15"/>
    </row>
    <row r="407" spans="2:4" x14ac:dyDescent="0.25">
      <c r="B407" s="68"/>
      <c r="C407" s="50"/>
      <c r="D407" s="15"/>
    </row>
    <row r="408" spans="2:4" x14ac:dyDescent="0.25">
      <c r="B408" s="68"/>
      <c r="C408" s="50"/>
      <c r="D408" s="15"/>
    </row>
    <row r="409" spans="2:4" x14ac:dyDescent="0.25">
      <c r="B409" s="68"/>
      <c r="C409" s="50"/>
      <c r="D409" s="15"/>
    </row>
    <row r="410" spans="2:4" x14ac:dyDescent="0.25">
      <c r="B410" s="68"/>
      <c r="C410" s="50"/>
      <c r="D410" s="15"/>
    </row>
    <row r="411" spans="2:4" x14ac:dyDescent="0.25">
      <c r="B411" s="68"/>
      <c r="C411" s="50"/>
      <c r="D411" s="15"/>
    </row>
    <row r="412" spans="2:4" x14ac:dyDescent="0.25">
      <c r="B412" s="68"/>
      <c r="C412" s="50"/>
      <c r="D412" s="15"/>
    </row>
    <row r="413" spans="2:4" x14ac:dyDescent="0.25">
      <c r="B413" s="68"/>
      <c r="C413" s="50"/>
      <c r="D413" s="15"/>
    </row>
    <row r="414" spans="2:4" x14ac:dyDescent="0.25">
      <c r="B414" s="68"/>
      <c r="C414" s="50"/>
      <c r="D414" s="15"/>
    </row>
    <row r="415" spans="2:4" x14ac:dyDescent="0.25">
      <c r="B415" s="68"/>
      <c r="C415" s="50"/>
      <c r="D415" s="15"/>
    </row>
    <row r="416" spans="2:4" x14ac:dyDescent="0.25">
      <c r="B416" s="68"/>
      <c r="C416" s="50"/>
      <c r="D416" s="15"/>
    </row>
    <row r="417" spans="2:4" x14ac:dyDescent="0.25">
      <c r="B417" s="68"/>
      <c r="C417" s="50"/>
      <c r="D417" s="15"/>
    </row>
    <row r="418" spans="2:4" x14ac:dyDescent="0.25">
      <c r="B418" s="68"/>
      <c r="C418" s="50"/>
      <c r="D418" s="15"/>
    </row>
    <row r="419" spans="2:4" x14ac:dyDescent="0.25">
      <c r="B419" s="68"/>
      <c r="C419" s="50"/>
      <c r="D419" s="15"/>
    </row>
    <row r="420" spans="2:4" x14ac:dyDescent="0.25">
      <c r="B420" s="68"/>
      <c r="C420" s="50"/>
      <c r="D420" s="15"/>
    </row>
    <row r="421" spans="2:4" x14ac:dyDescent="0.25">
      <c r="B421" s="68"/>
      <c r="C421" s="50"/>
      <c r="D421" s="15"/>
    </row>
    <row r="422" spans="2:4" x14ac:dyDescent="0.25">
      <c r="B422" s="68"/>
      <c r="C422" s="50"/>
      <c r="D422" s="15"/>
    </row>
    <row r="423" spans="2:4" x14ac:dyDescent="0.25">
      <c r="B423" s="68"/>
      <c r="C423" s="50"/>
      <c r="D423" s="15"/>
    </row>
    <row r="424" spans="2:4" x14ac:dyDescent="0.25">
      <c r="B424" s="68"/>
      <c r="C424" s="50"/>
      <c r="D424" s="15"/>
    </row>
    <row r="425" spans="2:4" x14ac:dyDescent="0.25">
      <c r="B425" s="68"/>
      <c r="C425" s="50"/>
      <c r="D425" s="15"/>
    </row>
    <row r="426" spans="2:4" x14ac:dyDescent="0.25">
      <c r="B426" s="68"/>
      <c r="C426" s="50"/>
      <c r="D426" s="15"/>
    </row>
    <row r="427" spans="2:4" x14ac:dyDescent="0.25">
      <c r="B427" s="68"/>
      <c r="C427" s="50"/>
      <c r="D427" s="15"/>
    </row>
    <row r="428" spans="2:4" x14ac:dyDescent="0.25">
      <c r="B428" s="68"/>
      <c r="C428" s="50"/>
      <c r="D428" s="15"/>
    </row>
    <row r="429" spans="2:4" x14ac:dyDescent="0.25">
      <c r="B429" s="68"/>
      <c r="C429" s="50"/>
      <c r="D429" s="15"/>
    </row>
    <row r="430" spans="2:4" x14ac:dyDescent="0.25">
      <c r="B430" s="68"/>
      <c r="C430" s="50"/>
      <c r="D430" s="15"/>
    </row>
    <row r="431" spans="2:4" x14ac:dyDescent="0.25">
      <c r="B431" s="68"/>
      <c r="C431" s="50"/>
      <c r="D431" s="15"/>
    </row>
    <row r="432" spans="2:4" x14ac:dyDescent="0.25">
      <c r="B432" s="68"/>
      <c r="C432" s="50"/>
      <c r="D432" s="15"/>
    </row>
    <row r="433" spans="2:4" x14ac:dyDescent="0.25">
      <c r="B433" s="68"/>
      <c r="C433" s="50"/>
      <c r="D433" s="15"/>
    </row>
    <row r="434" spans="2:4" x14ac:dyDescent="0.25">
      <c r="B434" s="68"/>
      <c r="C434" s="50"/>
      <c r="D434" s="15"/>
    </row>
    <row r="435" spans="2:4" x14ac:dyDescent="0.25">
      <c r="B435" s="68"/>
      <c r="C435" s="50"/>
      <c r="D435" s="15"/>
    </row>
    <row r="436" spans="2:4" x14ac:dyDescent="0.25">
      <c r="B436" s="68"/>
      <c r="C436" s="50"/>
      <c r="D436" s="15"/>
    </row>
    <row r="437" spans="2:4" x14ac:dyDescent="0.25">
      <c r="B437" s="68"/>
      <c r="C437" s="50"/>
      <c r="D437" s="15"/>
    </row>
    <row r="438" spans="2:4" x14ac:dyDescent="0.25">
      <c r="B438" s="68"/>
      <c r="C438" s="50"/>
      <c r="D438" s="15"/>
    </row>
    <row r="439" spans="2:4" x14ac:dyDescent="0.25">
      <c r="B439" s="68"/>
      <c r="C439" s="50"/>
      <c r="D439" s="15"/>
    </row>
    <row r="440" spans="2:4" x14ac:dyDescent="0.25">
      <c r="B440" s="68"/>
      <c r="C440" s="50"/>
      <c r="D440" s="15"/>
    </row>
    <row r="441" spans="2:4" x14ac:dyDescent="0.25">
      <c r="B441" s="68"/>
      <c r="C441" s="50"/>
      <c r="D441" s="15"/>
    </row>
    <row r="442" spans="2:4" x14ac:dyDescent="0.25">
      <c r="B442" s="68"/>
      <c r="C442" s="50"/>
      <c r="D442" s="15"/>
    </row>
    <row r="443" spans="2:4" x14ac:dyDescent="0.25">
      <c r="B443" s="68"/>
      <c r="C443" s="50"/>
      <c r="D443" s="15"/>
    </row>
    <row r="444" spans="2:4" x14ac:dyDescent="0.25">
      <c r="B444" s="68"/>
      <c r="C444" s="50"/>
      <c r="D444" s="15"/>
    </row>
    <row r="445" spans="2:4" x14ac:dyDescent="0.25">
      <c r="B445" s="68"/>
      <c r="C445" s="50"/>
      <c r="D445" s="15"/>
    </row>
    <row r="446" spans="2:4" x14ac:dyDescent="0.25">
      <c r="B446" s="68"/>
      <c r="C446" s="50"/>
      <c r="D446" s="15"/>
    </row>
    <row r="447" spans="2:4" x14ac:dyDescent="0.25">
      <c r="B447" s="68"/>
      <c r="C447" s="50"/>
      <c r="D447" s="15"/>
    </row>
    <row r="448" spans="2:4" x14ac:dyDescent="0.25">
      <c r="B448" s="68"/>
      <c r="C448" s="50"/>
      <c r="D448" s="15"/>
    </row>
    <row r="449" spans="2:4" x14ac:dyDescent="0.25">
      <c r="B449" s="68"/>
      <c r="C449" s="50"/>
      <c r="D449" s="15"/>
    </row>
    <row r="450" spans="2:4" x14ac:dyDescent="0.25">
      <c r="B450" s="68"/>
      <c r="C450" s="50"/>
      <c r="D450" s="15"/>
    </row>
    <row r="451" spans="2:4" x14ac:dyDescent="0.25">
      <c r="B451" s="68"/>
      <c r="C451" s="50"/>
      <c r="D451" s="15"/>
    </row>
    <row r="452" spans="2:4" x14ac:dyDescent="0.25">
      <c r="B452" s="68"/>
      <c r="C452" s="50"/>
      <c r="D452" s="15"/>
    </row>
    <row r="453" spans="2:4" x14ac:dyDescent="0.25">
      <c r="B453" s="68"/>
      <c r="C453" s="50"/>
      <c r="D453" s="15"/>
    </row>
    <row r="454" spans="2:4" x14ac:dyDescent="0.25">
      <c r="B454" s="68"/>
      <c r="C454" s="50"/>
      <c r="D454" s="15"/>
    </row>
    <row r="455" spans="2:4" x14ac:dyDescent="0.25">
      <c r="B455" s="68"/>
      <c r="C455" s="50"/>
      <c r="D455" s="15"/>
    </row>
    <row r="456" spans="2:4" x14ac:dyDescent="0.25">
      <c r="B456" s="68"/>
      <c r="C456" s="50"/>
      <c r="D456" s="15"/>
    </row>
    <row r="457" spans="2:4" x14ac:dyDescent="0.25">
      <c r="B457" s="68"/>
      <c r="C457" s="50"/>
      <c r="D457" s="15"/>
    </row>
    <row r="458" spans="2:4" x14ac:dyDescent="0.25">
      <c r="B458" s="68"/>
      <c r="C458" s="50"/>
      <c r="D458" s="15"/>
    </row>
    <row r="459" spans="2:4" x14ac:dyDescent="0.25">
      <c r="B459" s="68"/>
      <c r="C459" s="50"/>
      <c r="D459" s="15"/>
    </row>
    <row r="460" spans="2:4" x14ac:dyDescent="0.25">
      <c r="B460" s="68"/>
      <c r="C460" s="50"/>
      <c r="D460" s="15"/>
    </row>
    <row r="461" spans="2:4" x14ac:dyDescent="0.25">
      <c r="B461" s="68"/>
      <c r="C461" s="50"/>
      <c r="D461" s="15"/>
    </row>
    <row r="462" spans="2:4" x14ac:dyDescent="0.25">
      <c r="B462" s="68"/>
      <c r="C462" s="50"/>
      <c r="D462" s="15"/>
    </row>
    <row r="463" spans="2:4" x14ac:dyDescent="0.25">
      <c r="B463" s="68"/>
      <c r="C463" s="50"/>
      <c r="D463" s="15"/>
    </row>
    <row r="464" spans="2:4" x14ac:dyDescent="0.25">
      <c r="B464" s="68"/>
      <c r="C464" s="50"/>
      <c r="D464" s="15"/>
    </row>
    <row r="465" spans="2:4" x14ac:dyDescent="0.25">
      <c r="B465" s="68"/>
      <c r="C465" s="50"/>
      <c r="D465" s="15"/>
    </row>
    <row r="466" spans="2:4" x14ac:dyDescent="0.25">
      <c r="B466" s="68"/>
      <c r="C466" s="50"/>
      <c r="D466" s="15"/>
    </row>
    <row r="467" spans="2:4" x14ac:dyDescent="0.25">
      <c r="B467" s="68"/>
      <c r="C467" s="50"/>
      <c r="D467" s="15"/>
    </row>
    <row r="468" spans="2:4" x14ac:dyDescent="0.25">
      <c r="B468" s="68"/>
      <c r="C468" s="50"/>
      <c r="D468" s="15"/>
    </row>
    <row r="469" spans="2:4" x14ac:dyDescent="0.25">
      <c r="B469" s="68"/>
      <c r="C469" s="50"/>
      <c r="D469" s="15"/>
    </row>
    <row r="470" spans="2:4" x14ac:dyDescent="0.25">
      <c r="B470" s="68"/>
      <c r="C470" s="50"/>
      <c r="D470" s="15"/>
    </row>
    <row r="471" spans="2:4" x14ac:dyDescent="0.25">
      <c r="B471" s="68"/>
      <c r="C471" s="50"/>
      <c r="D471" s="15"/>
    </row>
    <row r="472" spans="2:4" x14ac:dyDescent="0.25">
      <c r="B472" s="68"/>
      <c r="C472" s="50"/>
      <c r="D472" s="15"/>
    </row>
    <row r="473" spans="2:4" x14ac:dyDescent="0.25">
      <c r="B473" s="68"/>
      <c r="C473" s="50"/>
      <c r="D473" s="15"/>
    </row>
    <row r="474" spans="2:4" x14ac:dyDescent="0.25">
      <c r="B474" s="68"/>
      <c r="C474" s="50"/>
      <c r="D474" s="15"/>
    </row>
    <row r="475" spans="2:4" x14ac:dyDescent="0.25">
      <c r="B475" s="68"/>
      <c r="C475" s="50"/>
      <c r="D475" s="15"/>
    </row>
    <row r="476" spans="2:4" x14ac:dyDescent="0.25">
      <c r="B476" s="68"/>
      <c r="C476" s="50"/>
      <c r="D476" s="15"/>
    </row>
    <row r="477" spans="2:4" x14ac:dyDescent="0.25">
      <c r="B477" s="68"/>
      <c r="C477" s="50"/>
      <c r="D477" s="15"/>
    </row>
    <row r="478" spans="2:4" x14ac:dyDescent="0.25">
      <c r="B478" s="68"/>
      <c r="C478" s="50"/>
      <c r="D478" s="15"/>
    </row>
    <row r="479" spans="2:4" x14ac:dyDescent="0.25">
      <c r="B479" s="68"/>
      <c r="C479" s="50"/>
      <c r="D479" s="15"/>
    </row>
    <row r="480" spans="2:4" x14ac:dyDescent="0.25">
      <c r="B480" s="68"/>
      <c r="C480" s="50"/>
      <c r="D480" s="15"/>
    </row>
    <row r="481" spans="2:4" x14ac:dyDescent="0.25">
      <c r="B481" s="68"/>
      <c r="C481" s="50"/>
      <c r="D481" s="15"/>
    </row>
    <row r="482" spans="2:4" x14ac:dyDescent="0.25">
      <c r="B482" s="68"/>
      <c r="C482" s="50"/>
      <c r="D482" s="15"/>
    </row>
    <row r="483" spans="2:4" x14ac:dyDescent="0.25">
      <c r="B483" s="68"/>
      <c r="C483" s="50"/>
      <c r="D483" s="15"/>
    </row>
    <row r="484" spans="2:4" x14ac:dyDescent="0.25">
      <c r="B484" s="68"/>
      <c r="C484" s="50"/>
      <c r="D484" s="15"/>
    </row>
    <row r="485" spans="2:4" x14ac:dyDescent="0.25">
      <c r="B485" s="68"/>
      <c r="C485" s="50"/>
      <c r="D485" s="15"/>
    </row>
    <row r="486" spans="2:4" x14ac:dyDescent="0.25">
      <c r="B486" s="68"/>
      <c r="C486" s="50"/>
      <c r="D486" s="15"/>
    </row>
    <row r="487" spans="2:4" x14ac:dyDescent="0.25">
      <c r="B487" s="68"/>
      <c r="C487" s="50"/>
      <c r="D487" s="15"/>
    </row>
    <row r="488" spans="2:4" x14ac:dyDescent="0.25">
      <c r="B488" s="68"/>
      <c r="C488" s="50"/>
      <c r="D488" s="15"/>
    </row>
    <row r="489" spans="2:4" x14ac:dyDescent="0.25">
      <c r="B489" s="68"/>
      <c r="C489" s="50"/>
      <c r="D489" s="15"/>
    </row>
    <row r="490" spans="2:4" x14ac:dyDescent="0.25">
      <c r="B490" s="68"/>
      <c r="C490" s="50"/>
      <c r="D490" s="15"/>
    </row>
    <row r="491" spans="2:4" x14ac:dyDescent="0.25">
      <c r="B491" s="68"/>
      <c r="C491" s="50"/>
      <c r="D491" s="15"/>
    </row>
    <row r="492" spans="2:4" x14ac:dyDescent="0.25">
      <c r="B492" s="68"/>
      <c r="C492" s="50"/>
      <c r="D492" s="15"/>
    </row>
    <row r="493" spans="2:4" x14ac:dyDescent="0.25">
      <c r="B493" s="68"/>
      <c r="C493" s="50"/>
      <c r="D493" s="15"/>
    </row>
    <row r="494" spans="2:4" x14ac:dyDescent="0.25">
      <c r="B494" s="68"/>
      <c r="C494" s="50"/>
      <c r="D494" s="15"/>
    </row>
    <row r="495" spans="2:4" x14ac:dyDescent="0.25">
      <c r="B495" s="68"/>
      <c r="C495" s="50"/>
      <c r="D495" s="15"/>
    </row>
    <row r="496" spans="2:4" x14ac:dyDescent="0.25">
      <c r="B496" s="68"/>
      <c r="C496" s="50"/>
      <c r="D496" s="15"/>
    </row>
    <row r="497" spans="2:4" x14ac:dyDescent="0.25">
      <c r="B497" s="68"/>
      <c r="C497" s="50"/>
      <c r="D497" s="15"/>
    </row>
    <row r="498" spans="2:4" x14ac:dyDescent="0.25">
      <c r="B498" s="68"/>
      <c r="C498" s="50"/>
      <c r="D498" s="15"/>
    </row>
    <row r="499" spans="2:4" x14ac:dyDescent="0.25">
      <c r="B499" s="68"/>
      <c r="C499" s="50"/>
      <c r="D499" s="15"/>
    </row>
    <row r="500" spans="2:4" x14ac:dyDescent="0.25">
      <c r="B500" s="68"/>
      <c r="C500" s="50"/>
      <c r="D500" s="15"/>
    </row>
    <row r="501" spans="2:4" x14ac:dyDescent="0.25">
      <c r="B501" s="68"/>
      <c r="C501" s="50"/>
      <c r="D501" s="15"/>
    </row>
    <row r="502" spans="2:4" x14ac:dyDescent="0.25">
      <c r="B502" s="68"/>
      <c r="C502" s="50"/>
      <c r="D502" s="15"/>
    </row>
    <row r="503" spans="2:4" x14ac:dyDescent="0.25">
      <c r="B503" s="68"/>
      <c r="C503" s="50"/>
      <c r="D503" s="15"/>
    </row>
    <row r="504" spans="2:4" x14ac:dyDescent="0.25">
      <c r="B504" s="68"/>
      <c r="C504" s="50"/>
      <c r="D504" s="15"/>
    </row>
    <row r="505" spans="2:4" x14ac:dyDescent="0.25">
      <c r="B505" s="68"/>
      <c r="C505" s="50"/>
      <c r="D505" s="15"/>
    </row>
    <row r="506" spans="2:4" x14ac:dyDescent="0.25">
      <c r="B506" s="68"/>
      <c r="C506" s="50"/>
      <c r="D506" s="15"/>
    </row>
    <row r="507" spans="2:4" x14ac:dyDescent="0.25">
      <c r="B507" s="68"/>
      <c r="C507" s="50"/>
      <c r="D507" s="15"/>
    </row>
    <row r="508" spans="2:4" x14ac:dyDescent="0.25">
      <c r="B508" s="68"/>
      <c r="C508" s="50"/>
      <c r="D508" s="15"/>
    </row>
    <row r="509" spans="2:4" x14ac:dyDescent="0.25">
      <c r="B509" s="68"/>
      <c r="C509" s="50"/>
      <c r="D509" s="15"/>
    </row>
    <row r="510" spans="2:4" x14ac:dyDescent="0.25">
      <c r="B510" s="68"/>
      <c r="C510" s="50"/>
      <c r="D510" s="15"/>
    </row>
    <row r="511" spans="2:4" x14ac:dyDescent="0.25">
      <c r="B511" s="68"/>
      <c r="C511" s="50"/>
      <c r="D511" s="15"/>
    </row>
    <row r="512" spans="2:4" x14ac:dyDescent="0.25">
      <c r="B512" s="68"/>
      <c r="C512" s="50"/>
      <c r="D512" s="15"/>
    </row>
    <row r="513" spans="2:4" x14ac:dyDescent="0.25">
      <c r="B513" s="68"/>
      <c r="C513" s="50"/>
      <c r="D513" s="15"/>
    </row>
    <row r="514" spans="2:4" x14ac:dyDescent="0.25">
      <c r="B514" s="68"/>
      <c r="C514" s="50"/>
      <c r="D514" s="15"/>
    </row>
    <row r="515" spans="2:4" x14ac:dyDescent="0.25">
      <c r="B515" s="68"/>
      <c r="C515" s="50"/>
      <c r="D515" s="15"/>
    </row>
    <row r="516" spans="2:4" x14ac:dyDescent="0.25">
      <c r="B516" s="68"/>
      <c r="C516" s="50"/>
      <c r="D516" s="15"/>
    </row>
    <row r="517" spans="2:4" x14ac:dyDescent="0.25">
      <c r="B517" s="68"/>
      <c r="C517" s="50"/>
      <c r="D517" s="15"/>
    </row>
    <row r="518" spans="2:4" x14ac:dyDescent="0.25">
      <c r="B518" s="68"/>
      <c r="C518" s="50"/>
      <c r="D518" s="15"/>
    </row>
    <row r="519" spans="2:4" x14ac:dyDescent="0.25">
      <c r="B519" s="68"/>
      <c r="C519" s="50"/>
      <c r="D519" s="15"/>
    </row>
    <row r="520" spans="2:4" x14ac:dyDescent="0.25">
      <c r="B520" s="68"/>
      <c r="C520" s="50"/>
      <c r="D520" s="15"/>
    </row>
    <row r="521" spans="2:4" x14ac:dyDescent="0.25">
      <c r="B521" s="68"/>
      <c r="C521" s="50"/>
      <c r="D521" s="15"/>
    </row>
    <row r="522" spans="2:4" x14ac:dyDescent="0.25">
      <c r="B522" s="68"/>
      <c r="C522" s="50"/>
      <c r="D522" s="15"/>
    </row>
    <row r="523" spans="2:4" x14ac:dyDescent="0.25">
      <c r="B523" s="68"/>
      <c r="C523" s="50"/>
      <c r="D523" s="15"/>
    </row>
    <row r="524" spans="2:4" x14ac:dyDescent="0.25">
      <c r="B524" s="68"/>
      <c r="C524" s="50"/>
      <c r="D524" s="15"/>
    </row>
    <row r="525" spans="2:4" x14ac:dyDescent="0.25">
      <c r="B525" s="68"/>
      <c r="C525" s="50"/>
      <c r="D525" s="15"/>
    </row>
    <row r="526" spans="2:4" x14ac:dyDescent="0.25">
      <c r="B526" s="68"/>
      <c r="C526" s="50"/>
      <c r="D526" s="15"/>
    </row>
    <row r="527" spans="2:4" x14ac:dyDescent="0.25">
      <c r="B527" s="68"/>
      <c r="C527" s="50"/>
      <c r="D527" s="15"/>
    </row>
    <row r="528" spans="2:4" x14ac:dyDescent="0.25">
      <c r="B528" s="68"/>
      <c r="C528" s="50"/>
      <c r="D528" s="15"/>
    </row>
    <row r="529" spans="2:4" x14ac:dyDescent="0.25">
      <c r="B529" s="68"/>
      <c r="C529" s="50"/>
      <c r="D529" s="15"/>
    </row>
    <row r="530" spans="2:4" x14ac:dyDescent="0.25">
      <c r="B530" s="68"/>
      <c r="C530" s="50"/>
      <c r="D530" s="15"/>
    </row>
    <row r="531" spans="2:4" x14ac:dyDescent="0.25">
      <c r="B531" s="68"/>
      <c r="C531" s="50"/>
      <c r="D531" s="15"/>
    </row>
    <row r="532" spans="2:4" x14ac:dyDescent="0.25">
      <c r="B532" s="68"/>
      <c r="C532" s="50"/>
      <c r="D532" s="15"/>
    </row>
    <row r="533" spans="2:4" x14ac:dyDescent="0.25">
      <c r="B533" s="68"/>
      <c r="C533" s="50"/>
      <c r="D533" s="15"/>
    </row>
    <row r="534" spans="2:4" x14ac:dyDescent="0.25">
      <c r="B534" s="68"/>
      <c r="C534" s="50"/>
      <c r="D534" s="15"/>
    </row>
    <row r="535" spans="2:4" x14ac:dyDescent="0.25">
      <c r="B535" s="68"/>
      <c r="C535" s="50"/>
      <c r="D535" s="15"/>
    </row>
    <row r="536" spans="2:4" x14ac:dyDescent="0.25">
      <c r="B536" s="68"/>
      <c r="C536" s="50"/>
      <c r="D536" s="15"/>
    </row>
    <row r="537" spans="2:4" x14ac:dyDescent="0.25">
      <c r="B537" s="68"/>
      <c r="C537" s="50"/>
      <c r="D537" s="15"/>
    </row>
    <row r="538" spans="2:4" x14ac:dyDescent="0.25">
      <c r="B538" s="68"/>
      <c r="C538" s="50"/>
      <c r="D538" s="15"/>
    </row>
    <row r="539" spans="2:4" x14ac:dyDescent="0.25">
      <c r="B539" s="68"/>
      <c r="C539" s="50"/>
      <c r="D539" s="15"/>
    </row>
    <row r="540" spans="2:4" x14ac:dyDescent="0.25">
      <c r="B540" s="68"/>
      <c r="C540" s="50"/>
      <c r="D540" s="15"/>
    </row>
    <row r="541" spans="2:4" x14ac:dyDescent="0.25">
      <c r="B541" s="68"/>
      <c r="C541" s="50"/>
      <c r="D541" s="15"/>
    </row>
    <row r="542" spans="2:4" x14ac:dyDescent="0.25">
      <c r="B542" s="68"/>
      <c r="C542" s="50"/>
      <c r="D542" s="15"/>
    </row>
    <row r="543" spans="2:4" x14ac:dyDescent="0.25">
      <c r="B543" s="68"/>
      <c r="C543" s="50"/>
      <c r="D543" s="15"/>
    </row>
    <row r="544" spans="2:4" x14ac:dyDescent="0.25">
      <c r="B544" s="68"/>
      <c r="C544" s="50"/>
      <c r="D544" s="15"/>
    </row>
    <row r="545" spans="2:4" x14ac:dyDescent="0.25">
      <c r="B545" s="68"/>
      <c r="C545" s="50"/>
      <c r="D545" s="15"/>
    </row>
    <row r="546" spans="2:4" x14ac:dyDescent="0.25">
      <c r="B546" s="68"/>
      <c r="C546" s="50"/>
      <c r="D546" s="15"/>
    </row>
    <row r="547" spans="2:4" x14ac:dyDescent="0.25">
      <c r="B547" s="68"/>
      <c r="C547" s="50"/>
      <c r="D547" s="15"/>
    </row>
    <row r="548" spans="2:4" x14ac:dyDescent="0.25">
      <c r="B548" s="68"/>
      <c r="C548" s="50"/>
      <c r="D548" s="15"/>
    </row>
    <row r="549" spans="2:4" x14ac:dyDescent="0.25">
      <c r="B549" s="68"/>
      <c r="C549" s="50"/>
      <c r="D549" s="15"/>
    </row>
    <row r="550" spans="2:4" x14ac:dyDescent="0.25">
      <c r="B550" s="68"/>
      <c r="C550" s="50"/>
      <c r="D550" s="15"/>
    </row>
    <row r="551" spans="2:4" x14ac:dyDescent="0.25">
      <c r="B551" s="68"/>
      <c r="C551" s="50"/>
      <c r="D551" s="15"/>
    </row>
    <row r="552" spans="2:4" x14ac:dyDescent="0.25">
      <c r="B552" s="68"/>
      <c r="C552" s="50"/>
      <c r="D552" s="15"/>
    </row>
    <row r="553" spans="2:4" x14ac:dyDescent="0.25">
      <c r="B553" s="68"/>
      <c r="C553" s="50"/>
      <c r="D553" s="15"/>
    </row>
    <row r="554" spans="2:4" x14ac:dyDescent="0.25">
      <c r="B554" s="68"/>
      <c r="C554" s="50"/>
      <c r="D554" s="15"/>
    </row>
    <row r="555" spans="2:4" x14ac:dyDescent="0.25">
      <c r="B555" s="68"/>
      <c r="C555" s="50"/>
      <c r="D555" s="15"/>
    </row>
    <row r="556" spans="2:4" x14ac:dyDescent="0.25">
      <c r="B556" s="68"/>
      <c r="C556" s="50"/>
      <c r="D556" s="15"/>
    </row>
    <row r="557" spans="2:4" x14ac:dyDescent="0.25">
      <c r="B557" s="68"/>
      <c r="C557" s="50"/>
      <c r="D557" s="15"/>
    </row>
    <row r="558" spans="2:4" x14ac:dyDescent="0.25">
      <c r="B558" s="68"/>
      <c r="C558" s="50"/>
      <c r="D558" s="15"/>
    </row>
    <row r="559" spans="2:4" x14ac:dyDescent="0.25">
      <c r="B559" s="68"/>
      <c r="C559" s="50"/>
      <c r="D559" s="15"/>
    </row>
    <row r="560" spans="2:4" x14ac:dyDescent="0.25">
      <c r="B560" s="68"/>
      <c r="C560" s="50"/>
      <c r="D560" s="15"/>
    </row>
    <row r="561" spans="2:4" x14ac:dyDescent="0.25">
      <c r="B561" s="68"/>
      <c r="C561" s="50"/>
      <c r="D561" s="15"/>
    </row>
    <row r="562" spans="2:4" x14ac:dyDescent="0.25">
      <c r="B562" s="68"/>
      <c r="C562" s="50"/>
      <c r="D562" s="15"/>
    </row>
    <row r="563" spans="2:4" x14ac:dyDescent="0.25">
      <c r="B563" s="68"/>
      <c r="C563" s="50"/>
      <c r="D563" s="15"/>
    </row>
    <row r="564" spans="2:4" x14ac:dyDescent="0.25">
      <c r="B564" s="68"/>
      <c r="C564" s="50"/>
      <c r="D564" s="15"/>
    </row>
    <row r="565" spans="2:4" x14ac:dyDescent="0.25">
      <c r="B565" s="68"/>
      <c r="C565" s="50"/>
      <c r="D565" s="15"/>
    </row>
    <row r="566" spans="2:4" x14ac:dyDescent="0.25">
      <c r="B566" s="68"/>
      <c r="C566" s="50"/>
      <c r="D566" s="15"/>
    </row>
    <row r="567" spans="2:4" x14ac:dyDescent="0.25">
      <c r="B567" s="68"/>
      <c r="C567" s="50"/>
      <c r="D567" s="15"/>
    </row>
    <row r="568" spans="2:4" x14ac:dyDescent="0.25">
      <c r="B568" s="68"/>
      <c r="C568" s="50"/>
      <c r="D568" s="15"/>
    </row>
    <row r="569" spans="2:4" x14ac:dyDescent="0.25">
      <c r="B569" s="68"/>
      <c r="C569" s="50"/>
      <c r="D569" s="15"/>
    </row>
    <row r="570" spans="2:4" x14ac:dyDescent="0.25">
      <c r="B570" s="68"/>
      <c r="C570" s="50"/>
      <c r="D570" s="15"/>
    </row>
    <row r="571" spans="2:4" x14ac:dyDescent="0.25">
      <c r="B571" s="68"/>
      <c r="C571" s="50"/>
      <c r="D571" s="15"/>
    </row>
    <row r="572" spans="2:4" x14ac:dyDescent="0.25">
      <c r="B572" s="68"/>
      <c r="C572" s="50"/>
      <c r="D572" s="15"/>
    </row>
    <row r="573" spans="2:4" x14ac:dyDescent="0.25">
      <c r="B573" s="68"/>
      <c r="C573" s="50"/>
      <c r="D573" s="15"/>
    </row>
    <row r="574" spans="2:4" x14ac:dyDescent="0.25">
      <c r="B574" s="68"/>
      <c r="C574" s="50"/>
      <c r="D574" s="15"/>
    </row>
    <row r="575" spans="2:4" x14ac:dyDescent="0.25">
      <c r="B575" s="68"/>
      <c r="C575" s="50"/>
      <c r="D575" s="15"/>
    </row>
    <row r="576" spans="2:4" x14ac:dyDescent="0.25">
      <c r="B576" s="68"/>
      <c r="C576" s="50"/>
      <c r="D576" s="15"/>
    </row>
    <row r="577" spans="2:4" x14ac:dyDescent="0.25">
      <c r="B577" s="68"/>
      <c r="C577" s="50"/>
      <c r="D577" s="15"/>
    </row>
    <row r="578" spans="2:4" x14ac:dyDescent="0.25">
      <c r="B578" s="68"/>
      <c r="C578" s="50"/>
      <c r="D578" s="15"/>
    </row>
    <row r="579" spans="2:4" x14ac:dyDescent="0.25">
      <c r="B579" s="68"/>
      <c r="C579" s="50"/>
      <c r="D579" s="15"/>
    </row>
    <row r="580" spans="2:4" x14ac:dyDescent="0.25">
      <c r="B580" s="68"/>
      <c r="C580" s="50"/>
      <c r="D580" s="15"/>
    </row>
    <row r="581" spans="2:4" x14ac:dyDescent="0.25">
      <c r="B581" s="68"/>
      <c r="C581" s="50"/>
      <c r="D581" s="15"/>
    </row>
    <row r="582" spans="2:4" x14ac:dyDescent="0.25">
      <c r="B582" s="68"/>
      <c r="C582" s="50"/>
      <c r="D582" s="15"/>
    </row>
    <row r="583" spans="2:4" x14ac:dyDescent="0.25">
      <c r="B583" s="68"/>
      <c r="C583" s="50"/>
      <c r="D583" s="15"/>
    </row>
    <row r="584" spans="2:4" x14ac:dyDescent="0.25">
      <c r="B584" s="68"/>
      <c r="C584" s="50"/>
      <c r="D584" s="15"/>
    </row>
    <row r="585" spans="2:4" x14ac:dyDescent="0.25">
      <c r="B585" s="68"/>
      <c r="C585" s="50"/>
      <c r="D585" s="15"/>
    </row>
    <row r="586" spans="2:4" x14ac:dyDescent="0.25">
      <c r="B586" s="68"/>
      <c r="C586" s="50"/>
      <c r="D586" s="15"/>
    </row>
    <row r="587" spans="2:4" x14ac:dyDescent="0.25">
      <c r="B587" s="68"/>
      <c r="C587" s="50"/>
      <c r="D587" s="15"/>
    </row>
    <row r="588" spans="2:4" x14ac:dyDescent="0.25">
      <c r="B588" s="68"/>
      <c r="C588" s="50"/>
      <c r="D588" s="15"/>
    </row>
    <row r="589" spans="2:4" x14ac:dyDescent="0.25">
      <c r="B589" s="68"/>
      <c r="C589" s="50"/>
      <c r="D589" s="15"/>
    </row>
    <row r="590" spans="2:4" x14ac:dyDescent="0.25">
      <c r="B590" s="68"/>
      <c r="C590" s="50"/>
      <c r="D590" s="15"/>
    </row>
    <row r="591" spans="2:4" x14ac:dyDescent="0.25">
      <c r="B591" s="68"/>
      <c r="C591" s="50"/>
      <c r="D591" s="15"/>
    </row>
    <row r="592" spans="2:4" x14ac:dyDescent="0.25">
      <c r="B592" s="68"/>
      <c r="C592" s="50"/>
      <c r="D592" s="15"/>
    </row>
    <row r="593" spans="2:4" x14ac:dyDescent="0.25">
      <c r="B593" s="68"/>
      <c r="C593" s="50"/>
      <c r="D593" s="15"/>
    </row>
    <row r="594" spans="2:4" x14ac:dyDescent="0.25">
      <c r="B594" s="68"/>
      <c r="C594" s="50"/>
      <c r="D594" s="15"/>
    </row>
    <row r="595" spans="2:4" x14ac:dyDescent="0.25">
      <c r="B595" s="68"/>
      <c r="C595" s="50"/>
      <c r="D595" s="15"/>
    </row>
    <row r="596" spans="2:4" x14ac:dyDescent="0.25">
      <c r="B596" s="68"/>
      <c r="C596" s="50"/>
      <c r="D596" s="15"/>
    </row>
    <row r="597" spans="2:4" x14ac:dyDescent="0.25">
      <c r="B597" s="68"/>
      <c r="C597" s="50"/>
      <c r="D597" s="15"/>
    </row>
    <row r="598" spans="2:4" x14ac:dyDescent="0.25">
      <c r="B598" s="68"/>
      <c r="C598" s="50"/>
      <c r="D598" s="15"/>
    </row>
    <row r="599" spans="2:4" x14ac:dyDescent="0.25">
      <c r="B599" s="68"/>
      <c r="C599" s="50"/>
      <c r="D599" s="15"/>
    </row>
    <row r="600" spans="2:4" x14ac:dyDescent="0.25">
      <c r="B600" s="68"/>
      <c r="C600" s="50"/>
      <c r="D600" s="15"/>
    </row>
    <row r="601" spans="2:4" x14ac:dyDescent="0.25">
      <c r="B601" s="68"/>
      <c r="C601" s="50"/>
      <c r="D601" s="15"/>
    </row>
    <row r="602" spans="2:4" x14ac:dyDescent="0.25">
      <c r="B602" s="68"/>
      <c r="C602" s="50"/>
      <c r="D602" s="15"/>
    </row>
    <row r="603" spans="2:4" x14ac:dyDescent="0.25">
      <c r="B603" s="68"/>
      <c r="C603" s="50"/>
      <c r="D603" s="15"/>
    </row>
    <row r="604" spans="2:4" x14ac:dyDescent="0.25">
      <c r="B604" s="68"/>
      <c r="C604" s="50"/>
      <c r="D604" s="15"/>
    </row>
    <row r="605" spans="2:4" x14ac:dyDescent="0.25">
      <c r="B605" s="68"/>
      <c r="C605" s="50"/>
      <c r="D605" s="15"/>
    </row>
    <row r="606" spans="2:4" x14ac:dyDescent="0.25">
      <c r="B606" s="68"/>
      <c r="C606" s="50"/>
      <c r="D606" s="15"/>
    </row>
    <row r="607" spans="2:4" x14ac:dyDescent="0.25">
      <c r="B607" s="68"/>
      <c r="C607" s="50"/>
      <c r="D607" s="15"/>
    </row>
    <row r="608" spans="2:4" x14ac:dyDescent="0.25">
      <c r="B608" s="68"/>
      <c r="C608" s="50"/>
      <c r="D608" s="15"/>
    </row>
    <row r="609" spans="2:4" x14ac:dyDescent="0.25">
      <c r="B609" s="68"/>
      <c r="C609" s="50"/>
      <c r="D609" s="15"/>
    </row>
    <row r="610" spans="2:4" x14ac:dyDescent="0.25">
      <c r="B610" s="68"/>
      <c r="C610" s="50"/>
      <c r="D610" s="15"/>
    </row>
    <row r="611" spans="2:4" x14ac:dyDescent="0.25">
      <c r="B611" s="68"/>
      <c r="C611" s="50"/>
      <c r="D611" s="15"/>
    </row>
    <row r="612" spans="2:4" x14ac:dyDescent="0.25">
      <c r="B612" s="68"/>
      <c r="C612" s="50"/>
      <c r="D612" s="15"/>
    </row>
    <row r="613" spans="2:4" x14ac:dyDescent="0.25">
      <c r="B613" s="68"/>
      <c r="C613" s="50"/>
      <c r="D613" s="15"/>
    </row>
    <row r="614" spans="2:4" x14ac:dyDescent="0.25">
      <c r="B614" s="68"/>
      <c r="C614" s="50"/>
      <c r="D614" s="15"/>
    </row>
    <row r="615" spans="2:4" x14ac:dyDescent="0.25">
      <c r="B615" s="68"/>
      <c r="C615" s="50"/>
      <c r="D615" s="15"/>
    </row>
    <row r="616" spans="2:4" x14ac:dyDescent="0.25">
      <c r="B616" s="68"/>
      <c r="C616" s="50"/>
      <c r="D616" s="15"/>
    </row>
    <row r="617" spans="2:4" x14ac:dyDescent="0.25">
      <c r="B617" s="68"/>
      <c r="C617" s="50"/>
      <c r="D617" s="15"/>
    </row>
    <row r="618" spans="2:4" x14ac:dyDescent="0.25">
      <c r="B618" s="68"/>
      <c r="C618" s="50"/>
      <c r="D618" s="15"/>
    </row>
    <row r="619" spans="2:4" x14ac:dyDescent="0.25">
      <c r="B619" s="68"/>
      <c r="C619" s="50"/>
      <c r="D619" s="15"/>
    </row>
    <row r="620" spans="2:4" x14ac:dyDescent="0.25">
      <c r="B620" s="68"/>
      <c r="C620" s="50"/>
      <c r="D620" s="15"/>
    </row>
    <row r="621" spans="2:4" x14ac:dyDescent="0.25">
      <c r="B621" s="68"/>
      <c r="C621" s="50"/>
      <c r="D621" s="15"/>
    </row>
    <row r="622" spans="2:4" x14ac:dyDescent="0.25">
      <c r="B622" s="68"/>
      <c r="C622" s="50"/>
      <c r="D622" s="15"/>
    </row>
    <row r="623" spans="2:4" x14ac:dyDescent="0.25">
      <c r="B623" s="68"/>
      <c r="C623" s="50"/>
      <c r="D623" s="15"/>
    </row>
    <row r="624" spans="2:4" x14ac:dyDescent="0.25">
      <c r="B624" s="68"/>
      <c r="C624" s="50"/>
      <c r="D624" s="15"/>
    </row>
    <row r="625" spans="2:4" x14ac:dyDescent="0.25">
      <c r="B625" s="68"/>
      <c r="C625" s="50"/>
      <c r="D625" s="15"/>
    </row>
    <row r="626" spans="2:4" x14ac:dyDescent="0.25">
      <c r="B626" s="68"/>
      <c r="C626" s="50"/>
      <c r="D626" s="15"/>
    </row>
    <row r="627" spans="2:4" x14ac:dyDescent="0.25">
      <c r="B627" s="68"/>
      <c r="C627" s="50"/>
      <c r="D627" s="15"/>
    </row>
    <row r="628" spans="2:4" x14ac:dyDescent="0.25">
      <c r="B628" s="68"/>
      <c r="C628" s="50"/>
      <c r="D628" s="15"/>
    </row>
    <row r="629" spans="2:4" x14ac:dyDescent="0.25">
      <c r="B629" s="68"/>
      <c r="C629" s="50"/>
      <c r="D629" s="15"/>
    </row>
    <row r="630" spans="2:4" x14ac:dyDescent="0.25">
      <c r="B630" s="68"/>
      <c r="C630" s="50"/>
      <c r="D630" s="15"/>
    </row>
    <row r="631" spans="2:4" x14ac:dyDescent="0.25">
      <c r="B631" s="68"/>
      <c r="C631" s="50"/>
      <c r="D631" s="15"/>
    </row>
    <row r="632" spans="2:4" x14ac:dyDescent="0.25">
      <c r="B632" s="68"/>
      <c r="C632" s="50"/>
      <c r="D632" s="15"/>
    </row>
    <row r="633" spans="2:4" x14ac:dyDescent="0.25">
      <c r="B633" s="68"/>
      <c r="C633" s="50"/>
      <c r="D633" s="15"/>
    </row>
    <row r="634" spans="2:4" x14ac:dyDescent="0.25">
      <c r="B634" s="68"/>
      <c r="C634" s="50"/>
      <c r="D634" s="15"/>
    </row>
    <row r="635" spans="2:4" x14ac:dyDescent="0.25">
      <c r="B635" s="68"/>
      <c r="C635" s="50"/>
      <c r="D635" s="15"/>
    </row>
    <row r="636" spans="2:4" x14ac:dyDescent="0.25">
      <c r="B636" s="68"/>
      <c r="C636" s="50"/>
      <c r="D636" s="15"/>
    </row>
    <row r="637" spans="2:4" x14ac:dyDescent="0.25">
      <c r="B637" s="68"/>
      <c r="C637" s="50"/>
      <c r="D637" s="15"/>
    </row>
    <row r="638" spans="2:4" x14ac:dyDescent="0.25">
      <c r="B638" s="68"/>
      <c r="C638" s="50"/>
      <c r="D638" s="15"/>
    </row>
    <row r="639" spans="2:4" x14ac:dyDescent="0.25">
      <c r="B639" s="68"/>
      <c r="C639" s="50"/>
      <c r="D639" s="15"/>
    </row>
    <row r="640" spans="2:4" x14ac:dyDescent="0.25">
      <c r="B640" s="68"/>
      <c r="C640" s="50"/>
      <c r="D640" s="15"/>
    </row>
    <row r="641" spans="2:4" x14ac:dyDescent="0.25">
      <c r="B641" s="68"/>
      <c r="C641" s="50"/>
      <c r="D641" s="15"/>
    </row>
    <row r="642" spans="2:4" x14ac:dyDescent="0.25">
      <c r="B642" s="68"/>
      <c r="C642" s="50"/>
      <c r="D642" s="15"/>
    </row>
    <row r="643" spans="2:4" x14ac:dyDescent="0.25">
      <c r="B643" s="68"/>
      <c r="C643" s="50"/>
      <c r="D643" s="15"/>
    </row>
    <row r="644" spans="2:4" x14ac:dyDescent="0.25">
      <c r="B644" s="68"/>
      <c r="C644" s="50"/>
      <c r="D644" s="15"/>
    </row>
    <row r="645" spans="2:4" x14ac:dyDescent="0.25">
      <c r="B645" s="68"/>
      <c r="C645" s="50"/>
      <c r="D645" s="15"/>
    </row>
    <row r="646" spans="2:4" x14ac:dyDescent="0.25">
      <c r="B646" s="68"/>
      <c r="C646" s="50"/>
      <c r="D646" s="15"/>
    </row>
    <row r="647" spans="2:4" x14ac:dyDescent="0.25">
      <c r="B647" s="68"/>
      <c r="C647" s="50"/>
      <c r="D647" s="15"/>
    </row>
    <row r="648" spans="2:4" x14ac:dyDescent="0.25">
      <c r="B648" s="68"/>
      <c r="C648" s="50"/>
      <c r="D648" s="15"/>
    </row>
    <row r="649" spans="2:4" x14ac:dyDescent="0.25">
      <c r="B649" s="68"/>
      <c r="C649" s="50"/>
      <c r="D649" s="15"/>
    </row>
    <row r="650" spans="2:4" x14ac:dyDescent="0.25">
      <c r="B650" s="68"/>
      <c r="C650" s="50"/>
      <c r="D650" s="15"/>
    </row>
    <row r="651" spans="2:4" x14ac:dyDescent="0.25">
      <c r="B651" s="68"/>
      <c r="C651" s="50"/>
      <c r="D651" s="15"/>
    </row>
    <row r="652" spans="2:4" x14ac:dyDescent="0.25">
      <c r="B652" s="68"/>
      <c r="C652" s="50"/>
      <c r="D652" s="15"/>
    </row>
    <row r="653" spans="2:4" x14ac:dyDescent="0.25">
      <c r="B653" s="68"/>
      <c r="C653" s="50"/>
      <c r="D653" s="15"/>
    </row>
    <row r="654" spans="2:4" x14ac:dyDescent="0.25">
      <c r="B654" s="68"/>
      <c r="C654" s="50"/>
      <c r="D654" s="15"/>
    </row>
    <row r="655" spans="2:4" x14ac:dyDescent="0.25">
      <c r="B655" s="68"/>
      <c r="C655" s="50"/>
      <c r="D655" s="15"/>
    </row>
    <row r="656" spans="2:4" x14ac:dyDescent="0.25">
      <c r="B656" s="68"/>
      <c r="C656" s="50"/>
      <c r="D656" s="15"/>
    </row>
    <row r="657" spans="2:4" x14ac:dyDescent="0.25">
      <c r="B657" s="68"/>
      <c r="C657" s="50"/>
      <c r="D657" s="15"/>
    </row>
    <row r="658" spans="2:4" x14ac:dyDescent="0.25">
      <c r="B658" s="68"/>
      <c r="C658" s="50"/>
      <c r="D658" s="15"/>
    </row>
    <row r="659" spans="2:4" x14ac:dyDescent="0.25">
      <c r="B659" s="68"/>
      <c r="C659" s="50"/>
      <c r="D659" s="15"/>
    </row>
    <row r="660" spans="2:4" x14ac:dyDescent="0.25">
      <c r="B660" s="68"/>
      <c r="C660" s="50"/>
      <c r="D660" s="15"/>
    </row>
    <row r="661" spans="2:4" x14ac:dyDescent="0.25">
      <c r="B661" s="68"/>
      <c r="C661" s="50"/>
      <c r="D661" s="15"/>
    </row>
    <row r="662" spans="2:4" x14ac:dyDescent="0.25">
      <c r="B662" s="68"/>
      <c r="C662" s="50"/>
      <c r="D662" s="15"/>
    </row>
    <row r="663" spans="2:4" x14ac:dyDescent="0.25">
      <c r="B663" s="68"/>
      <c r="C663" s="50"/>
      <c r="D663" s="15"/>
    </row>
    <row r="664" spans="2:4" x14ac:dyDescent="0.25">
      <c r="B664" s="68"/>
      <c r="C664" s="50"/>
      <c r="D664" s="15"/>
    </row>
    <row r="665" spans="2:4" x14ac:dyDescent="0.25">
      <c r="B665" s="68"/>
      <c r="C665" s="50"/>
      <c r="D665" s="15"/>
    </row>
    <row r="666" spans="2:4" x14ac:dyDescent="0.25">
      <c r="B666" s="68"/>
      <c r="C666" s="50"/>
      <c r="D666" s="15"/>
    </row>
    <row r="667" spans="2:4" x14ac:dyDescent="0.25">
      <c r="B667" s="68"/>
      <c r="C667" s="50"/>
      <c r="D667" s="15"/>
    </row>
    <row r="668" spans="2:4" x14ac:dyDescent="0.25">
      <c r="B668" s="68"/>
      <c r="C668" s="50"/>
      <c r="D668" s="15"/>
    </row>
    <row r="669" spans="2:4" x14ac:dyDescent="0.25">
      <c r="B669" s="68"/>
      <c r="C669" s="50"/>
      <c r="D669" s="15"/>
    </row>
    <row r="670" spans="2:4" x14ac:dyDescent="0.25">
      <c r="B670" s="68"/>
      <c r="C670" s="50"/>
      <c r="D670" s="15"/>
    </row>
    <row r="671" spans="2:4" x14ac:dyDescent="0.25">
      <c r="B671" s="68"/>
      <c r="C671" s="50"/>
      <c r="D671" s="15"/>
    </row>
    <row r="672" spans="2:4" x14ac:dyDescent="0.25">
      <c r="B672" s="68"/>
      <c r="C672" s="50"/>
      <c r="D672" s="15"/>
    </row>
    <row r="673" spans="2:4" x14ac:dyDescent="0.25">
      <c r="B673" s="68"/>
      <c r="C673" s="50"/>
      <c r="D673" s="15"/>
    </row>
    <row r="674" spans="2:4" x14ac:dyDescent="0.25">
      <c r="B674" s="68"/>
      <c r="C674" s="50"/>
      <c r="D674" s="15"/>
    </row>
    <row r="675" spans="2:4" x14ac:dyDescent="0.25">
      <c r="B675" s="68"/>
      <c r="C675" s="50"/>
      <c r="D675" s="15"/>
    </row>
    <row r="676" spans="2:4" x14ac:dyDescent="0.25">
      <c r="B676" s="68"/>
      <c r="C676" s="50"/>
      <c r="D676" s="15"/>
    </row>
    <row r="677" spans="2:4" x14ac:dyDescent="0.25">
      <c r="B677" s="68"/>
      <c r="C677" s="50"/>
      <c r="D677" s="15"/>
    </row>
    <row r="678" spans="2:4" x14ac:dyDescent="0.25">
      <c r="B678" s="68"/>
      <c r="C678" s="50"/>
      <c r="D678" s="15"/>
    </row>
    <row r="679" spans="2:4" x14ac:dyDescent="0.25">
      <c r="B679" s="68"/>
      <c r="C679" s="50"/>
      <c r="D679" s="15"/>
    </row>
    <row r="680" spans="2:4" x14ac:dyDescent="0.25">
      <c r="B680" s="68"/>
      <c r="C680" s="50"/>
      <c r="D680" s="15"/>
    </row>
    <row r="681" spans="2:4" x14ac:dyDescent="0.25">
      <c r="B681" s="68"/>
      <c r="C681" s="50"/>
      <c r="D681" s="15"/>
    </row>
    <row r="682" spans="2:4" x14ac:dyDescent="0.25">
      <c r="B682" s="68"/>
      <c r="C682" s="50"/>
      <c r="D682" s="15"/>
    </row>
    <row r="683" spans="2:4" x14ac:dyDescent="0.25">
      <c r="B683" s="68"/>
      <c r="C683" s="50"/>
      <c r="D683" s="15"/>
    </row>
    <row r="684" spans="2:4" x14ac:dyDescent="0.25">
      <c r="B684" s="68"/>
      <c r="C684" s="50"/>
      <c r="D684" s="15"/>
    </row>
    <row r="685" spans="2:4" x14ac:dyDescent="0.25">
      <c r="B685" s="68"/>
      <c r="C685" s="50"/>
      <c r="D685" s="15"/>
    </row>
    <row r="686" spans="2:4" x14ac:dyDescent="0.25">
      <c r="B686" s="68"/>
      <c r="C686" s="50"/>
      <c r="D686" s="15"/>
    </row>
    <row r="687" spans="2:4" x14ac:dyDescent="0.25">
      <c r="B687" s="68"/>
      <c r="C687" s="50"/>
      <c r="D687" s="15"/>
    </row>
    <row r="688" spans="2:4" x14ac:dyDescent="0.25">
      <c r="B688" s="68"/>
      <c r="C688" s="50"/>
      <c r="D688" s="15"/>
    </row>
    <row r="689" spans="2:4" x14ac:dyDescent="0.25">
      <c r="B689" s="68"/>
      <c r="C689" s="50"/>
      <c r="D689" s="15"/>
    </row>
    <row r="690" spans="2:4" x14ac:dyDescent="0.25">
      <c r="B690" s="68"/>
      <c r="C690" s="50"/>
      <c r="D690" s="15"/>
    </row>
    <row r="691" spans="2:4" x14ac:dyDescent="0.25">
      <c r="B691" s="68"/>
      <c r="C691" s="50"/>
      <c r="D691" s="15"/>
    </row>
    <row r="692" spans="2:4" x14ac:dyDescent="0.25">
      <c r="B692" s="68"/>
      <c r="C692" s="50"/>
      <c r="D692" s="15"/>
    </row>
    <row r="693" spans="2:4" x14ac:dyDescent="0.25">
      <c r="B693" s="68"/>
      <c r="C693" s="50"/>
      <c r="D693" s="15"/>
    </row>
    <row r="694" spans="2:4" x14ac:dyDescent="0.25">
      <c r="B694" s="68"/>
      <c r="C694" s="50"/>
      <c r="D694" s="15"/>
    </row>
    <row r="695" spans="2:4" x14ac:dyDescent="0.25">
      <c r="B695" s="68"/>
      <c r="C695" s="50"/>
      <c r="D695" s="15"/>
    </row>
    <row r="696" spans="2:4" x14ac:dyDescent="0.25">
      <c r="B696" s="68"/>
      <c r="C696" s="50"/>
      <c r="D696" s="15"/>
    </row>
    <row r="697" spans="2:4" x14ac:dyDescent="0.25">
      <c r="B697" s="68"/>
      <c r="C697" s="50"/>
      <c r="D697" s="15"/>
    </row>
    <row r="698" spans="2:4" x14ac:dyDescent="0.25">
      <c r="B698" s="68"/>
      <c r="C698" s="50"/>
      <c r="D698" s="15"/>
    </row>
    <row r="699" spans="2:4" x14ac:dyDescent="0.25">
      <c r="B699" s="68"/>
      <c r="C699" s="50"/>
      <c r="D699" s="15"/>
    </row>
    <row r="700" spans="2:4" x14ac:dyDescent="0.25">
      <c r="B700" s="68"/>
      <c r="C700" s="50"/>
      <c r="D700" s="15"/>
    </row>
    <row r="701" spans="2:4" x14ac:dyDescent="0.25">
      <c r="B701" s="68"/>
      <c r="C701" s="50"/>
      <c r="D701" s="15"/>
    </row>
    <row r="702" spans="2:4" x14ac:dyDescent="0.25">
      <c r="B702" s="68"/>
      <c r="C702" s="50"/>
      <c r="D702" s="15"/>
    </row>
    <row r="703" spans="2:4" x14ac:dyDescent="0.25">
      <c r="B703" s="68"/>
      <c r="C703" s="50"/>
      <c r="D703" s="15"/>
    </row>
    <row r="704" spans="2:4" x14ac:dyDescent="0.25">
      <c r="B704" s="68"/>
      <c r="C704" s="50"/>
      <c r="D704" s="15"/>
    </row>
    <row r="705" spans="2:4" x14ac:dyDescent="0.25">
      <c r="B705" s="68"/>
      <c r="C705" s="50"/>
      <c r="D705" s="15"/>
    </row>
    <row r="706" spans="2:4" x14ac:dyDescent="0.25">
      <c r="B706" s="68"/>
      <c r="C706" s="50"/>
      <c r="D706" s="15"/>
    </row>
    <row r="707" spans="2:4" x14ac:dyDescent="0.25">
      <c r="B707" s="68"/>
      <c r="C707" s="50"/>
      <c r="D707" s="15"/>
    </row>
    <row r="708" spans="2:4" x14ac:dyDescent="0.25">
      <c r="B708" s="68"/>
      <c r="C708" s="50"/>
      <c r="D708" s="15"/>
    </row>
    <row r="709" spans="2:4" x14ac:dyDescent="0.25">
      <c r="B709" s="68"/>
      <c r="C709" s="50"/>
      <c r="D709" s="15"/>
    </row>
    <row r="710" spans="2:4" x14ac:dyDescent="0.25">
      <c r="B710" s="68"/>
      <c r="C710" s="50"/>
      <c r="D710" s="15"/>
    </row>
    <row r="711" spans="2:4" x14ac:dyDescent="0.25">
      <c r="B711" s="68"/>
      <c r="C711" s="50"/>
      <c r="D711" s="15"/>
    </row>
    <row r="712" spans="2:4" x14ac:dyDescent="0.25">
      <c r="B712" s="68"/>
      <c r="C712" s="50"/>
      <c r="D712" s="15"/>
    </row>
    <row r="713" spans="2:4" x14ac:dyDescent="0.25">
      <c r="B713" s="68"/>
      <c r="C713" s="50"/>
      <c r="D713" s="15"/>
    </row>
    <row r="714" spans="2:4" x14ac:dyDescent="0.25">
      <c r="B714" s="68"/>
      <c r="C714" s="50"/>
      <c r="D714" s="15"/>
    </row>
    <row r="715" spans="2:4" x14ac:dyDescent="0.25">
      <c r="B715" s="68"/>
      <c r="C715" s="50"/>
      <c r="D715" s="15"/>
    </row>
    <row r="716" spans="2:4" x14ac:dyDescent="0.25">
      <c r="B716" s="68"/>
      <c r="C716" s="50"/>
      <c r="D716" s="15"/>
    </row>
    <row r="717" spans="2:4" x14ac:dyDescent="0.25">
      <c r="B717" s="68"/>
      <c r="C717" s="50"/>
      <c r="D717" s="15"/>
    </row>
    <row r="718" spans="2:4" x14ac:dyDescent="0.25">
      <c r="B718" s="68"/>
      <c r="C718" s="50"/>
      <c r="D718" s="15"/>
    </row>
    <row r="719" spans="2:4" x14ac:dyDescent="0.25">
      <c r="B719" s="68"/>
      <c r="C719" s="50"/>
      <c r="D719" s="15"/>
    </row>
    <row r="720" spans="2:4" x14ac:dyDescent="0.25">
      <c r="B720" s="68"/>
      <c r="C720" s="50"/>
      <c r="D720" s="15"/>
    </row>
    <row r="721" spans="2:4" x14ac:dyDescent="0.25">
      <c r="B721" s="68"/>
      <c r="C721" s="50"/>
      <c r="D721" s="15"/>
    </row>
    <row r="722" spans="2:4" x14ac:dyDescent="0.25">
      <c r="B722" s="68"/>
      <c r="C722" s="50"/>
      <c r="D722" s="15"/>
    </row>
    <row r="723" spans="2:4" x14ac:dyDescent="0.25">
      <c r="B723" s="68"/>
      <c r="C723" s="50"/>
      <c r="D723" s="15"/>
    </row>
    <row r="724" spans="2:4" x14ac:dyDescent="0.25">
      <c r="B724" s="68"/>
      <c r="C724" s="50"/>
      <c r="D724" s="15"/>
    </row>
    <row r="725" spans="2:4" x14ac:dyDescent="0.25">
      <c r="B725" s="68"/>
      <c r="C725" s="50"/>
      <c r="D725" s="15"/>
    </row>
    <row r="726" spans="2:4" x14ac:dyDescent="0.25">
      <c r="B726" s="68"/>
      <c r="C726" s="50"/>
      <c r="D726" s="15"/>
    </row>
    <row r="727" spans="2:4" x14ac:dyDescent="0.25">
      <c r="B727" s="68"/>
      <c r="C727" s="50"/>
      <c r="D727" s="15"/>
    </row>
    <row r="728" spans="2:4" x14ac:dyDescent="0.25">
      <c r="B728" s="68"/>
      <c r="C728" s="50"/>
      <c r="D728" s="15"/>
    </row>
    <row r="729" spans="2:4" x14ac:dyDescent="0.25">
      <c r="B729" s="68"/>
      <c r="C729" s="50"/>
      <c r="D729" s="15"/>
    </row>
    <row r="730" spans="2:4" x14ac:dyDescent="0.25">
      <c r="B730" s="68"/>
      <c r="C730" s="50"/>
      <c r="D730" s="15"/>
    </row>
    <row r="731" spans="2:4" x14ac:dyDescent="0.25">
      <c r="B731" s="68"/>
      <c r="C731" s="50"/>
      <c r="D731" s="15"/>
    </row>
    <row r="732" spans="2:4" x14ac:dyDescent="0.25">
      <c r="B732" s="68"/>
      <c r="C732" s="50"/>
      <c r="D732" s="15"/>
    </row>
    <row r="733" spans="2:4" x14ac:dyDescent="0.25">
      <c r="B733" s="68"/>
      <c r="C733" s="50"/>
      <c r="D733" s="15"/>
    </row>
    <row r="734" spans="2:4" x14ac:dyDescent="0.25">
      <c r="B734" s="68"/>
      <c r="C734" s="50"/>
      <c r="D734" s="15"/>
    </row>
    <row r="735" spans="2:4" x14ac:dyDescent="0.25">
      <c r="B735" s="68"/>
      <c r="C735" s="50"/>
      <c r="D735" s="15"/>
    </row>
    <row r="736" spans="2:4" x14ac:dyDescent="0.25">
      <c r="B736" s="68"/>
      <c r="C736" s="50"/>
      <c r="D736" s="15"/>
    </row>
    <row r="737" spans="2:4" x14ac:dyDescent="0.25">
      <c r="B737" s="68"/>
      <c r="C737" s="50"/>
      <c r="D737" s="15"/>
    </row>
    <row r="738" spans="2:4" x14ac:dyDescent="0.25">
      <c r="B738" s="68"/>
      <c r="C738" s="50"/>
      <c r="D738" s="15"/>
    </row>
    <row r="739" spans="2:4" x14ac:dyDescent="0.25">
      <c r="B739" s="68"/>
      <c r="C739" s="50"/>
      <c r="D739" s="15"/>
    </row>
    <row r="740" spans="2:4" x14ac:dyDescent="0.25">
      <c r="B740" s="68"/>
      <c r="C740" s="50"/>
      <c r="D740" s="15"/>
    </row>
    <row r="741" spans="2:4" x14ac:dyDescent="0.25">
      <c r="B741" s="68"/>
      <c r="C741" s="50"/>
      <c r="D741" s="15"/>
    </row>
    <row r="742" spans="2:4" x14ac:dyDescent="0.25">
      <c r="B742" s="68"/>
      <c r="C742" s="50"/>
      <c r="D742" s="15"/>
    </row>
    <row r="743" spans="2:4" x14ac:dyDescent="0.25">
      <c r="B743" s="68"/>
      <c r="C743" s="50"/>
      <c r="D743" s="15"/>
    </row>
    <row r="744" spans="2:4" x14ac:dyDescent="0.25">
      <c r="B744" s="68"/>
      <c r="C744" s="50"/>
      <c r="D744" s="15"/>
    </row>
    <row r="745" spans="2:4" x14ac:dyDescent="0.25">
      <c r="B745" s="68"/>
      <c r="C745" s="50"/>
      <c r="D745" s="15"/>
    </row>
    <row r="746" spans="2:4" x14ac:dyDescent="0.25">
      <c r="B746" s="68"/>
      <c r="C746" s="50"/>
      <c r="D746" s="15"/>
    </row>
    <row r="747" spans="2:4" x14ac:dyDescent="0.25">
      <c r="B747" s="68"/>
      <c r="C747" s="50"/>
      <c r="D747" s="15"/>
    </row>
    <row r="748" spans="2:4" x14ac:dyDescent="0.25">
      <c r="B748" s="68"/>
      <c r="C748" s="50"/>
      <c r="D748" s="15"/>
    </row>
    <row r="749" spans="2:4" x14ac:dyDescent="0.25">
      <c r="B749" s="68"/>
      <c r="C749" s="50"/>
      <c r="D749" s="15"/>
    </row>
    <row r="750" spans="2:4" x14ac:dyDescent="0.25">
      <c r="B750" s="68"/>
      <c r="C750" s="50"/>
      <c r="D750" s="15"/>
    </row>
    <row r="751" spans="2:4" x14ac:dyDescent="0.25">
      <c r="B751" s="68"/>
      <c r="C751" s="50"/>
      <c r="D751" s="15"/>
    </row>
    <row r="752" spans="2:4" x14ac:dyDescent="0.25">
      <c r="B752" s="68"/>
      <c r="C752" s="50"/>
      <c r="D752" s="15"/>
    </row>
    <row r="753" spans="2:4" x14ac:dyDescent="0.25">
      <c r="B753" s="68"/>
      <c r="C753" s="50"/>
      <c r="D753" s="15"/>
    </row>
    <row r="754" spans="2:4" x14ac:dyDescent="0.25">
      <c r="B754" s="68"/>
      <c r="C754" s="50"/>
      <c r="D754" s="15"/>
    </row>
    <row r="755" spans="2:4" x14ac:dyDescent="0.25">
      <c r="B755" s="68"/>
      <c r="C755" s="50"/>
      <c r="D755" s="15"/>
    </row>
    <row r="756" spans="2:4" x14ac:dyDescent="0.25">
      <c r="B756" s="68"/>
      <c r="C756" s="50"/>
      <c r="D756" s="15"/>
    </row>
    <row r="757" spans="2:4" x14ac:dyDescent="0.25">
      <c r="B757" s="68"/>
      <c r="C757" s="50"/>
      <c r="D757" s="15"/>
    </row>
    <row r="758" spans="2:4" x14ac:dyDescent="0.25">
      <c r="B758" s="68"/>
      <c r="C758" s="50"/>
      <c r="D758" s="15"/>
    </row>
    <row r="759" spans="2:4" x14ac:dyDescent="0.25">
      <c r="B759" s="68"/>
      <c r="C759" s="50"/>
      <c r="D759" s="15"/>
    </row>
    <row r="760" spans="2:4" x14ac:dyDescent="0.25">
      <c r="B760" s="68"/>
      <c r="C760" s="50"/>
      <c r="D760" s="15"/>
    </row>
    <row r="761" spans="2:4" x14ac:dyDescent="0.25">
      <c r="B761" s="68"/>
      <c r="C761" s="50"/>
      <c r="D761" s="15"/>
    </row>
    <row r="762" spans="2:4" x14ac:dyDescent="0.25">
      <c r="B762" s="68"/>
      <c r="C762" s="50"/>
      <c r="D762" s="15"/>
    </row>
    <row r="763" spans="2:4" x14ac:dyDescent="0.25">
      <c r="B763" s="68"/>
      <c r="C763" s="50"/>
      <c r="D763" s="15"/>
    </row>
    <row r="764" spans="2:4" x14ac:dyDescent="0.25">
      <c r="B764" s="68"/>
      <c r="C764" s="50"/>
      <c r="D764" s="15"/>
    </row>
    <row r="765" spans="2:4" x14ac:dyDescent="0.25">
      <c r="B765" s="68"/>
      <c r="C765" s="50"/>
      <c r="D765" s="15"/>
    </row>
    <row r="766" spans="2:4" x14ac:dyDescent="0.25">
      <c r="B766" s="68"/>
      <c r="C766" s="50"/>
      <c r="D766" s="15"/>
    </row>
    <row r="767" spans="2:4" x14ac:dyDescent="0.25">
      <c r="B767" s="68"/>
      <c r="C767" s="50"/>
      <c r="D767" s="15"/>
    </row>
    <row r="768" spans="2:4" x14ac:dyDescent="0.25">
      <c r="B768" s="68"/>
      <c r="C768" s="50"/>
      <c r="D768" s="15"/>
    </row>
    <row r="769" spans="2:4" x14ac:dyDescent="0.25">
      <c r="B769" s="68"/>
      <c r="C769" s="50"/>
      <c r="D769" s="15"/>
    </row>
    <row r="770" spans="2:4" x14ac:dyDescent="0.25">
      <c r="B770" s="68"/>
      <c r="C770" s="50"/>
      <c r="D770" s="15"/>
    </row>
    <row r="771" spans="2:4" x14ac:dyDescent="0.25">
      <c r="B771" s="68"/>
      <c r="C771" s="50"/>
      <c r="D771" s="15"/>
    </row>
    <row r="772" spans="2:4" x14ac:dyDescent="0.25">
      <c r="B772" s="68"/>
      <c r="C772" s="50"/>
      <c r="D772" s="15"/>
    </row>
    <row r="773" spans="2:4" x14ac:dyDescent="0.25">
      <c r="B773" s="68"/>
      <c r="C773" s="50"/>
      <c r="D773" s="15"/>
    </row>
    <row r="774" spans="2:4" x14ac:dyDescent="0.25">
      <c r="B774" s="68"/>
      <c r="C774" s="50"/>
      <c r="D774" s="15"/>
    </row>
    <row r="775" spans="2:4" x14ac:dyDescent="0.25">
      <c r="B775" s="68"/>
      <c r="C775" s="50"/>
      <c r="D775" s="15"/>
    </row>
    <row r="776" spans="2:4" x14ac:dyDescent="0.25">
      <c r="B776" s="68"/>
      <c r="C776" s="50"/>
      <c r="D776" s="15"/>
    </row>
    <row r="777" spans="2:4" x14ac:dyDescent="0.25">
      <c r="B777" s="68"/>
      <c r="C777" s="50"/>
      <c r="D777" s="15"/>
    </row>
    <row r="778" spans="2:4" x14ac:dyDescent="0.25">
      <c r="B778" s="68"/>
      <c r="C778" s="50"/>
      <c r="D778" s="15"/>
    </row>
    <row r="779" spans="2:4" x14ac:dyDescent="0.25">
      <c r="B779" s="68"/>
      <c r="C779" s="50"/>
      <c r="D779" s="15"/>
    </row>
    <row r="780" spans="2:4" x14ac:dyDescent="0.25">
      <c r="B780" s="68"/>
      <c r="C780" s="50"/>
      <c r="D780" s="15"/>
    </row>
    <row r="781" spans="2:4" x14ac:dyDescent="0.25">
      <c r="B781" s="68"/>
      <c r="C781" s="50"/>
      <c r="D781" s="15"/>
    </row>
    <row r="782" spans="2:4" x14ac:dyDescent="0.25">
      <c r="B782" s="68"/>
      <c r="C782" s="50"/>
      <c r="D782" s="15"/>
    </row>
    <row r="783" spans="2:4" x14ac:dyDescent="0.25">
      <c r="B783" s="68"/>
      <c r="C783" s="50"/>
      <c r="D783" s="15"/>
    </row>
    <row r="784" spans="2:4" x14ac:dyDescent="0.25">
      <c r="B784" s="68"/>
      <c r="C784" s="50"/>
      <c r="D784" s="15"/>
    </row>
    <row r="785" spans="2:4" x14ac:dyDescent="0.25">
      <c r="B785" s="68"/>
      <c r="C785" s="50"/>
      <c r="D785" s="15"/>
    </row>
    <row r="786" spans="2:4" x14ac:dyDescent="0.25">
      <c r="B786" s="68"/>
      <c r="C786" s="50"/>
      <c r="D786" s="15"/>
    </row>
    <row r="787" spans="2:4" x14ac:dyDescent="0.25">
      <c r="B787" s="68"/>
      <c r="C787" s="50"/>
      <c r="D787" s="15"/>
    </row>
    <row r="788" spans="2:4" x14ac:dyDescent="0.25">
      <c r="B788" s="68"/>
      <c r="C788" s="50"/>
      <c r="D788" s="15"/>
    </row>
    <row r="789" spans="2:4" x14ac:dyDescent="0.25">
      <c r="B789" s="68"/>
      <c r="C789" s="50"/>
      <c r="D789" s="15"/>
    </row>
    <row r="790" spans="2:4" x14ac:dyDescent="0.25">
      <c r="B790" s="68"/>
      <c r="C790" s="50"/>
      <c r="D790" s="15"/>
    </row>
    <row r="791" spans="2:4" x14ac:dyDescent="0.25">
      <c r="B791" s="68"/>
      <c r="C791" s="50"/>
      <c r="D791" s="15"/>
    </row>
    <row r="792" spans="2:4" x14ac:dyDescent="0.25">
      <c r="B792" s="68"/>
      <c r="C792" s="50"/>
      <c r="D792" s="15"/>
    </row>
    <row r="793" spans="2:4" x14ac:dyDescent="0.25">
      <c r="B793" s="68"/>
      <c r="C793" s="50"/>
      <c r="D793" s="15"/>
    </row>
    <row r="794" spans="2:4" x14ac:dyDescent="0.25">
      <c r="B794" s="68"/>
      <c r="C794" s="50"/>
      <c r="D794" s="15"/>
    </row>
    <row r="795" spans="2:4" x14ac:dyDescent="0.25">
      <c r="B795" s="68"/>
      <c r="C795" s="50"/>
      <c r="D795" s="15"/>
    </row>
    <row r="796" spans="2:4" x14ac:dyDescent="0.25">
      <c r="B796" s="68"/>
      <c r="C796" s="50"/>
      <c r="D796" s="15"/>
    </row>
    <row r="797" spans="2:4" x14ac:dyDescent="0.25">
      <c r="B797" s="68"/>
      <c r="C797" s="50"/>
      <c r="D797" s="15"/>
    </row>
    <row r="798" spans="2:4" x14ac:dyDescent="0.25">
      <c r="B798" s="68"/>
      <c r="C798" s="50"/>
      <c r="D798" s="15"/>
    </row>
    <row r="799" spans="2:4" x14ac:dyDescent="0.25">
      <c r="B799" s="68"/>
      <c r="C799" s="50"/>
      <c r="D799" s="15"/>
    </row>
    <row r="800" spans="2:4" x14ac:dyDescent="0.25">
      <c r="B800" s="68"/>
      <c r="C800" s="50"/>
      <c r="D800" s="15"/>
    </row>
    <row r="801" spans="2:4" x14ac:dyDescent="0.25">
      <c r="B801" s="68"/>
      <c r="C801" s="50"/>
      <c r="D801" s="15"/>
    </row>
    <row r="802" spans="2:4" x14ac:dyDescent="0.25">
      <c r="B802" s="68"/>
      <c r="C802" s="50"/>
      <c r="D802" s="15"/>
    </row>
    <row r="803" spans="2:4" x14ac:dyDescent="0.25">
      <c r="B803" s="68"/>
      <c r="C803" s="50"/>
      <c r="D803" s="15"/>
    </row>
    <row r="804" spans="2:4" x14ac:dyDescent="0.25">
      <c r="B804" s="68"/>
      <c r="C804" s="50"/>
      <c r="D804" s="15"/>
    </row>
    <row r="805" spans="2:4" x14ac:dyDescent="0.25">
      <c r="B805" s="68"/>
      <c r="C805" s="50"/>
      <c r="D805" s="15"/>
    </row>
    <row r="806" spans="2:4" x14ac:dyDescent="0.25">
      <c r="B806" s="68"/>
      <c r="C806" s="50"/>
      <c r="D806" s="15"/>
    </row>
    <row r="807" spans="2:4" x14ac:dyDescent="0.25">
      <c r="B807" s="68"/>
      <c r="C807" s="50"/>
      <c r="D807" s="15"/>
    </row>
    <row r="808" spans="2:4" x14ac:dyDescent="0.25">
      <c r="B808" s="68"/>
      <c r="C808" s="50"/>
      <c r="D808" s="15"/>
    </row>
    <row r="809" spans="2:4" x14ac:dyDescent="0.25">
      <c r="B809" s="68"/>
      <c r="C809" s="50"/>
      <c r="D809" s="15"/>
    </row>
    <row r="810" spans="2:4" x14ac:dyDescent="0.25">
      <c r="B810" s="68"/>
      <c r="C810" s="50"/>
      <c r="D810" s="15"/>
    </row>
    <row r="811" spans="2:4" x14ac:dyDescent="0.25">
      <c r="B811" s="68"/>
      <c r="C811" s="50"/>
      <c r="D811" s="15"/>
    </row>
    <row r="812" spans="2:4" x14ac:dyDescent="0.25">
      <c r="B812" s="68"/>
      <c r="C812" s="50"/>
      <c r="D812" s="15"/>
    </row>
    <row r="813" spans="2:4" x14ac:dyDescent="0.25">
      <c r="B813" s="68"/>
      <c r="C813" s="50"/>
      <c r="D813" s="15"/>
    </row>
    <row r="814" spans="2:4" x14ac:dyDescent="0.25">
      <c r="B814" s="68"/>
      <c r="C814" s="50"/>
      <c r="D814" s="15"/>
    </row>
    <row r="815" spans="2:4" x14ac:dyDescent="0.25">
      <c r="B815" s="68"/>
      <c r="C815" s="50"/>
      <c r="D815" s="15"/>
    </row>
    <row r="816" spans="2:4" x14ac:dyDescent="0.25">
      <c r="B816" s="68"/>
      <c r="C816" s="50"/>
      <c r="D816" s="15"/>
    </row>
    <row r="817" spans="2:4" x14ac:dyDescent="0.25">
      <c r="B817" s="68"/>
      <c r="C817" s="50"/>
      <c r="D817" s="15"/>
    </row>
    <row r="818" spans="2:4" x14ac:dyDescent="0.25">
      <c r="B818" s="68"/>
      <c r="C818" s="50"/>
      <c r="D818" s="15"/>
    </row>
    <row r="819" spans="2:4" x14ac:dyDescent="0.25">
      <c r="B819" s="68"/>
      <c r="C819" s="50"/>
      <c r="D819" s="15"/>
    </row>
    <row r="820" spans="2:4" x14ac:dyDescent="0.25">
      <c r="B820" s="68"/>
      <c r="C820" s="50"/>
      <c r="D820" s="15"/>
    </row>
    <row r="821" spans="2:4" x14ac:dyDescent="0.25">
      <c r="B821" s="68"/>
      <c r="C821" s="50"/>
      <c r="D821" s="15"/>
    </row>
    <row r="822" spans="2:4" x14ac:dyDescent="0.25">
      <c r="B822" s="68"/>
      <c r="C822" s="50"/>
      <c r="D822" s="15"/>
    </row>
    <row r="823" spans="2:4" x14ac:dyDescent="0.25">
      <c r="B823" s="68"/>
      <c r="C823" s="50"/>
      <c r="D823" s="15"/>
    </row>
    <row r="824" spans="2:4" x14ac:dyDescent="0.25">
      <c r="B824" s="68"/>
      <c r="C824" s="50"/>
      <c r="D824" s="15"/>
    </row>
    <row r="825" spans="2:4" x14ac:dyDescent="0.25">
      <c r="B825" s="68"/>
      <c r="C825" s="50"/>
      <c r="D825" s="15"/>
    </row>
    <row r="826" spans="2:4" x14ac:dyDescent="0.25">
      <c r="B826" s="68"/>
      <c r="C826" s="50"/>
      <c r="D826" s="15"/>
    </row>
    <row r="827" spans="2:4" x14ac:dyDescent="0.25">
      <c r="B827" s="68"/>
      <c r="C827" s="50"/>
      <c r="D827" s="15"/>
    </row>
    <row r="828" spans="2:4" x14ac:dyDescent="0.25">
      <c r="B828" s="68"/>
      <c r="C828" s="50"/>
      <c r="D828" s="15"/>
    </row>
    <row r="829" spans="2:4" x14ac:dyDescent="0.25">
      <c r="B829" s="68"/>
      <c r="C829" s="50"/>
      <c r="D829" s="15"/>
    </row>
    <row r="830" spans="2:4" x14ac:dyDescent="0.25">
      <c r="B830" s="68"/>
      <c r="C830" s="50"/>
      <c r="D830" s="15"/>
    </row>
    <row r="831" spans="2:4" x14ac:dyDescent="0.25">
      <c r="B831" s="68"/>
      <c r="C831" s="50"/>
      <c r="D831" s="15"/>
    </row>
    <row r="832" spans="2:4" x14ac:dyDescent="0.25">
      <c r="B832" s="68"/>
      <c r="C832" s="50"/>
      <c r="D832" s="15"/>
    </row>
    <row r="833" spans="2:4" x14ac:dyDescent="0.25">
      <c r="B833" s="68"/>
      <c r="C833" s="50"/>
      <c r="D833" s="15"/>
    </row>
    <row r="834" spans="2:4" x14ac:dyDescent="0.25">
      <c r="B834" s="68"/>
      <c r="C834" s="50"/>
      <c r="D834" s="15"/>
    </row>
    <row r="835" spans="2:4" x14ac:dyDescent="0.25">
      <c r="B835" s="68"/>
      <c r="C835" s="50"/>
      <c r="D835" s="15"/>
    </row>
    <row r="836" spans="2:4" x14ac:dyDescent="0.25">
      <c r="B836" s="68"/>
      <c r="C836" s="50"/>
      <c r="D836" s="15"/>
    </row>
    <row r="837" spans="2:4" x14ac:dyDescent="0.25">
      <c r="B837" s="68"/>
      <c r="C837" s="50"/>
      <c r="D837" s="15"/>
    </row>
    <row r="838" spans="2:4" x14ac:dyDescent="0.25">
      <c r="B838" s="68"/>
      <c r="C838" s="50"/>
      <c r="D838" s="15"/>
    </row>
    <row r="839" spans="2:4" x14ac:dyDescent="0.25">
      <c r="B839" s="68"/>
      <c r="C839" s="50"/>
      <c r="D839" s="15"/>
    </row>
    <row r="840" spans="2:4" x14ac:dyDescent="0.25">
      <c r="B840" s="68"/>
      <c r="C840" s="50"/>
      <c r="D840" s="15"/>
    </row>
    <row r="841" spans="2:4" x14ac:dyDescent="0.25">
      <c r="B841" s="68"/>
      <c r="C841" s="50"/>
      <c r="D841" s="15"/>
    </row>
    <row r="842" spans="2:4" x14ac:dyDescent="0.25">
      <c r="B842" s="68"/>
      <c r="C842" s="50"/>
      <c r="D842" s="15"/>
    </row>
    <row r="843" spans="2:4" x14ac:dyDescent="0.25">
      <c r="B843" s="68"/>
      <c r="C843" s="50"/>
      <c r="D843" s="15"/>
    </row>
    <row r="844" spans="2:4" x14ac:dyDescent="0.25">
      <c r="B844" s="68"/>
      <c r="C844" s="50"/>
      <c r="D844" s="15"/>
    </row>
    <row r="845" spans="2:4" x14ac:dyDescent="0.25">
      <c r="B845" s="68"/>
      <c r="C845" s="50"/>
      <c r="D845" s="15"/>
    </row>
    <row r="846" spans="2:4" x14ac:dyDescent="0.25">
      <c r="B846" s="68"/>
      <c r="C846" s="50"/>
      <c r="D846" s="15"/>
    </row>
    <row r="847" spans="2:4" x14ac:dyDescent="0.25">
      <c r="B847" s="68"/>
      <c r="C847" s="50"/>
      <c r="D847" s="15"/>
    </row>
    <row r="848" spans="2:4" x14ac:dyDescent="0.25">
      <c r="B848" s="68"/>
      <c r="C848" s="50"/>
      <c r="D848" s="15"/>
    </row>
    <row r="849" spans="2:4" x14ac:dyDescent="0.25">
      <c r="B849" s="68"/>
      <c r="C849" s="50"/>
      <c r="D849" s="15"/>
    </row>
    <row r="850" spans="2:4" x14ac:dyDescent="0.25">
      <c r="B850" s="68"/>
      <c r="C850" s="50"/>
      <c r="D850" s="15"/>
    </row>
    <row r="851" spans="2:4" x14ac:dyDescent="0.25">
      <c r="B851" s="68"/>
      <c r="C851" s="50"/>
      <c r="D851" s="15"/>
    </row>
    <row r="852" spans="2:4" x14ac:dyDescent="0.25">
      <c r="B852" s="68"/>
      <c r="C852" s="50"/>
      <c r="D852" s="15"/>
    </row>
    <row r="853" spans="2:4" x14ac:dyDescent="0.25">
      <c r="B853" s="68"/>
      <c r="C853" s="50"/>
      <c r="D853" s="15"/>
    </row>
    <row r="854" spans="2:4" x14ac:dyDescent="0.25">
      <c r="B854" s="68"/>
      <c r="C854" s="50"/>
      <c r="D854" s="15"/>
    </row>
    <row r="855" spans="2:4" x14ac:dyDescent="0.25">
      <c r="B855" s="68"/>
      <c r="C855" s="50"/>
      <c r="D855" s="15"/>
    </row>
    <row r="856" spans="2:4" x14ac:dyDescent="0.25">
      <c r="B856" s="68"/>
      <c r="C856" s="50"/>
      <c r="D856" s="15"/>
    </row>
    <row r="857" spans="2:4" x14ac:dyDescent="0.25">
      <c r="B857" s="68"/>
      <c r="C857" s="50"/>
      <c r="D857" s="15"/>
    </row>
    <row r="858" spans="2:4" x14ac:dyDescent="0.25">
      <c r="B858" s="68"/>
      <c r="C858" s="50"/>
      <c r="D858" s="15"/>
    </row>
    <row r="859" spans="2:4" x14ac:dyDescent="0.25">
      <c r="B859" s="68"/>
      <c r="C859" s="50"/>
      <c r="D859" s="15"/>
    </row>
    <row r="860" spans="2:4" x14ac:dyDescent="0.25">
      <c r="B860" s="68"/>
      <c r="C860" s="50"/>
      <c r="D860" s="15"/>
    </row>
    <row r="861" spans="2:4" x14ac:dyDescent="0.25">
      <c r="B861" s="68"/>
      <c r="C861" s="50"/>
      <c r="D861" s="15"/>
    </row>
    <row r="862" spans="2:4" x14ac:dyDescent="0.25">
      <c r="B862" s="68"/>
      <c r="C862" s="50"/>
      <c r="D862" s="15"/>
    </row>
    <row r="863" spans="2:4" x14ac:dyDescent="0.25">
      <c r="B863" s="68"/>
      <c r="C863" s="50"/>
      <c r="D863" s="15"/>
    </row>
    <row r="864" spans="2:4" x14ac:dyDescent="0.25">
      <c r="B864" s="68"/>
      <c r="C864" s="50"/>
      <c r="D864" s="15"/>
    </row>
    <row r="865" spans="2:4" x14ac:dyDescent="0.25">
      <c r="B865" s="68"/>
      <c r="C865" s="50"/>
      <c r="D865" s="15"/>
    </row>
    <row r="866" spans="2:4" x14ac:dyDescent="0.25">
      <c r="B866" s="68"/>
      <c r="C866" s="50"/>
      <c r="D866" s="15"/>
    </row>
    <row r="867" spans="2:4" x14ac:dyDescent="0.25">
      <c r="B867" s="68"/>
      <c r="C867" s="50"/>
      <c r="D867" s="15"/>
    </row>
    <row r="868" spans="2:4" x14ac:dyDescent="0.25">
      <c r="B868" s="68"/>
      <c r="C868" s="50"/>
      <c r="D868" s="15"/>
    </row>
    <row r="869" spans="2:4" x14ac:dyDescent="0.25">
      <c r="B869" s="68"/>
      <c r="C869" s="50"/>
      <c r="D869" s="15"/>
    </row>
    <row r="870" spans="2:4" x14ac:dyDescent="0.25">
      <c r="B870" s="68"/>
      <c r="C870" s="50"/>
      <c r="D870" s="15"/>
    </row>
    <row r="871" spans="2:4" x14ac:dyDescent="0.25">
      <c r="B871" s="68"/>
      <c r="C871" s="50"/>
      <c r="D871" s="15"/>
    </row>
    <row r="872" spans="2:4" x14ac:dyDescent="0.25">
      <c r="B872" s="68"/>
      <c r="C872" s="50"/>
      <c r="D872" s="15"/>
    </row>
    <row r="873" spans="2:4" x14ac:dyDescent="0.25">
      <c r="B873" s="68"/>
      <c r="C873" s="50"/>
      <c r="D873" s="15"/>
    </row>
    <row r="874" spans="2:4" x14ac:dyDescent="0.25">
      <c r="B874" s="68"/>
      <c r="C874" s="50"/>
      <c r="D874" s="15"/>
    </row>
    <row r="875" spans="2:4" x14ac:dyDescent="0.25">
      <c r="B875" s="68"/>
      <c r="C875" s="50"/>
      <c r="D875" s="15"/>
    </row>
    <row r="876" spans="2:4" x14ac:dyDescent="0.25">
      <c r="B876" s="68"/>
      <c r="C876" s="50"/>
      <c r="D876" s="15"/>
    </row>
    <row r="877" spans="2:4" x14ac:dyDescent="0.25">
      <c r="B877" s="68"/>
      <c r="C877" s="50"/>
      <c r="D877" s="15"/>
    </row>
    <row r="878" spans="2:4" x14ac:dyDescent="0.25">
      <c r="B878" s="68"/>
      <c r="C878" s="50"/>
      <c r="D878" s="15"/>
    </row>
    <row r="879" spans="2:4" x14ac:dyDescent="0.25">
      <c r="B879" s="68"/>
      <c r="C879" s="50"/>
      <c r="D879" s="15"/>
    </row>
    <row r="880" spans="2:4" x14ac:dyDescent="0.25">
      <c r="B880" s="68"/>
      <c r="C880" s="50"/>
      <c r="D880" s="15"/>
    </row>
    <row r="881" spans="2:4" x14ac:dyDescent="0.25">
      <c r="B881" s="68"/>
      <c r="C881" s="50"/>
      <c r="D881" s="15"/>
    </row>
    <row r="882" spans="2:4" x14ac:dyDescent="0.25">
      <c r="B882" s="68"/>
      <c r="C882" s="50"/>
      <c r="D882" s="15"/>
    </row>
    <row r="883" spans="2:4" x14ac:dyDescent="0.25">
      <c r="B883" s="68"/>
      <c r="C883" s="50"/>
      <c r="D883" s="15"/>
    </row>
    <row r="884" spans="2:4" x14ac:dyDescent="0.25">
      <c r="B884" s="68"/>
      <c r="C884" s="50"/>
      <c r="D884" s="15"/>
    </row>
    <row r="885" spans="2:4" x14ac:dyDescent="0.25">
      <c r="B885" s="68"/>
      <c r="C885" s="50"/>
      <c r="D885" s="15"/>
    </row>
    <row r="886" spans="2:4" x14ac:dyDescent="0.25">
      <c r="B886" s="68"/>
      <c r="C886" s="50"/>
      <c r="D886" s="15"/>
    </row>
    <row r="887" spans="2:4" x14ac:dyDescent="0.25">
      <c r="B887" s="68"/>
      <c r="C887" s="50"/>
      <c r="D887" s="15"/>
    </row>
    <row r="888" spans="2:4" x14ac:dyDescent="0.25">
      <c r="B888" s="68"/>
      <c r="C888" s="50"/>
      <c r="D888" s="15"/>
    </row>
    <row r="889" spans="2:4" x14ac:dyDescent="0.25">
      <c r="B889" s="68"/>
      <c r="C889" s="50"/>
      <c r="D889" s="15"/>
    </row>
    <row r="890" spans="2:4" x14ac:dyDescent="0.25">
      <c r="B890" s="68"/>
      <c r="C890" s="50"/>
      <c r="D890" s="15"/>
    </row>
    <row r="891" spans="2:4" x14ac:dyDescent="0.25">
      <c r="B891" s="68"/>
      <c r="C891" s="50"/>
      <c r="D891" s="15"/>
    </row>
    <row r="892" spans="2:4" x14ac:dyDescent="0.25">
      <c r="B892" s="68"/>
      <c r="C892" s="50"/>
      <c r="D892" s="15"/>
    </row>
    <row r="893" spans="2:4" x14ac:dyDescent="0.25">
      <c r="B893" s="68"/>
      <c r="C893" s="50"/>
      <c r="D893" s="15"/>
    </row>
    <row r="894" spans="2:4" x14ac:dyDescent="0.25">
      <c r="B894" s="68"/>
      <c r="C894" s="50"/>
      <c r="D894" s="15"/>
    </row>
    <row r="895" spans="2:4" x14ac:dyDescent="0.25">
      <c r="B895" s="68"/>
      <c r="C895" s="50"/>
      <c r="D895" s="15"/>
    </row>
    <row r="896" spans="2:4" x14ac:dyDescent="0.25">
      <c r="B896" s="68"/>
      <c r="C896" s="50"/>
      <c r="D896" s="15"/>
    </row>
    <row r="897" spans="2:4" x14ac:dyDescent="0.25">
      <c r="B897" s="68"/>
      <c r="C897" s="50"/>
      <c r="D897" s="15"/>
    </row>
    <row r="898" spans="2:4" x14ac:dyDescent="0.25">
      <c r="B898" s="68"/>
      <c r="C898" s="50"/>
      <c r="D898" s="15"/>
    </row>
    <row r="899" spans="2:4" x14ac:dyDescent="0.25">
      <c r="B899" s="68"/>
      <c r="C899" s="50"/>
      <c r="D899" s="15"/>
    </row>
    <row r="900" spans="2:4" x14ac:dyDescent="0.25">
      <c r="B900" s="68"/>
      <c r="C900" s="50"/>
      <c r="D900" s="15"/>
    </row>
    <row r="901" spans="2:4" x14ac:dyDescent="0.25">
      <c r="B901" s="68"/>
      <c r="C901" s="50"/>
      <c r="D901" s="15"/>
    </row>
    <row r="902" spans="2:4" x14ac:dyDescent="0.25">
      <c r="B902" s="68"/>
      <c r="C902" s="50"/>
      <c r="D902" s="15"/>
    </row>
    <row r="903" spans="2:4" x14ac:dyDescent="0.25">
      <c r="B903" s="68"/>
      <c r="C903" s="50"/>
      <c r="D903" s="15"/>
    </row>
    <row r="904" spans="2:4" x14ac:dyDescent="0.25">
      <c r="B904" s="68"/>
      <c r="C904" s="50"/>
      <c r="D904" s="15"/>
    </row>
    <row r="905" spans="2:4" x14ac:dyDescent="0.25">
      <c r="B905" s="68"/>
      <c r="C905" s="50"/>
      <c r="D905" s="15"/>
    </row>
    <row r="906" spans="2:4" x14ac:dyDescent="0.25">
      <c r="B906" s="68"/>
      <c r="C906" s="50"/>
      <c r="D906" s="15"/>
    </row>
    <row r="907" spans="2:4" x14ac:dyDescent="0.25">
      <c r="B907" s="68"/>
      <c r="C907" s="50"/>
      <c r="D907" s="15"/>
    </row>
    <row r="908" spans="2:4" x14ac:dyDescent="0.25">
      <c r="B908" s="68"/>
      <c r="C908" s="50"/>
      <c r="D908" s="15"/>
    </row>
    <row r="909" spans="2:4" x14ac:dyDescent="0.25">
      <c r="B909" s="68"/>
      <c r="C909" s="50"/>
      <c r="D909" s="15"/>
    </row>
    <row r="910" spans="2:4" x14ac:dyDescent="0.25">
      <c r="B910" s="68"/>
      <c r="C910" s="50"/>
      <c r="D910" s="15"/>
    </row>
    <row r="911" spans="2:4" x14ac:dyDescent="0.25">
      <c r="B911" s="68"/>
      <c r="C911" s="50"/>
      <c r="D911" s="15"/>
    </row>
    <row r="912" spans="2:4" x14ac:dyDescent="0.25">
      <c r="B912" s="68"/>
      <c r="C912" s="50"/>
      <c r="D912" s="15"/>
    </row>
    <row r="913" spans="2:4" x14ac:dyDescent="0.25">
      <c r="B913" s="68"/>
      <c r="C913" s="50"/>
      <c r="D913" s="15"/>
    </row>
    <row r="914" spans="2:4" x14ac:dyDescent="0.25">
      <c r="B914" s="68"/>
      <c r="C914" s="50"/>
      <c r="D914" s="15"/>
    </row>
    <row r="915" spans="2:4" x14ac:dyDescent="0.25">
      <c r="B915" s="68"/>
      <c r="C915" s="50"/>
      <c r="D915" s="15"/>
    </row>
    <row r="916" spans="2:4" x14ac:dyDescent="0.25">
      <c r="B916" s="68"/>
      <c r="C916" s="50"/>
      <c r="D916" s="15"/>
    </row>
    <row r="917" spans="2:4" x14ac:dyDescent="0.25">
      <c r="B917" s="68"/>
      <c r="C917" s="50"/>
      <c r="D917" s="15"/>
    </row>
    <row r="918" spans="2:4" x14ac:dyDescent="0.25">
      <c r="B918" s="68"/>
      <c r="C918" s="50"/>
      <c r="D918" s="15"/>
    </row>
    <row r="919" spans="2:4" x14ac:dyDescent="0.25">
      <c r="B919" s="68"/>
      <c r="C919" s="50"/>
      <c r="D919" s="15"/>
    </row>
    <row r="920" spans="2:4" x14ac:dyDescent="0.25">
      <c r="B920" s="68"/>
      <c r="C920" s="50"/>
      <c r="D920" s="15"/>
    </row>
    <row r="921" spans="2:4" x14ac:dyDescent="0.25">
      <c r="B921" s="68"/>
      <c r="C921" s="50"/>
      <c r="D921" s="15"/>
    </row>
    <row r="922" spans="2:4" x14ac:dyDescent="0.25">
      <c r="B922" s="68"/>
      <c r="C922" s="50"/>
      <c r="D922" s="15"/>
    </row>
    <row r="923" spans="2:4" x14ac:dyDescent="0.25">
      <c r="B923" s="68"/>
      <c r="C923" s="50"/>
      <c r="D923" s="15"/>
    </row>
    <row r="924" spans="2:4" x14ac:dyDescent="0.25">
      <c r="B924" s="68"/>
      <c r="C924" s="50"/>
      <c r="D924" s="15"/>
    </row>
    <row r="925" spans="2:4" x14ac:dyDescent="0.25">
      <c r="B925" s="68"/>
      <c r="C925" s="50"/>
      <c r="D925" s="15"/>
    </row>
    <row r="926" spans="2:4" x14ac:dyDescent="0.25">
      <c r="B926" s="68"/>
      <c r="C926" s="50"/>
      <c r="D926" s="15"/>
    </row>
    <row r="927" spans="2:4" x14ac:dyDescent="0.25">
      <c r="B927" s="68"/>
      <c r="C927" s="50"/>
      <c r="D927" s="15"/>
    </row>
    <row r="928" spans="2:4" x14ac:dyDescent="0.25">
      <c r="B928" s="68"/>
      <c r="C928" s="50"/>
      <c r="D928" s="15"/>
    </row>
    <row r="929" spans="2:4" x14ac:dyDescent="0.25">
      <c r="B929" s="68"/>
      <c r="C929" s="50"/>
      <c r="D929" s="15"/>
    </row>
    <row r="930" spans="2:4" x14ac:dyDescent="0.25">
      <c r="B930" s="68"/>
      <c r="C930" s="50"/>
      <c r="D930" s="15"/>
    </row>
    <row r="931" spans="2:4" x14ac:dyDescent="0.25">
      <c r="B931" s="68"/>
      <c r="C931" s="50"/>
      <c r="D931" s="15"/>
    </row>
    <row r="932" spans="2:4" x14ac:dyDescent="0.25">
      <c r="B932" s="68"/>
      <c r="C932" s="50"/>
      <c r="D932" s="15"/>
    </row>
    <row r="933" spans="2:4" x14ac:dyDescent="0.25">
      <c r="B933" s="68"/>
      <c r="C933" s="50"/>
      <c r="D933" s="15"/>
    </row>
    <row r="934" spans="2:4" x14ac:dyDescent="0.25">
      <c r="B934" s="68"/>
      <c r="C934" s="50"/>
      <c r="D934" s="15"/>
    </row>
    <row r="935" spans="2:4" x14ac:dyDescent="0.25">
      <c r="B935" s="68"/>
      <c r="C935" s="50"/>
      <c r="D935" s="15"/>
    </row>
    <row r="936" spans="2:4" x14ac:dyDescent="0.25">
      <c r="B936" s="68"/>
      <c r="C936" s="50"/>
      <c r="D936" s="15"/>
    </row>
    <row r="937" spans="2:4" x14ac:dyDescent="0.25">
      <c r="B937" s="68"/>
      <c r="C937" s="50"/>
      <c r="D937" s="15"/>
    </row>
    <row r="938" spans="2:4" x14ac:dyDescent="0.25">
      <c r="B938" s="68"/>
      <c r="C938" s="50"/>
      <c r="D938" s="15"/>
    </row>
    <row r="939" spans="2:4" x14ac:dyDescent="0.25">
      <c r="B939" s="68"/>
      <c r="C939" s="50"/>
      <c r="D939" s="15"/>
    </row>
    <row r="940" spans="2:4" x14ac:dyDescent="0.25">
      <c r="B940" s="68"/>
      <c r="C940" s="50"/>
      <c r="D940" s="15"/>
    </row>
    <row r="941" spans="2:4" x14ac:dyDescent="0.25">
      <c r="B941" s="68"/>
      <c r="C941" s="50"/>
      <c r="D941" s="15"/>
    </row>
    <row r="942" spans="2:4" x14ac:dyDescent="0.25">
      <c r="B942" s="68"/>
      <c r="C942" s="50"/>
      <c r="D942" s="15"/>
    </row>
    <row r="943" spans="2:4" x14ac:dyDescent="0.25">
      <c r="B943" s="68"/>
      <c r="C943" s="50"/>
      <c r="D943" s="15"/>
    </row>
    <row r="944" spans="2:4" x14ac:dyDescent="0.25">
      <c r="B944" s="68"/>
      <c r="C944" s="50"/>
      <c r="D944" s="15"/>
    </row>
    <row r="945" spans="2:4" x14ac:dyDescent="0.25">
      <c r="B945" s="68"/>
      <c r="C945" s="50"/>
      <c r="D945" s="15"/>
    </row>
    <row r="946" spans="2:4" x14ac:dyDescent="0.25">
      <c r="B946" s="68"/>
      <c r="C946" s="50"/>
      <c r="D946" s="15"/>
    </row>
    <row r="947" spans="2:4" x14ac:dyDescent="0.25">
      <c r="B947" s="68"/>
      <c r="C947" s="50"/>
      <c r="D947" s="15"/>
    </row>
    <row r="948" spans="2:4" x14ac:dyDescent="0.25">
      <c r="B948" s="68"/>
      <c r="C948" s="50"/>
      <c r="D948" s="15"/>
    </row>
    <row r="949" spans="2:4" x14ac:dyDescent="0.25">
      <c r="B949" s="68"/>
      <c r="C949" s="50"/>
      <c r="D949" s="15"/>
    </row>
    <row r="950" spans="2:4" x14ac:dyDescent="0.25">
      <c r="B950" s="68"/>
      <c r="C950" s="50"/>
      <c r="D950" s="15"/>
    </row>
    <row r="951" spans="2:4" x14ac:dyDescent="0.25">
      <c r="B951" s="68"/>
      <c r="C951" s="50"/>
      <c r="D951" s="15"/>
    </row>
    <row r="952" spans="2:4" x14ac:dyDescent="0.25">
      <c r="B952" s="68"/>
      <c r="C952" s="50"/>
      <c r="D952" s="15"/>
    </row>
    <row r="953" spans="2:4" x14ac:dyDescent="0.25">
      <c r="B953" s="68"/>
      <c r="C953" s="50"/>
      <c r="D953" s="15"/>
    </row>
    <row r="954" spans="2:4" x14ac:dyDescent="0.25">
      <c r="B954" s="68"/>
      <c r="C954" s="50"/>
      <c r="D954" s="15"/>
    </row>
    <row r="955" spans="2:4" x14ac:dyDescent="0.25">
      <c r="B955" s="68"/>
      <c r="C955" s="50"/>
      <c r="D955" s="15"/>
    </row>
    <row r="956" spans="2:4" x14ac:dyDescent="0.25">
      <c r="B956" s="68"/>
      <c r="C956" s="50"/>
      <c r="D956" s="15"/>
    </row>
    <row r="957" spans="2:4" x14ac:dyDescent="0.25">
      <c r="B957" s="68"/>
      <c r="C957" s="50"/>
      <c r="D957" s="15"/>
    </row>
    <row r="958" spans="2:4" x14ac:dyDescent="0.25">
      <c r="B958" s="68"/>
      <c r="C958" s="50"/>
      <c r="D958" s="15"/>
    </row>
    <row r="959" spans="2:4" x14ac:dyDescent="0.25">
      <c r="B959" s="68"/>
      <c r="C959" s="50"/>
      <c r="D959" s="15"/>
    </row>
    <row r="960" spans="2:4" x14ac:dyDescent="0.25">
      <c r="B960" s="68"/>
      <c r="C960" s="50"/>
      <c r="D960" s="15"/>
    </row>
    <row r="961" spans="2:4" x14ac:dyDescent="0.25">
      <c r="B961" s="68"/>
      <c r="C961" s="50"/>
      <c r="D961" s="15"/>
    </row>
    <row r="962" spans="2:4" x14ac:dyDescent="0.25">
      <c r="B962" s="68"/>
      <c r="C962" s="50"/>
      <c r="D962" s="15"/>
    </row>
    <row r="963" spans="2:4" x14ac:dyDescent="0.25">
      <c r="B963" s="68"/>
      <c r="C963" s="50"/>
      <c r="D963" s="15"/>
    </row>
    <row r="964" spans="2:4" x14ac:dyDescent="0.25">
      <c r="B964" s="68"/>
      <c r="C964" s="50"/>
      <c r="D964" s="15"/>
    </row>
    <row r="965" spans="2:4" x14ac:dyDescent="0.25">
      <c r="B965" s="68"/>
      <c r="C965" s="50"/>
      <c r="D965" s="15"/>
    </row>
    <row r="966" spans="2:4" x14ac:dyDescent="0.25">
      <c r="B966" s="68"/>
      <c r="C966" s="50"/>
      <c r="D966" s="15"/>
    </row>
    <row r="967" spans="2:4" x14ac:dyDescent="0.25">
      <c r="B967" s="68"/>
      <c r="C967" s="50"/>
      <c r="D967" s="15"/>
    </row>
    <row r="968" spans="2:4" x14ac:dyDescent="0.25">
      <c r="B968" s="68"/>
      <c r="C968" s="50"/>
      <c r="D968" s="15"/>
    </row>
    <row r="969" spans="2:4" x14ac:dyDescent="0.25">
      <c r="B969" s="68"/>
      <c r="C969" s="50"/>
      <c r="D969" s="15"/>
    </row>
    <row r="970" spans="2:4" x14ac:dyDescent="0.25">
      <c r="B970" s="68"/>
      <c r="C970" s="50"/>
      <c r="D970" s="15"/>
    </row>
    <row r="971" spans="2:4" x14ac:dyDescent="0.25">
      <c r="B971" s="68"/>
      <c r="C971" s="50"/>
      <c r="D971" s="15"/>
    </row>
    <row r="972" spans="2:4" x14ac:dyDescent="0.25">
      <c r="B972" s="68"/>
      <c r="C972" s="50"/>
      <c r="D972" s="15"/>
    </row>
    <row r="973" spans="2:4" x14ac:dyDescent="0.25">
      <c r="B973" s="68"/>
      <c r="C973" s="50"/>
      <c r="D973" s="15"/>
    </row>
    <row r="974" spans="2:4" x14ac:dyDescent="0.25">
      <c r="B974" s="68"/>
      <c r="C974" s="50"/>
      <c r="D974" s="15"/>
    </row>
    <row r="975" spans="2:4" x14ac:dyDescent="0.25">
      <c r="B975" s="68"/>
      <c r="C975" s="50"/>
      <c r="D975" s="15"/>
    </row>
    <row r="976" spans="2:4" x14ac:dyDescent="0.25">
      <c r="B976" s="68"/>
      <c r="C976" s="50"/>
      <c r="D976" s="15"/>
    </row>
    <row r="977" spans="2:4" x14ac:dyDescent="0.25">
      <c r="B977" s="68"/>
      <c r="C977" s="50"/>
      <c r="D977" s="15"/>
    </row>
    <row r="978" spans="2:4" x14ac:dyDescent="0.25">
      <c r="B978" s="68"/>
      <c r="C978" s="50"/>
      <c r="D978" s="15"/>
    </row>
    <row r="979" spans="2:4" x14ac:dyDescent="0.25">
      <c r="B979" s="68"/>
      <c r="C979" s="50"/>
      <c r="D979" s="15"/>
    </row>
    <row r="980" spans="2:4" x14ac:dyDescent="0.25">
      <c r="B980" s="68"/>
      <c r="C980" s="50"/>
      <c r="D980" s="15"/>
    </row>
    <row r="981" spans="2:4" x14ac:dyDescent="0.25">
      <c r="B981" s="68"/>
      <c r="C981" s="50"/>
      <c r="D981" s="15"/>
    </row>
    <row r="982" spans="2:4" x14ac:dyDescent="0.25">
      <c r="B982" s="68"/>
      <c r="C982" s="50"/>
      <c r="D982" s="15"/>
    </row>
    <row r="983" spans="2:4" x14ac:dyDescent="0.25">
      <c r="B983" s="68"/>
      <c r="C983" s="50"/>
      <c r="D983" s="15"/>
    </row>
    <row r="984" spans="2:4" x14ac:dyDescent="0.25">
      <c r="B984" s="68"/>
      <c r="C984" s="50"/>
      <c r="D984" s="15"/>
    </row>
    <row r="985" spans="2:4" x14ac:dyDescent="0.25">
      <c r="B985" s="68"/>
      <c r="C985" s="50"/>
      <c r="D985" s="15"/>
    </row>
    <row r="986" spans="2:4" x14ac:dyDescent="0.25">
      <c r="B986" s="68"/>
      <c r="C986" s="50"/>
      <c r="D986" s="15"/>
    </row>
    <row r="987" spans="2:4" x14ac:dyDescent="0.25">
      <c r="B987" s="68"/>
      <c r="C987" s="50"/>
      <c r="D987" s="15"/>
    </row>
    <row r="988" spans="2:4" x14ac:dyDescent="0.25">
      <c r="B988" s="68"/>
      <c r="C988" s="50"/>
      <c r="D988" s="15"/>
    </row>
    <row r="989" spans="2:4" x14ac:dyDescent="0.25">
      <c r="B989" s="68"/>
      <c r="C989" s="50"/>
      <c r="D989" s="15"/>
    </row>
    <row r="990" spans="2:4" x14ac:dyDescent="0.25">
      <c r="B990" s="68"/>
      <c r="C990" s="50"/>
      <c r="D990" s="15"/>
    </row>
    <row r="991" spans="2:4" x14ac:dyDescent="0.25">
      <c r="B991" s="68"/>
      <c r="C991" s="50"/>
      <c r="D991" s="15"/>
    </row>
    <row r="992" spans="2:4" x14ac:dyDescent="0.25">
      <c r="B992" s="68"/>
      <c r="C992" s="50"/>
      <c r="D992" s="15"/>
    </row>
    <row r="993" spans="2:4" x14ac:dyDescent="0.25">
      <c r="B993" s="68"/>
      <c r="C993" s="50"/>
      <c r="D993" s="15"/>
    </row>
    <row r="994" spans="2:4" x14ac:dyDescent="0.25">
      <c r="B994" s="68"/>
      <c r="C994" s="50"/>
      <c r="D994" s="15"/>
    </row>
    <row r="995" spans="2:4" x14ac:dyDescent="0.25">
      <c r="B995" s="68"/>
      <c r="C995" s="50"/>
      <c r="D995" s="15"/>
    </row>
    <row r="996" spans="2:4" x14ac:dyDescent="0.25">
      <c r="B996" s="68"/>
      <c r="C996" s="50"/>
      <c r="D996" s="15"/>
    </row>
    <row r="997" spans="2:4" x14ac:dyDescent="0.25">
      <c r="B997" s="68"/>
      <c r="C997" s="50"/>
      <c r="D997" s="15"/>
    </row>
    <row r="998" spans="2:4" x14ac:dyDescent="0.25">
      <c r="B998" s="68"/>
      <c r="C998" s="50"/>
      <c r="D998" s="15"/>
    </row>
    <row r="999" spans="2:4" x14ac:dyDescent="0.25">
      <c r="B999" s="68"/>
      <c r="C999" s="50"/>
      <c r="D999" s="15"/>
    </row>
    <row r="1000" spans="2:4" x14ac:dyDescent="0.25">
      <c r="B1000" s="68"/>
      <c r="C1000" s="50"/>
      <c r="D1000" s="15"/>
    </row>
    <row r="1001" spans="2:4" x14ac:dyDescent="0.25">
      <c r="B1001" s="68"/>
      <c r="C1001" s="50"/>
      <c r="D1001" s="15"/>
    </row>
    <row r="1002" spans="2:4" x14ac:dyDescent="0.25">
      <c r="B1002" s="68"/>
      <c r="C1002" s="50"/>
      <c r="D1002" s="15"/>
    </row>
    <row r="1003" spans="2:4" x14ac:dyDescent="0.25">
      <c r="B1003" s="68"/>
      <c r="C1003" s="50"/>
      <c r="D1003" s="15"/>
    </row>
    <row r="1004" spans="2:4" x14ac:dyDescent="0.25">
      <c r="B1004" s="68"/>
      <c r="C1004" s="50"/>
      <c r="D1004" s="15"/>
    </row>
    <row r="1005" spans="2:4" x14ac:dyDescent="0.25">
      <c r="B1005" s="68"/>
      <c r="C1005" s="50"/>
      <c r="D1005" s="15"/>
    </row>
    <row r="1006" spans="2:4" x14ac:dyDescent="0.25">
      <c r="B1006" s="68"/>
      <c r="C1006" s="50"/>
      <c r="D1006" s="15"/>
    </row>
    <row r="1007" spans="2:4" x14ac:dyDescent="0.25">
      <c r="B1007" s="68"/>
      <c r="C1007" s="50"/>
      <c r="D1007" s="15"/>
    </row>
    <row r="1008" spans="2:4" x14ac:dyDescent="0.25">
      <c r="B1008" s="68"/>
      <c r="C1008" s="50"/>
      <c r="D1008" s="15"/>
    </row>
    <row r="1009" spans="2:4" x14ac:dyDescent="0.25">
      <c r="B1009" s="68"/>
      <c r="C1009" s="50"/>
      <c r="D1009" s="15"/>
    </row>
    <row r="1010" spans="2:4" x14ac:dyDescent="0.25">
      <c r="B1010" s="68"/>
      <c r="C1010" s="50"/>
      <c r="D1010" s="15"/>
    </row>
    <row r="1011" spans="2:4" x14ac:dyDescent="0.25">
      <c r="B1011" s="68"/>
      <c r="C1011" s="50"/>
      <c r="D1011" s="15"/>
    </row>
    <row r="1012" spans="2:4" x14ac:dyDescent="0.25">
      <c r="B1012" s="68"/>
      <c r="C1012" s="50"/>
      <c r="D1012" s="15"/>
    </row>
    <row r="1013" spans="2:4" x14ac:dyDescent="0.25">
      <c r="B1013" s="68"/>
      <c r="C1013" s="50"/>
      <c r="D1013" s="15"/>
    </row>
    <row r="1014" spans="2:4" x14ac:dyDescent="0.25">
      <c r="B1014" s="68"/>
      <c r="C1014" s="50"/>
      <c r="D1014" s="15"/>
    </row>
    <row r="1015" spans="2:4" x14ac:dyDescent="0.25">
      <c r="B1015" s="68"/>
      <c r="C1015" s="50"/>
      <c r="D1015" s="15"/>
    </row>
    <row r="1016" spans="2:4" x14ac:dyDescent="0.25">
      <c r="B1016" s="68"/>
      <c r="C1016" s="50"/>
      <c r="D1016" s="15"/>
    </row>
    <row r="1017" spans="2:4" x14ac:dyDescent="0.25">
      <c r="B1017" s="68"/>
      <c r="C1017" s="50"/>
      <c r="D1017" s="15"/>
    </row>
    <row r="1018" spans="2:4" x14ac:dyDescent="0.25">
      <c r="B1018" s="68"/>
      <c r="C1018" s="50"/>
      <c r="D1018" s="15"/>
    </row>
    <row r="1019" spans="2:4" x14ac:dyDescent="0.25">
      <c r="B1019" s="68"/>
      <c r="C1019" s="50"/>
      <c r="D1019" s="15"/>
    </row>
    <row r="1020" spans="2:4" x14ac:dyDescent="0.25">
      <c r="B1020" s="68"/>
      <c r="C1020" s="50"/>
      <c r="D1020" s="15"/>
    </row>
    <row r="1021" spans="2:4" x14ac:dyDescent="0.25">
      <c r="B1021" s="68"/>
      <c r="C1021" s="50"/>
      <c r="D1021" s="15"/>
    </row>
    <row r="1022" spans="2:4" x14ac:dyDescent="0.25">
      <c r="B1022" s="68"/>
      <c r="C1022" s="50"/>
      <c r="D1022" s="15"/>
    </row>
    <row r="1023" spans="2:4" x14ac:dyDescent="0.25">
      <c r="B1023" s="68"/>
      <c r="C1023" s="50"/>
      <c r="D1023" s="15"/>
    </row>
    <row r="1024" spans="2:4" x14ac:dyDescent="0.25">
      <c r="B1024" s="68"/>
      <c r="C1024" s="50"/>
      <c r="D1024" s="15"/>
    </row>
    <row r="1025" spans="2:4" x14ac:dyDescent="0.25">
      <c r="B1025" s="68"/>
      <c r="C1025" s="50"/>
      <c r="D1025" s="15"/>
    </row>
    <row r="1026" spans="2:4" x14ac:dyDescent="0.25">
      <c r="B1026" s="68"/>
      <c r="C1026" s="50"/>
      <c r="D1026" s="15"/>
    </row>
    <row r="1027" spans="2:4" x14ac:dyDescent="0.25">
      <c r="B1027" s="68"/>
      <c r="C1027" s="50"/>
      <c r="D1027" s="15"/>
    </row>
    <row r="1028" spans="2:4" x14ac:dyDescent="0.25">
      <c r="B1028" s="68"/>
      <c r="C1028" s="50"/>
      <c r="D1028" s="15"/>
    </row>
    <row r="1029" spans="2:4" x14ac:dyDescent="0.25">
      <c r="B1029" s="68"/>
      <c r="C1029" s="50"/>
      <c r="D1029" s="15"/>
    </row>
    <row r="1030" spans="2:4" x14ac:dyDescent="0.25">
      <c r="B1030" s="68"/>
      <c r="C1030" s="50"/>
      <c r="D1030" s="15"/>
    </row>
    <row r="1031" spans="2:4" x14ac:dyDescent="0.25">
      <c r="B1031" s="68"/>
      <c r="C1031" s="50"/>
      <c r="D1031" s="15"/>
    </row>
    <row r="1032" spans="2:4" x14ac:dyDescent="0.25">
      <c r="B1032" s="68"/>
      <c r="C1032" s="50"/>
      <c r="D1032" s="15"/>
    </row>
    <row r="1033" spans="2:4" x14ac:dyDescent="0.25">
      <c r="B1033" s="68"/>
      <c r="C1033" s="50"/>
      <c r="D1033" s="15"/>
    </row>
    <row r="1034" spans="2:4" x14ac:dyDescent="0.25">
      <c r="B1034" s="68"/>
      <c r="C1034" s="50"/>
      <c r="D1034" s="15"/>
    </row>
    <row r="1035" spans="2:4" x14ac:dyDescent="0.25">
      <c r="B1035" s="68"/>
      <c r="C1035" s="50"/>
      <c r="D1035" s="15"/>
    </row>
    <row r="1036" spans="2:4" x14ac:dyDescent="0.25">
      <c r="B1036" s="68"/>
      <c r="C1036" s="50"/>
      <c r="D1036" s="15"/>
    </row>
    <row r="1037" spans="2:4" x14ac:dyDescent="0.25">
      <c r="B1037" s="68"/>
      <c r="C1037" s="50"/>
      <c r="D1037" s="15"/>
    </row>
    <row r="1038" spans="2:4" x14ac:dyDescent="0.25">
      <c r="B1038" s="68"/>
      <c r="C1038" s="50"/>
      <c r="D1038" s="15"/>
    </row>
    <row r="1039" spans="2:4" x14ac:dyDescent="0.25">
      <c r="B1039" s="68"/>
      <c r="C1039" s="50"/>
      <c r="D1039" s="15"/>
    </row>
    <row r="1040" spans="2:4" x14ac:dyDescent="0.25">
      <c r="B1040" s="68"/>
      <c r="C1040" s="50"/>
      <c r="D1040" s="15"/>
    </row>
    <row r="1041" spans="2:4" x14ac:dyDescent="0.25">
      <c r="B1041" s="68"/>
      <c r="C1041" s="50"/>
      <c r="D1041" s="15"/>
    </row>
    <row r="1042" spans="2:4" x14ac:dyDescent="0.25">
      <c r="B1042" s="68"/>
      <c r="C1042" s="50"/>
      <c r="D1042" s="15"/>
    </row>
    <row r="1043" spans="2:4" x14ac:dyDescent="0.25">
      <c r="B1043" s="68"/>
      <c r="C1043" s="50"/>
      <c r="D1043" s="15"/>
    </row>
    <row r="1044" spans="2:4" x14ac:dyDescent="0.25">
      <c r="B1044" s="68"/>
      <c r="C1044" s="50"/>
      <c r="D1044" s="15"/>
    </row>
    <row r="1045" spans="2:4" x14ac:dyDescent="0.25">
      <c r="B1045" s="68"/>
      <c r="C1045" s="50"/>
      <c r="D1045" s="15"/>
    </row>
    <row r="1046" spans="2:4" x14ac:dyDescent="0.25">
      <c r="B1046" s="68"/>
      <c r="C1046" s="50"/>
      <c r="D1046" s="15"/>
    </row>
    <row r="1047" spans="2:4" x14ac:dyDescent="0.25">
      <c r="B1047" s="68"/>
      <c r="C1047" s="50"/>
      <c r="D1047" s="15"/>
    </row>
    <row r="1048" spans="2:4" x14ac:dyDescent="0.25">
      <c r="B1048" s="68"/>
      <c r="C1048" s="50"/>
      <c r="D1048" s="15"/>
    </row>
    <row r="1049" spans="2:4" x14ac:dyDescent="0.25">
      <c r="B1049" s="68"/>
      <c r="C1049" s="50"/>
      <c r="D1049" s="15"/>
    </row>
    <row r="1050" spans="2:4" x14ac:dyDescent="0.25">
      <c r="B1050" s="68"/>
      <c r="C1050" s="50"/>
      <c r="D1050" s="15"/>
    </row>
    <row r="1051" spans="2:4" x14ac:dyDescent="0.25">
      <c r="B1051" s="68"/>
      <c r="C1051" s="50"/>
      <c r="D1051" s="15"/>
    </row>
    <row r="1052" spans="2:4" x14ac:dyDescent="0.25">
      <c r="B1052" s="68"/>
      <c r="C1052" s="50"/>
      <c r="D1052" s="15"/>
    </row>
    <row r="1053" spans="2:4" x14ac:dyDescent="0.25">
      <c r="B1053" s="68"/>
      <c r="C1053" s="50"/>
      <c r="D1053" s="15"/>
    </row>
    <row r="1054" spans="2:4" x14ac:dyDescent="0.25">
      <c r="B1054" s="68"/>
      <c r="C1054" s="50"/>
      <c r="D1054" s="15"/>
    </row>
    <row r="1055" spans="2:4" x14ac:dyDescent="0.25">
      <c r="B1055" s="68"/>
      <c r="C1055" s="50"/>
      <c r="D1055" s="15"/>
    </row>
    <row r="1056" spans="2:4" x14ac:dyDescent="0.25">
      <c r="B1056" s="68"/>
      <c r="C1056" s="50"/>
      <c r="D1056" s="15"/>
    </row>
    <row r="1057" spans="2:4" x14ac:dyDescent="0.25">
      <c r="B1057" s="68"/>
      <c r="C1057" s="50"/>
      <c r="D1057" s="15"/>
    </row>
    <row r="1058" spans="2:4" x14ac:dyDescent="0.25">
      <c r="B1058" s="68"/>
      <c r="C1058" s="50"/>
      <c r="D1058" s="15"/>
    </row>
    <row r="1059" spans="2:4" x14ac:dyDescent="0.25">
      <c r="B1059" s="68"/>
      <c r="C1059" s="50"/>
      <c r="D1059" s="15"/>
    </row>
    <row r="1060" spans="2:4" x14ac:dyDescent="0.25">
      <c r="B1060" s="68"/>
      <c r="C1060" s="50"/>
      <c r="D1060" s="15"/>
    </row>
    <row r="1061" spans="2:4" x14ac:dyDescent="0.25">
      <c r="B1061" s="68"/>
      <c r="C1061" s="50"/>
      <c r="D1061" s="15"/>
    </row>
    <row r="1062" spans="2:4" x14ac:dyDescent="0.25">
      <c r="B1062" s="68"/>
      <c r="C1062" s="50"/>
      <c r="D1062" s="15"/>
    </row>
    <row r="1063" spans="2:4" x14ac:dyDescent="0.25">
      <c r="B1063" s="68"/>
      <c r="C1063" s="50"/>
      <c r="D1063" s="15"/>
    </row>
    <row r="1064" spans="2:4" x14ac:dyDescent="0.25">
      <c r="B1064" s="68"/>
      <c r="C1064" s="50"/>
      <c r="D1064" s="15"/>
    </row>
    <row r="1065" spans="2:4" x14ac:dyDescent="0.25">
      <c r="B1065" s="68"/>
      <c r="C1065" s="50"/>
      <c r="D1065" s="15"/>
    </row>
    <row r="1066" spans="2:4" x14ac:dyDescent="0.25">
      <c r="B1066" s="68"/>
      <c r="C1066" s="50"/>
      <c r="D1066" s="15"/>
    </row>
    <row r="1067" spans="2:4" x14ac:dyDescent="0.25">
      <c r="B1067" s="68"/>
      <c r="C1067" s="50"/>
      <c r="D1067" s="15"/>
    </row>
    <row r="1068" spans="2:4" x14ac:dyDescent="0.25">
      <c r="B1068" s="68"/>
      <c r="C1068" s="50"/>
      <c r="D1068" s="15"/>
    </row>
    <row r="1069" spans="2:4" x14ac:dyDescent="0.25">
      <c r="B1069" s="68"/>
      <c r="C1069" s="50"/>
      <c r="D1069" s="15"/>
    </row>
    <row r="1070" spans="2:4" x14ac:dyDescent="0.25">
      <c r="B1070" s="68"/>
      <c r="C1070" s="50"/>
      <c r="D1070" s="15"/>
    </row>
    <row r="1071" spans="2:4" x14ac:dyDescent="0.25">
      <c r="B1071" s="68"/>
      <c r="C1071" s="50"/>
      <c r="D1071" s="15"/>
    </row>
    <row r="1072" spans="2:4" x14ac:dyDescent="0.25">
      <c r="B1072" s="68"/>
      <c r="C1072" s="50"/>
      <c r="D1072" s="15"/>
    </row>
    <row r="1073" spans="2:4" x14ac:dyDescent="0.25">
      <c r="B1073" s="68"/>
      <c r="C1073" s="50"/>
      <c r="D1073" s="15"/>
    </row>
    <row r="1074" spans="2:4" x14ac:dyDescent="0.25">
      <c r="B1074" s="68"/>
      <c r="C1074" s="50"/>
      <c r="D1074" s="15"/>
    </row>
    <row r="1075" spans="2:4" x14ac:dyDescent="0.25">
      <c r="B1075" s="68"/>
      <c r="C1075" s="50"/>
      <c r="D1075" s="15"/>
    </row>
    <row r="1076" spans="2:4" x14ac:dyDescent="0.25">
      <c r="B1076" s="68"/>
      <c r="C1076" s="50"/>
      <c r="D1076" s="15"/>
    </row>
    <row r="1077" spans="2:4" x14ac:dyDescent="0.25">
      <c r="B1077" s="68"/>
      <c r="C1077" s="50"/>
      <c r="D1077" s="15"/>
    </row>
    <row r="1078" spans="2:4" x14ac:dyDescent="0.25">
      <c r="B1078" s="68"/>
      <c r="C1078" s="50"/>
      <c r="D1078" s="15"/>
    </row>
    <row r="1079" spans="2:4" x14ac:dyDescent="0.25">
      <c r="B1079" s="68"/>
      <c r="C1079" s="50"/>
      <c r="D1079" s="15"/>
    </row>
    <row r="1080" spans="2:4" x14ac:dyDescent="0.25">
      <c r="B1080" s="68"/>
      <c r="C1080" s="50"/>
      <c r="D1080" s="15"/>
    </row>
    <row r="1081" spans="2:4" x14ac:dyDescent="0.25">
      <c r="B1081" s="68"/>
      <c r="C1081" s="50"/>
      <c r="D1081" s="15"/>
    </row>
    <row r="1082" spans="2:4" x14ac:dyDescent="0.25">
      <c r="B1082" s="68"/>
      <c r="C1082" s="50"/>
      <c r="D1082" s="15"/>
    </row>
    <row r="1083" spans="2:4" x14ac:dyDescent="0.25">
      <c r="B1083" s="68"/>
      <c r="C1083" s="50"/>
      <c r="D1083" s="15"/>
    </row>
    <row r="1084" spans="2:4" x14ac:dyDescent="0.25">
      <c r="B1084" s="68"/>
      <c r="C1084" s="50"/>
      <c r="D1084" s="15"/>
    </row>
    <row r="1085" spans="2:4" x14ac:dyDescent="0.25">
      <c r="B1085" s="68"/>
      <c r="C1085" s="50"/>
      <c r="D1085" s="15"/>
    </row>
    <row r="1086" spans="2:4" x14ac:dyDescent="0.25">
      <c r="B1086" s="68"/>
      <c r="C1086" s="50"/>
      <c r="D1086" s="15"/>
    </row>
    <row r="1087" spans="2:4" x14ac:dyDescent="0.25">
      <c r="B1087" s="68"/>
      <c r="C1087" s="50"/>
      <c r="D1087" s="15"/>
    </row>
    <row r="1088" spans="2:4" x14ac:dyDescent="0.25">
      <c r="B1088" s="68"/>
      <c r="C1088" s="50"/>
      <c r="D1088" s="15"/>
    </row>
    <row r="1089" spans="2:4" x14ac:dyDescent="0.25">
      <c r="B1089" s="68"/>
      <c r="C1089" s="50"/>
      <c r="D1089" s="15"/>
    </row>
    <row r="1090" spans="2:4" x14ac:dyDescent="0.25">
      <c r="B1090" s="68"/>
      <c r="C1090" s="50"/>
      <c r="D1090" s="15"/>
    </row>
    <row r="1091" spans="2:4" x14ac:dyDescent="0.25">
      <c r="B1091" s="68"/>
      <c r="C1091" s="50"/>
      <c r="D1091" s="15"/>
    </row>
    <row r="1092" spans="2:4" x14ac:dyDescent="0.25">
      <c r="B1092" s="68"/>
      <c r="C1092" s="50"/>
      <c r="D1092" s="15"/>
    </row>
    <row r="1093" spans="2:4" x14ac:dyDescent="0.25">
      <c r="B1093" s="68"/>
      <c r="C1093" s="50"/>
      <c r="D1093" s="15"/>
    </row>
    <row r="1094" spans="2:4" x14ac:dyDescent="0.25">
      <c r="B1094" s="68"/>
      <c r="C1094" s="50"/>
      <c r="D1094" s="15"/>
    </row>
    <row r="1095" spans="2:4" x14ac:dyDescent="0.25">
      <c r="B1095" s="68"/>
      <c r="C1095" s="50"/>
      <c r="D1095" s="15"/>
    </row>
    <row r="1096" spans="2:4" x14ac:dyDescent="0.25">
      <c r="B1096" s="68"/>
      <c r="C1096" s="50"/>
      <c r="D1096" s="15"/>
    </row>
    <row r="1097" spans="2:4" x14ac:dyDescent="0.25">
      <c r="B1097" s="68"/>
      <c r="C1097" s="50"/>
      <c r="D1097" s="15"/>
    </row>
    <row r="1098" spans="2:4" x14ac:dyDescent="0.25">
      <c r="B1098" s="68"/>
      <c r="C1098" s="50"/>
      <c r="D1098" s="15"/>
    </row>
    <row r="1099" spans="2:4" x14ac:dyDescent="0.25">
      <c r="B1099" s="68"/>
      <c r="C1099" s="50"/>
      <c r="D1099" s="15"/>
    </row>
    <row r="1100" spans="2:4" x14ac:dyDescent="0.25">
      <c r="B1100" s="68"/>
      <c r="C1100" s="50"/>
      <c r="D1100" s="15"/>
    </row>
    <row r="1101" spans="2:4" x14ac:dyDescent="0.25">
      <c r="B1101" s="68"/>
      <c r="C1101" s="50"/>
      <c r="D1101" s="15"/>
    </row>
    <row r="1102" spans="2:4" x14ac:dyDescent="0.25">
      <c r="B1102" s="68"/>
      <c r="C1102" s="50"/>
      <c r="D1102" s="15"/>
    </row>
    <row r="1103" spans="2:4" x14ac:dyDescent="0.25">
      <c r="B1103" s="68"/>
      <c r="C1103" s="50"/>
      <c r="D1103" s="15"/>
    </row>
    <row r="1104" spans="2:4" x14ac:dyDescent="0.25">
      <c r="B1104" s="68"/>
      <c r="C1104" s="50"/>
      <c r="D1104" s="15"/>
    </row>
    <row r="1105" spans="2:4" x14ac:dyDescent="0.25">
      <c r="B1105" s="68"/>
      <c r="C1105" s="50"/>
      <c r="D1105" s="15"/>
    </row>
    <row r="1106" spans="2:4" x14ac:dyDescent="0.25">
      <c r="B1106" s="68"/>
      <c r="C1106" s="50"/>
      <c r="D1106" s="15"/>
    </row>
    <row r="1107" spans="2:4" x14ac:dyDescent="0.25">
      <c r="B1107" s="68"/>
      <c r="C1107" s="50"/>
      <c r="D1107" s="15"/>
    </row>
    <row r="1108" spans="2:4" x14ac:dyDescent="0.25">
      <c r="B1108" s="68"/>
      <c r="C1108" s="50"/>
      <c r="D1108" s="15"/>
    </row>
    <row r="1109" spans="2:4" x14ac:dyDescent="0.25">
      <c r="B1109" s="68"/>
      <c r="C1109" s="50"/>
      <c r="D1109" s="15"/>
    </row>
    <row r="1110" spans="2:4" x14ac:dyDescent="0.25">
      <c r="B1110" s="68"/>
      <c r="C1110" s="50"/>
      <c r="D1110" s="15"/>
    </row>
    <row r="1111" spans="2:4" x14ac:dyDescent="0.25">
      <c r="B1111" s="68"/>
      <c r="C1111" s="50"/>
      <c r="D1111" s="15"/>
    </row>
    <row r="1112" spans="2:4" x14ac:dyDescent="0.25">
      <c r="B1112" s="68"/>
      <c r="C1112" s="50"/>
      <c r="D1112" s="15"/>
    </row>
    <row r="1113" spans="2:4" x14ac:dyDescent="0.25">
      <c r="B1113" s="68"/>
      <c r="C1113" s="50"/>
      <c r="D1113" s="15"/>
    </row>
    <row r="1114" spans="2:4" x14ac:dyDescent="0.25">
      <c r="B1114" s="68"/>
      <c r="C1114" s="50"/>
      <c r="D1114" s="15"/>
    </row>
    <row r="1115" spans="2:4" x14ac:dyDescent="0.25">
      <c r="B1115" s="68"/>
      <c r="C1115" s="50"/>
      <c r="D1115" s="15"/>
    </row>
    <row r="1116" spans="2:4" x14ac:dyDescent="0.25">
      <c r="B1116" s="68"/>
      <c r="C1116" s="50"/>
      <c r="D1116" s="15"/>
    </row>
    <row r="1117" spans="2:4" x14ac:dyDescent="0.25">
      <c r="B1117" s="68"/>
      <c r="C1117" s="50"/>
      <c r="D1117" s="15"/>
    </row>
    <row r="1118" spans="2:4" x14ac:dyDescent="0.25">
      <c r="B1118" s="68"/>
      <c r="C1118" s="50"/>
      <c r="D1118" s="15"/>
    </row>
    <row r="1119" spans="2:4" x14ac:dyDescent="0.25">
      <c r="B1119" s="68"/>
      <c r="C1119" s="50"/>
      <c r="D1119" s="15"/>
    </row>
    <row r="1120" spans="2:4" x14ac:dyDescent="0.25">
      <c r="B1120" s="68"/>
      <c r="C1120" s="50"/>
      <c r="D1120" s="15"/>
    </row>
    <row r="1121" spans="2:4" x14ac:dyDescent="0.25">
      <c r="B1121" s="68"/>
      <c r="C1121" s="50"/>
      <c r="D1121" s="15"/>
    </row>
    <row r="1122" spans="2:4" x14ac:dyDescent="0.25">
      <c r="B1122" s="68"/>
      <c r="C1122" s="50"/>
      <c r="D1122" s="15"/>
    </row>
    <row r="1123" spans="2:4" x14ac:dyDescent="0.25">
      <c r="B1123" s="68"/>
      <c r="C1123" s="50"/>
      <c r="D1123" s="15"/>
    </row>
    <row r="1124" spans="2:4" x14ac:dyDescent="0.25">
      <c r="B1124" s="68"/>
      <c r="C1124" s="50"/>
      <c r="D1124" s="15"/>
    </row>
    <row r="1125" spans="2:4" x14ac:dyDescent="0.25">
      <c r="B1125" s="68"/>
      <c r="C1125" s="50"/>
      <c r="D1125" s="15"/>
    </row>
    <row r="1126" spans="2:4" x14ac:dyDescent="0.25">
      <c r="B1126" s="68"/>
      <c r="C1126" s="50"/>
      <c r="D1126" s="15"/>
    </row>
    <row r="1127" spans="2:4" x14ac:dyDescent="0.25">
      <c r="B1127" s="68"/>
      <c r="C1127" s="50"/>
      <c r="D1127" s="15"/>
    </row>
    <row r="1128" spans="2:4" x14ac:dyDescent="0.25">
      <c r="B1128" s="68"/>
      <c r="C1128" s="50"/>
      <c r="D1128" s="15"/>
    </row>
    <row r="1129" spans="2:4" x14ac:dyDescent="0.25">
      <c r="B1129" s="68"/>
      <c r="C1129" s="50"/>
      <c r="D1129" s="15"/>
    </row>
    <row r="1130" spans="2:4" x14ac:dyDescent="0.25">
      <c r="B1130" s="68"/>
      <c r="C1130" s="50"/>
      <c r="D1130" s="15"/>
    </row>
    <row r="1131" spans="2:4" x14ac:dyDescent="0.25">
      <c r="B1131" s="68"/>
      <c r="C1131" s="50"/>
      <c r="D1131" s="15"/>
    </row>
    <row r="1132" spans="2:4" x14ac:dyDescent="0.25">
      <c r="B1132" s="68"/>
      <c r="C1132" s="50"/>
      <c r="D1132" s="15"/>
    </row>
    <row r="1133" spans="2:4" x14ac:dyDescent="0.25">
      <c r="B1133" s="68"/>
      <c r="C1133" s="50"/>
      <c r="D1133" s="15"/>
    </row>
    <row r="1134" spans="2:4" x14ac:dyDescent="0.25">
      <c r="B1134" s="68"/>
      <c r="C1134" s="50"/>
      <c r="D1134" s="15"/>
    </row>
    <row r="1135" spans="2:4" x14ac:dyDescent="0.25">
      <c r="B1135" s="68"/>
      <c r="C1135" s="50"/>
      <c r="D1135" s="15"/>
    </row>
    <row r="1136" spans="2:4" x14ac:dyDescent="0.25">
      <c r="B1136" s="68"/>
      <c r="C1136" s="50"/>
      <c r="D1136" s="15"/>
    </row>
    <row r="1137" spans="2:4" x14ac:dyDescent="0.25">
      <c r="B1137" s="68"/>
      <c r="C1137" s="50"/>
      <c r="D1137" s="15"/>
    </row>
    <row r="1138" spans="2:4" x14ac:dyDescent="0.25">
      <c r="B1138" s="68"/>
      <c r="C1138" s="50"/>
      <c r="D1138" s="15"/>
    </row>
    <row r="1139" spans="2:4" x14ac:dyDescent="0.25">
      <c r="B1139" s="68"/>
      <c r="C1139" s="50"/>
      <c r="D1139" s="15"/>
    </row>
    <row r="1140" spans="2:4" x14ac:dyDescent="0.25">
      <c r="B1140" s="68"/>
      <c r="C1140" s="50"/>
      <c r="D1140" s="15"/>
    </row>
    <row r="1141" spans="2:4" x14ac:dyDescent="0.25">
      <c r="B1141" s="68"/>
      <c r="C1141" s="50"/>
      <c r="D1141" s="15"/>
    </row>
    <row r="1142" spans="2:4" x14ac:dyDescent="0.25">
      <c r="B1142" s="68"/>
      <c r="C1142" s="50"/>
      <c r="D1142" s="15"/>
    </row>
    <row r="1143" spans="2:4" x14ac:dyDescent="0.25">
      <c r="B1143" s="68"/>
      <c r="C1143" s="50"/>
      <c r="D1143" s="15"/>
    </row>
    <row r="1144" spans="2:4" x14ac:dyDescent="0.25">
      <c r="B1144" s="68"/>
      <c r="C1144" s="50"/>
      <c r="D1144" s="15"/>
    </row>
    <row r="1145" spans="2:4" x14ac:dyDescent="0.25">
      <c r="B1145" s="68"/>
      <c r="C1145" s="50"/>
      <c r="D1145" s="15"/>
    </row>
    <row r="1146" spans="2:4" x14ac:dyDescent="0.25">
      <c r="B1146" s="68"/>
      <c r="C1146" s="50"/>
      <c r="D1146" s="15"/>
    </row>
    <row r="1147" spans="2:4" x14ac:dyDescent="0.25">
      <c r="B1147" s="68"/>
      <c r="C1147" s="50"/>
      <c r="D1147" s="15"/>
    </row>
    <row r="1148" spans="2:4" x14ac:dyDescent="0.25">
      <c r="B1148" s="68"/>
      <c r="C1148" s="50"/>
      <c r="D1148" s="15"/>
    </row>
    <row r="1149" spans="2:4" x14ac:dyDescent="0.25">
      <c r="B1149" s="68"/>
      <c r="C1149" s="50"/>
      <c r="D1149" s="15"/>
    </row>
    <row r="1150" spans="2:4" x14ac:dyDescent="0.25">
      <c r="B1150" s="68"/>
      <c r="C1150" s="50"/>
      <c r="D1150" s="15"/>
    </row>
    <row r="1151" spans="2:4" x14ac:dyDescent="0.25">
      <c r="B1151" s="68"/>
      <c r="C1151" s="50"/>
      <c r="D1151" s="15"/>
    </row>
    <row r="1152" spans="2:4" x14ac:dyDescent="0.25">
      <c r="B1152" s="68"/>
      <c r="C1152" s="50"/>
      <c r="D1152" s="15"/>
    </row>
    <row r="1153" spans="2:4" x14ac:dyDescent="0.25">
      <c r="B1153" s="68"/>
      <c r="C1153" s="50"/>
      <c r="D1153" s="15"/>
    </row>
    <row r="1154" spans="2:4" x14ac:dyDescent="0.25">
      <c r="B1154" s="68"/>
      <c r="C1154" s="50"/>
      <c r="D1154" s="15"/>
    </row>
    <row r="1155" spans="2:4" x14ac:dyDescent="0.25">
      <c r="B1155" s="68"/>
      <c r="C1155" s="50"/>
      <c r="D1155" s="15"/>
    </row>
    <row r="1156" spans="2:4" x14ac:dyDescent="0.25">
      <c r="B1156" s="68"/>
      <c r="C1156" s="50"/>
      <c r="D1156" s="15"/>
    </row>
    <row r="1157" spans="2:4" x14ac:dyDescent="0.25">
      <c r="B1157" s="68"/>
      <c r="C1157" s="50"/>
      <c r="D1157" s="15"/>
    </row>
    <row r="1158" spans="2:4" x14ac:dyDescent="0.25">
      <c r="B1158" s="68"/>
      <c r="C1158" s="50"/>
      <c r="D1158" s="15"/>
    </row>
    <row r="1159" spans="2:4" x14ac:dyDescent="0.25">
      <c r="B1159" s="68"/>
      <c r="C1159" s="50"/>
      <c r="D1159" s="15"/>
    </row>
    <row r="1160" spans="2:4" x14ac:dyDescent="0.25">
      <c r="B1160" s="68"/>
      <c r="C1160" s="50"/>
      <c r="D1160" s="15"/>
    </row>
    <row r="1161" spans="2:4" x14ac:dyDescent="0.25">
      <c r="B1161" s="68"/>
      <c r="C1161" s="50"/>
      <c r="D1161" s="15"/>
    </row>
    <row r="1162" spans="2:4" x14ac:dyDescent="0.25">
      <c r="B1162" s="68"/>
      <c r="C1162" s="50"/>
      <c r="D1162" s="15"/>
    </row>
    <row r="1163" spans="2:4" x14ac:dyDescent="0.25">
      <c r="B1163" s="68"/>
      <c r="C1163" s="50"/>
      <c r="D1163" s="15"/>
    </row>
    <row r="1164" spans="2:4" x14ac:dyDescent="0.25">
      <c r="B1164" s="68"/>
      <c r="C1164" s="50"/>
      <c r="D1164" s="15"/>
    </row>
    <row r="1165" spans="2:4" x14ac:dyDescent="0.25">
      <c r="B1165" s="68"/>
      <c r="C1165" s="50"/>
      <c r="D1165" s="15"/>
    </row>
    <row r="1166" spans="2:4" x14ac:dyDescent="0.25">
      <c r="B1166" s="68"/>
      <c r="C1166" s="50"/>
      <c r="D1166" s="15"/>
    </row>
    <row r="1167" spans="2:4" x14ac:dyDescent="0.25">
      <c r="B1167" s="68"/>
      <c r="C1167" s="50"/>
      <c r="D1167" s="15"/>
    </row>
    <row r="1168" spans="2:4" x14ac:dyDescent="0.25">
      <c r="B1168" s="68"/>
      <c r="C1168" s="50"/>
      <c r="D1168" s="15"/>
    </row>
    <row r="1169" spans="2:4" x14ac:dyDescent="0.25">
      <c r="B1169" s="68"/>
      <c r="C1169" s="50"/>
      <c r="D1169" s="15"/>
    </row>
    <row r="1170" spans="2:4" x14ac:dyDescent="0.25">
      <c r="B1170" s="68"/>
      <c r="C1170" s="50"/>
      <c r="D1170" s="15"/>
    </row>
    <row r="1171" spans="2:4" x14ac:dyDescent="0.25">
      <c r="B1171" s="68"/>
      <c r="C1171" s="50"/>
      <c r="D1171" s="15"/>
    </row>
    <row r="1172" spans="2:4" x14ac:dyDescent="0.25">
      <c r="B1172" s="68"/>
      <c r="C1172" s="50"/>
      <c r="D1172" s="15"/>
    </row>
    <row r="1173" spans="2:4" x14ac:dyDescent="0.25">
      <c r="B1173" s="68"/>
      <c r="C1173" s="50"/>
      <c r="D1173" s="15"/>
    </row>
    <row r="1174" spans="2:4" x14ac:dyDescent="0.25">
      <c r="B1174" s="68"/>
      <c r="C1174" s="50"/>
      <c r="D1174" s="15"/>
    </row>
    <row r="1175" spans="2:4" x14ac:dyDescent="0.25">
      <c r="B1175" s="68"/>
      <c r="C1175" s="50"/>
      <c r="D1175" s="15"/>
    </row>
    <row r="1176" spans="2:4" x14ac:dyDescent="0.25">
      <c r="B1176" s="68"/>
      <c r="C1176" s="50"/>
      <c r="D1176" s="15"/>
    </row>
    <row r="1177" spans="2:4" x14ac:dyDescent="0.25">
      <c r="B1177" s="68"/>
      <c r="C1177" s="50"/>
      <c r="D1177" s="15"/>
    </row>
    <row r="1178" spans="2:4" x14ac:dyDescent="0.25">
      <c r="B1178" s="68"/>
      <c r="C1178" s="50"/>
      <c r="D1178" s="15"/>
    </row>
    <row r="1179" spans="2:4" x14ac:dyDescent="0.25">
      <c r="B1179" s="68"/>
      <c r="C1179" s="50"/>
      <c r="D1179" s="15"/>
    </row>
    <row r="1180" spans="2:4" x14ac:dyDescent="0.25">
      <c r="B1180" s="68"/>
      <c r="C1180" s="50"/>
      <c r="D1180" s="15"/>
    </row>
    <row r="1181" spans="2:4" x14ac:dyDescent="0.25">
      <c r="B1181" s="68"/>
      <c r="C1181" s="50"/>
      <c r="D1181" s="15"/>
    </row>
    <row r="1182" spans="2:4" x14ac:dyDescent="0.25">
      <c r="B1182" s="68"/>
      <c r="C1182" s="50"/>
      <c r="D1182" s="15"/>
    </row>
    <row r="1183" spans="2:4" x14ac:dyDescent="0.25">
      <c r="B1183" s="68"/>
      <c r="C1183" s="50"/>
      <c r="D1183" s="15"/>
    </row>
    <row r="1184" spans="2:4" x14ac:dyDescent="0.25">
      <c r="B1184" s="68"/>
      <c r="C1184" s="50"/>
      <c r="D1184" s="15"/>
    </row>
    <row r="1185" spans="2:4" x14ac:dyDescent="0.25">
      <c r="B1185" s="68"/>
      <c r="C1185" s="50"/>
      <c r="D1185" s="15"/>
    </row>
    <row r="1186" spans="2:4" x14ac:dyDescent="0.25">
      <c r="B1186" s="68"/>
      <c r="C1186" s="50"/>
      <c r="D1186" s="15"/>
    </row>
    <row r="1187" spans="2:4" x14ac:dyDescent="0.25">
      <c r="B1187" s="68"/>
      <c r="C1187" s="50"/>
      <c r="D1187" s="15"/>
    </row>
    <row r="1188" spans="2:4" x14ac:dyDescent="0.25">
      <c r="B1188" s="68"/>
      <c r="C1188" s="50"/>
      <c r="D1188" s="15"/>
    </row>
    <row r="1189" spans="2:4" x14ac:dyDescent="0.25">
      <c r="B1189" s="68"/>
      <c r="C1189" s="50"/>
      <c r="D1189" s="15"/>
    </row>
    <row r="1190" spans="2:4" x14ac:dyDescent="0.25">
      <c r="B1190" s="68"/>
      <c r="C1190" s="50"/>
      <c r="D1190" s="15"/>
    </row>
    <row r="1191" spans="2:4" x14ac:dyDescent="0.25">
      <c r="B1191" s="68"/>
      <c r="C1191" s="50"/>
      <c r="D1191" s="15"/>
    </row>
    <row r="1192" spans="2:4" x14ac:dyDescent="0.25">
      <c r="B1192" s="68"/>
      <c r="C1192" s="50"/>
      <c r="D1192" s="15"/>
    </row>
    <row r="1193" spans="2:4" x14ac:dyDescent="0.25">
      <c r="B1193" s="68"/>
      <c r="C1193" s="50"/>
      <c r="D1193" s="15"/>
    </row>
    <row r="1194" spans="2:4" x14ac:dyDescent="0.25">
      <c r="B1194" s="68"/>
      <c r="C1194" s="50"/>
      <c r="D1194" s="15"/>
    </row>
    <row r="1195" spans="2:4" x14ac:dyDescent="0.25">
      <c r="B1195" s="68"/>
      <c r="C1195" s="50"/>
      <c r="D1195" s="15"/>
    </row>
    <row r="1196" spans="2:4" x14ac:dyDescent="0.25">
      <c r="B1196" s="68"/>
      <c r="C1196" s="50"/>
      <c r="D1196" s="15"/>
    </row>
    <row r="1197" spans="2:4" x14ac:dyDescent="0.25">
      <c r="B1197" s="68"/>
      <c r="C1197" s="50"/>
      <c r="D1197" s="15"/>
    </row>
    <row r="1198" spans="2:4" x14ac:dyDescent="0.25">
      <c r="B1198" s="68"/>
      <c r="C1198" s="50"/>
      <c r="D1198" s="15"/>
    </row>
    <row r="1199" spans="2:4" x14ac:dyDescent="0.25">
      <c r="B1199" s="68"/>
      <c r="C1199" s="50"/>
      <c r="D1199" s="15"/>
    </row>
    <row r="1200" spans="2:4" x14ac:dyDescent="0.25">
      <c r="B1200" s="68"/>
      <c r="C1200" s="50"/>
      <c r="D1200" s="15"/>
    </row>
    <row r="1201" spans="2:4" x14ac:dyDescent="0.25">
      <c r="B1201" s="68"/>
      <c r="C1201" s="50"/>
      <c r="D1201" s="15"/>
    </row>
    <row r="1202" spans="2:4" x14ac:dyDescent="0.25">
      <c r="B1202" s="68"/>
      <c r="C1202" s="50"/>
      <c r="D1202" s="15"/>
    </row>
    <row r="1203" spans="2:4" x14ac:dyDescent="0.25">
      <c r="B1203" s="68"/>
      <c r="C1203" s="50"/>
      <c r="D1203" s="15"/>
    </row>
    <row r="1204" spans="2:4" x14ac:dyDescent="0.25">
      <c r="B1204" s="68"/>
      <c r="C1204" s="50"/>
      <c r="D1204" s="15"/>
    </row>
    <row r="1205" spans="2:4" x14ac:dyDescent="0.25">
      <c r="B1205" s="68"/>
      <c r="C1205" s="50"/>
      <c r="D1205" s="15"/>
    </row>
    <row r="1206" spans="2:4" x14ac:dyDescent="0.25">
      <c r="B1206" s="68"/>
      <c r="C1206" s="50"/>
      <c r="D1206" s="15"/>
    </row>
    <row r="1207" spans="2:4" x14ac:dyDescent="0.25">
      <c r="B1207" s="68"/>
      <c r="C1207" s="50"/>
      <c r="D1207" s="15"/>
    </row>
    <row r="1208" spans="2:4" x14ac:dyDescent="0.25">
      <c r="B1208" s="68"/>
      <c r="C1208" s="50"/>
      <c r="D1208" s="15"/>
    </row>
    <row r="1209" spans="2:4" x14ac:dyDescent="0.25">
      <c r="B1209" s="68"/>
      <c r="C1209" s="50"/>
      <c r="D1209" s="15"/>
    </row>
    <row r="1210" spans="2:4" x14ac:dyDescent="0.25">
      <c r="B1210" s="68"/>
      <c r="C1210" s="50"/>
      <c r="D1210" s="15"/>
    </row>
    <row r="1211" spans="2:4" x14ac:dyDescent="0.25">
      <c r="B1211" s="68"/>
      <c r="C1211" s="50"/>
      <c r="D1211" s="15"/>
    </row>
    <row r="1212" spans="2:4" x14ac:dyDescent="0.25">
      <c r="B1212" s="68"/>
      <c r="C1212" s="50"/>
      <c r="D1212" s="15"/>
    </row>
    <row r="1213" spans="2:4" x14ac:dyDescent="0.25">
      <c r="B1213" s="68"/>
      <c r="C1213" s="50"/>
      <c r="D1213" s="15"/>
    </row>
    <row r="1214" spans="2:4" x14ac:dyDescent="0.25">
      <c r="B1214" s="68"/>
      <c r="C1214" s="50"/>
      <c r="D1214" s="15"/>
    </row>
    <row r="1215" spans="2:4" x14ac:dyDescent="0.25">
      <c r="B1215" s="68"/>
      <c r="C1215" s="50"/>
      <c r="D1215" s="15"/>
    </row>
    <row r="1216" spans="2:4" x14ac:dyDescent="0.25">
      <c r="B1216" s="68"/>
      <c r="C1216" s="50"/>
      <c r="D1216" s="15"/>
    </row>
    <row r="1217" spans="2:4" x14ac:dyDescent="0.25">
      <c r="B1217" s="68"/>
      <c r="C1217" s="50"/>
      <c r="D1217" s="15"/>
    </row>
    <row r="1218" spans="2:4" x14ac:dyDescent="0.25">
      <c r="B1218" s="68"/>
      <c r="C1218" s="50"/>
      <c r="D1218" s="15"/>
    </row>
    <row r="1219" spans="2:4" x14ac:dyDescent="0.25">
      <c r="B1219" s="68"/>
      <c r="C1219" s="50"/>
      <c r="D1219" s="15"/>
    </row>
    <row r="1220" spans="2:4" x14ac:dyDescent="0.25">
      <c r="B1220" s="68"/>
      <c r="C1220" s="50"/>
      <c r="D1220" s="15"/>
    </row>
    <row r="1221" spans="2:4" x14ac:dyDescent="0.25">
      <c r="B1221" s="68"/>
      <c r="C1221" s="50"/>
      <c r="D1221" s="15"/>
    </row>
    <row r="1222" spans="2:4" x14ac:dyDescent="0.25">
      <c r="B1222" s="68"/>
      <c r="C1222" s="50"/>
      <c r="D1222" s="15"/>
    </row>
    <row r="1223" spans="2:4" x14ac:dyDescent="0.25">
      <c r="B1223" s="68"/>
      <c r="C1223" s="50"/>
      <c r="D1223" s="15"/>
    </row>
    <row r="1224" spans="2:4" x14ac:dyDescent="0.25">
      <c r="B1224" s="68"/>
      <c r="C1224" s="50"/>
      <c r="D1224" s="15"/>
    </row>
    <row r="1225" spans="2:4" x14ac:dyDescent="0.25">
      <c r="B1225" s="68"/>
      <c r="C1225" s="50"/>
      <c r="D1225" s="15"/>
    </row>
    <row r="1226" spans="2:4" x14ac:dyDescent="0.25">
      <c r="B1226" s="68"/>
      <c r="C1226" s="50"/>
      <c r="D1226" s="15"/>
    </row>
    <row r="1227" spans="2:4" x14ac:dyDescent="0.25">
      <c r="B1227" s="68"/>
      <c r="C1227" s="50"/>
      <c r="D1227" s="15"/>
    </row>
    <row r="1228" spans="2:4" x14ac:dyDescent="0.25">
      <c r="B1228" s="68"/>
      <c r="C1228" s="50"/>
      <c r="D1228" s="15"/>
    </row>
    <row r="1229" spans="2:4" x14ac:dyDescent="0.25">
      <c r="B1229" s="68"/>
      <c r="C1229" s="50"/>
      <c r="D1229" s="15"/>
    </row>
    <row r="1230" spans="2:4" x14ac:dyDescent="0.25">
      <c r="B1230" s="68"/>
      <c r="C1230" s="50"/>
      <c r="D1230" s="15"/>
    </row>
    <row r="1231" spans="2:4" x14ac:dyDescent="0.25">
      <c r="B1231" s="68"/>
      <c r="C1231" s="50"/>
      <c r="D1231" s="15"/>
    </row>
    <row r="1232" spans="2:4" x14ac:dyDescent="0.25">
      <c r="B1232" s="68"/>
      <c r="C1232" s="50"/>
      <c r="D1232" s="15"/>
    </row>
    <row r="1233" spans="2:4" x14ac:dyDescent="0.25">
      <c r="B1233" s="68"/>
      <c r="C1233" s="50"/>
      <c r="D1233" s="15"/>
    </row>
    <row r="1234" spans="2:4" x14ac:dyDescent="0.25">
      <c r="B1234" s="68"/>
      <c r="C1234" s="50"/>
      <c r="D1234" s="15"/>
    </row>
    <row r="1235" spans="2:4" x14ac:dyDescent="0.25">
      <c r="B1235" s="68"/>
      <c r="C1235" s="50"/>
      <c r="D1235" s="15"/>
    </row>
    <row r="1236" spans="2:4" x14ac:dyDescent="0.25">
      <c r="B1236" s="68"/>
      <c r="C1236" s="50"/>
      <c r="D1236" s="15"/>
    </row>
    <row r="1237" spans="2:4" x14ac:dyDescent="0.25">
      <c r="B1237" s="68"/>
      <c r="C1237" s="50"/>
      <c r="D1237" s="15"/>
    </row>
    <row r="1238" spans="2:4" x14ac:dyDescent="0.25">
      <c r="B1238" s="68"/>
      <c r="C1238" s="50"/>
      <c r="D1238" s="15"/>
    </row>
    <row r="1239" spans="2:4" x14ac:dyDescent="0.25">
      <c r="B1239" s="68"/>
      <c r="C1239" s="50"/>
      <c r="D1239" s="15"/>
    </row>
    <row r="1240" spans="2:4" x14ac:dyDescent="0.25">
      <c r="B1240" s="68"/>
      <c r="C1240" s="50"/>
      <c r="D1240" s="15"/>
    </row>
    <row r="1241" spans="2:4" x14ac:dyDescent="0.25">
      <c r="B1241" s="68"/>
      <c r="C1241" s="50"/>
      <c r="D1241" s="15"/>
    </row>
    <row r="1242" spans="2:4" x14ac:dyDescent="0.25">
      <c r="B1242" s="68"/>
      <c r="C1242" s="50"/>
      <c r="D1242" s="15"/>
    </row>
    <row r="1243" spans="2:4" x14ac:dyDescent="0.25">
      <c r="B1243" s="68"/>
      <c r="C1243" s="50"/>
      <c r="D1243" s="15"/>
    </row>
    <row r="1244" spans="2:4" x14ac:dyDescent="0.25">
      <c r="B1244" s="68"/>
      <c r="C1244" s="50"/>
      <c r="D1244" s="15"/>
    </row>
    <row r="1245" spans="2:4" x14ac:dyDescent="0.25">
      <c r="B1245" s="68"/>
      <c r="C1245" s="50"/>
      <c r="D1245" s="15"/>
    </row>
    <row r="1246" spans="2:4" x14ac:dyDescent="0.25">
      <c r="B1246" s="68"/>
      <c r="C1246" s="50"/>
      <c r="D1246" s="15"/>
    </row>
    <row r="1247" spans="2:4" x14ac:dyDescent="0.25">
      <c r="B1247" s="68"/>
      <c r="C1247" s="50"/>
      <c r="D1247" s="15"/>
    </row>
    <row r="1248" spans="2:4" x14ac:dyDescent="0.25">
      <c r="B1248" s="68"/>
      <c r="C1248" s="50"/>
      <c r="D1248" s="15"/>
    </row>
    <row r="1249" spans="2:4" x14ac:dyDescent="0.25">
      <c r="B1249" s="68"/>
      <c r="C1249" s="50"/>
      <c r="D1249" s="15"/>
    </row>
    <row r="1250" spans="2:4" x14ac:dyDescent="0.25">
      <c r="B1250" s="68"/>
      <c r="C1250" s="50"/>
      <c r="D1250" s="15"/>
    </row>
    <row r="1251" spans="2:4" x14ac:dyDescent="0.25">
      <c r="B1251" s="68"/>
      <c r="C1251" s="50"/>
      <c r="D1251" s="15"/>
    </row>
    <row r="1252" spans="2:4" x14ac:dyDescent="0.25">
      <c r="B1252" s="68"/>
      <c r="C1252" s="50"/>
      <c r="D1252" s="15"/>
    </row>
    <row r="1253" spans="2:4" x14ac:dyDescent="0.25">
      <c r="B1253" s="68"/>
      <c r="C1253" s="50"/>
      <c r="D1253" s="15"/>
    </row>
    <row r="1254" spans="2:4" x14ac:dyDescent="0.25">
      <c r="B1254" s="68"/>
      <c r="C1254" s="50"/>
      <c r="D1254" s="15"/>
    </row>
    <row r="1255" spans="2:4" x14ac:dyDescent="0.25">
      <c r="B1255" s="68"/>
      <c r="C1255" s="50"/>
      <c r="D1255" s="15"/>
    </row>
    <row r="1256" spans="2:4" x14ac:dyDescent="0.25">
      <c r="B1256" s="68"/>
      <c r="C1256" s="50"/>
      <c r="D1256" s="15"/>
    </row>
    <row r="1257" spans="2:4" x14ac:dyDescent="0.25">
      <c r="B1257" s="68"/>
      <c r="C1257" s="50"/>
      <c r="D1257" s="15"/>
    </row>
    <row r="1258" spans="2:4" x14ac:dyDescent="0.25">
      <c r="B1258" s="68"/>
      <c r="C1258" s="50"/>
      <c r="D1258" s="15"/>
    </row>
    <row r="1259" spans="2:4" x14ac:dyDescent="0.25">
      <c r="B1259" s="68"/>
      <c r="C1259" s="50"/>
      <c r="D1259" s="15"/>
    </row>
    <row r="1260" spans="2:4" x14ac:dyDescent="0.25">
      <c r="B1260" s="68"/>
      <c r="C1260" s="50"/>
      <c r="D1260" s="15"/>
    </row>
    <row r="1261" spans="2:4" x14ac:dyDescent="0.25">
      <c r="B1261" s="68"/>
      <c r="C1261" s="50"/>
      <c r="D1261" s="15"/>
    </row>
    <row r="1262" spans="2:4" x14ac:dyDescent="0.25">
      <c r="B1262" s="68"/>
      <c r="C1262" s="50"/>
      <c r="D1262" s="15"/>
    </row>
    <row r="1263" spans="2:4" x14ac:dyDescent="0.25">
      <c r="B1263" s="68"/>
      <c r="C1263" s="50"/>
      <c r="D1263" s="15"/>
    </row>
    <row r="1264" spans="2:4" x14ac:dyDescent="0.25">
      <c r="B1264" s="68"/>
      <c r="C1264" s="50"/>
      <c r="D1264" s="15"/>
    </row>
    <row r="1265" spans="2:4" x14ac:dyDescent="0.25">
      <c r="B1265" s="68"/>
      <c r="C1265" s="50"/>
      <c r="D1265" s="15"/>
    </row>
    <row r="1266" spans="2:4" x14ac:dyDescent="0.25">
      <c r="B1266" s="68"/>
      <c r="C1266" s="50"/>
      <c r="D1266" s="15"/>
    </row>
    <row r="1267" spans="2:4" x14ac:dyDescent="0.25">
      <c r="B1267" s="68"/>
      <c r="C1267" s="50"/>
      <c r="D1267" s="15"/>
    </row>
    <row r="1268" spans="2:4" x14ac:dyDescent="0.25">
      <c r="B1268" s="68"/>
      <c r="C1268" s="50"/>
      <c r="D1268" s="15"/>
    </row>
    <row r="1269" spans="2:4" x14ac:dyDescent="0.25">
      <c r="B1269" s="68"/>
      <c r="C1269" s="50"/>
      <c r="D1269" s="15"/>
    </row>
    <row r="1270" spans="2:4" x14ac:dyDescent="0.25">
      <c r="B1270" s="68"/>
      <c r="C1270" s="50"/>
      <c r="D1270" s="15"/>
    </row>
    <row r="1271" spans="2:4" x14ac:dyDescent="0.25">
      <c r="B1271" s="68"/>
      <c r="C1271" s="50"/>
      <c r="D1271" s="15"/>
    </row>
    <row r="1272" spans="2:4" x14ac:dyDescent="0.25">
      <c r="B1272" s="68"/>
      <c r="C1272" s="50"/>
      <c r="D1272" s="15"/>
    </row>
    <row r="1273" spans="2:4" x14ac:dyDescent="0.25">
      <c r="B1273" s="68"/>
      <c r="C1273" s="50"/>
      <c r="D1273" s="15"/>
    </row>
    <row r="1274" spans="2:4" x14ac:dyDescent="0.25">
      <c r="B1274" s="68"/>
      <c r="C1274" s="50"/>
      <c r="D1274" s="15"/>
    </row>
    <row r="1275" spans="2:4" x14ac:dyDescent="0.25">
      <c r="B1275" s="68"/>
      <c r="C1275" s="50"/>
      <c r="D1275" s="15"/>
    </row>
    <row r="1276" spans="2:4" x14ac:dyDescent="0.25">
      <c r="B1276" s="68"/>
      <c r="C1276" s="50"/>
      <c r="D1276" s="15"/>
    </row>
    <row r="1277" spans="2:4" x14ac:dyDescent="0.25">
      <c r="B1277" s="68"/>
      <c r="C1277" s="50"/>
      <c r="D1277" s="15"/>
    </row>
    <row r="1278" spans="2:4" x14ac:dyDescent="0.25">
      <c r="B1278" s="68"/>
      <c r="C1278" s="50"/>
      <c r="D1278" s="15"/>
    </row>
    <row r="1279" spans="2:4" x14ac:dyDescent="0.25">
      <c r="B1279" s="68"/>
      <c r="C1279" s="50"/>
      <c r="D1279" s="15"/>
    </row>
    <row r="1280" spans="2:4" x14ac:dyDescent="0.25">
      <c r="B1280" s="68"/>
      <c r="C1280" s="50"/>
      <c r="D1280" s="15"/>
    </row>
    <row r="1281" spans="2:4" x14ac:dyDescent="0.25">
      <c r="B1281" s="68"/>
      <c r="C1281" s="50"/>
      <c r="D1281" s="15"/>
    </row>
    <row r="1282" spans="2:4" x14ac:dyDescent="0.25">
      <c r="B1282" s="68"/>
      <c r="C1282" s="50"/>
      <c r="D1282" s="15"/>
    </row>
    <row r="1283" spans="2:4" x14ac:dyDescent="0.25">
      <c r="B1283" s="68"/>
      <c r="C1283" s="50"/>
      <c r="D1283" s="15"/>
    </row>
    <row r="1284" spans="2:4" x14ac:dyDescent="0.25">
      <c r="B1284" s="68"/>
      <c r="C1284" s="50"/>
      <c r="D1284" s="15"/>
    </row>
    <row r="1285" spans="2:4" x14ac:dyDescent="0.25">
      <c r="B1285" s="68"/>
      <c r="C1285" s="50"/>
      <c r="D1285" s="15"/>
    </row>
    <row r="1286" spans="2:4" x14ac:dyDescent="0.25">
      <c r="B1286" s="68"/>
      <c r="C1286" s="50"/>
      <c r="D1286" s="15"/>
    </row>
    <row r="1287" spans="2:4" x14ac:dyDescent="0.25">
      <c r="B1287" s="68"/>
      <c r="C1287" s="50"/>
      <c r="D1287" s="15"/>
    </row>
    <row r="1288" spans="2:4" x14ac:dyDescent="0.25">
      <c r="B1288" s="68"/>
      <c r="C1288" s="50"/>
      <c r="D1288" s="15"/>
    </row>
    <row r="1289" spans="2:4" x14ac:dyDescent="0.25">
      <c r="B1289" s="68"/>
      <c r="C1289" s="50"/>
      <c r="D1289" s="15"/>
    </row>
    <row r="1290" spans="2:4" x14ac:dyDescent="0.25">
      <c r="B1290" s="68"/>
      <c r="C1290" s="50"/>
      <c r="D1290" s="15"/>
    </row>
    <row r="1291" spans="2:4" x14ac:dyDescent="0.25">
      <c r="B1291" s="68"/>
      <c r="C1291" s="50"/>
      <c r="D1291" s="15"/>
    </row>
    <row r="1292" spans="2:4" x14ac:dyDescent="0.25">
      <c r="B1292" s="68"/>
      <c r="C1292" s="50"/>
      <c r="D1292" s="15"/>
    </row>
    <row r="1293" spans="2:4" x14ac:dyDescent="0.25">
      <c r="B1293" s="68"/>
      <c r="C1293" s="50"/>
      <c r="D1293" s="15"/>
    </row>
    <row r="1294" spans="2:4" x14ac:dyDescent="0.25">
      <c r="B1294" s="68"/>
      <c r="C1294" s="50"/>
      <c r="D1294" s="15"/>
    </row>
    <row r="1295" spans="2:4" x14ac:dyDescent="0.25">
      <c r="B1295" s="68"/>
      <c r="C1295" s="50"/>
      <c r="D1295" s="15"/>
    </row>
    <row r="1296" spans="2:4" x14ac:dyDescent="0.25">
      <c r="B1296" s="68"/>
      <c r="C1296" s="50"/>
      <c r="D1296" s="15"/>
    </row>
    <row r="1297" spans="2:4" x14ac:dyDescent="0.25">
      <c r="B1297" s="68"/>
      <c r="C1297" s="50"/>
      <c r="D1297" s="15"/>
    </row>
    <row r="1298" spans="2:4" x14ac:dyDescent="0.25">
      <c r="B1298" s="68"/>
      <c r="C1298" s="50"/>
      <c r="D1298" s="15"/>
    </row>
    <row r="1299" spans="2:4" x14ac:dyDescent="0.25">
      <c r="B1299" s="68"/>
      <c r="C1299" s="50"/>
      <c r="D1299" s="15"/>
    </row>
    <row r="1300" spans="2:4" x14ac:dyDescent="0.25">
      <c r="B1300" s="68"/>
      <c r="C1300" s="50"/>
      <c r="D1300" s="15"/>
    </row>
    <row r="1301" spans="2:4" x14ac:dyDescent="0.25">
      <c r="B1301" s="68"/>
      <c r="C1301" s="50"/>
      <c r="D1301" s="15"/>
    </row>
    <row r="1302" spans="2:4" x14ac:dyDescent="0.25">
      <c r="B1302" s="68"/>
      <c r="C1302" s="50"/>
      <c r="D1302" s="15"/>
    </row>
    <row r="1303" spans="2:4" x14ac:dyDescent="0.25">
      <c r="B1303" s="68"/>
      <c r="C1303" s="50"/>
      <c r="D1303" s="15"/>
    </row>
    <row r="1304" spans="2:4" x14ac:dyDescent="0.25">
      <c r="B1304" s="68"/>
      <c r="C1304" s="50"/>
      <c r="D1304" s="15"/>
    </row>
    <row r="1305" spans="2:4" x14ac:dyDescent="0.25">
      <c r="B1305" s="68"/>
      <c r="C1305" s="50"/>
      <c r="D1305" s="15"/>
    </row>
    <row r="1306" spans="2:4" x14ac:dyDescent="0.25">
      <c r="B1306" s="68"/>
      <c r="C1306" s="50"/>
      <c r="D1306" s="15"/>
    </row>
    <row r="1307" spans="2:4" x14ac:dyDescent="0.25">
      <c r="B1307" s="68"/>
      <c r="C1307" s="50"/>
      <c r="D1307" s="15"/>
    </row>
    <row r="1308" spans="2:4" x14ac:dyDescent="0.25">
      <c r="B1308" s="68"/>
      <c r="C1308" s="50"/>
      <c r="D1308" s="15"/>
    </row>
    <row r="1309" spans="2:4" x14ac:dyDescent="0.25">
      <c r="B1309" s="68"/>
      <c r="C1309" s="50"/>
      <c r="D1309" s="15"/>
    </row>
    <row r="1310" spans="2:4" x14ac:dyDescent="0.25">
      <c r="B1310" s="68"/>
      <c r="C1310" s="50"/>
      <c r="D1310" s="15"/>
    </row>
    <row r="1311" spans="2:4" x14ac:dyDescent="0.25">
      <c r="B1311" s="68"/>
      <c r="C1311" s="50"/>
      <c r="D1311" s="15"/>
    </row>
    <row r="1312" spans="2:4" x14ac:dyDescent="0.25">
      <c r="B1312" s="68"/>
      <c r="C1312" s="50"/>
      <c r="D1312" s="15"/>
    </row>
    <row r="1313" spans="2:4" x14ac:dyDescent="0.25">
      <c r="B1313" s="68"/>
      <c r="C1313" s="50"/>
      <c r="D1313" s="15"/>
    </row>
    <row r="1314" spans="2:4" x14ac:dyDescent="0.25">
      <c r="B1314" s="68"/>
      <c r="C1314" s="50"/>
      <c r="D1314" s="15"/>
    </row>
    <row r="1315" spans="2:4" x14ac:dyDescent="0.25">
      <c r="B1315" s="68"/>
      <c r="C1315" s="50"/>
      <c r="D1315" s="15"/>
    </row>
    <row r="1316" spans="2:4" x14ac:dyDescent="0.25">
      <c r="B1316" s="68"/>
      <c r="C1316" s="50"/>
      <c r="D1316" s="15"/>
    </row>
    <row r="1317" spans="2:4" x14ac:dyDescent="0.25">
      <c r="B1317" s="68"/>
      <c r="C1317" s="50"/>
      <c r="D1317" s="15"/>
    </row>
    <row r="1318" spans="2:4" x14ac:dyDescent="0.25">
      <c r="B1318" s="68"/>
      <c r="C1318" s="50"/>
      <c r="D1318" s="15"/>
    </row>
    <row r="1319" spans="2:4" x14ac:dyDescent="0.25">
      <c r="B1319" s="68"/>
      <c r="C1319" s="50"/>
      <c r="D1319" s="15"/>
    </row>
    <row r="1320" spans="2:4" x14ac:dyDescent="0.25">
      <c r="B1320" s="68"/>
      <c r="C1320" s="50"/>
      <c r="D1320" s="15"/>
    </row>
    <row r="1321" spans="2:4" x14ac:dyDescent="0.25">
      <c r="B1321" s="68"/>
      <c r="C1321" s="50"/>
      <c r="D1321" s="15"/>
    </row>
    <row r="1322" spans="2:4" x14ac:dyDescent="0.25">
      <c r="B1322" s="68"/>
      <c r="C1322" s="50"/>
      <c r="D1322" s="15"/>
    </row>
    <row r="1323" spans="2:4" x14ac:dyDescent="0.25">
      <c r="B1323" s="68"/>
      <c r="C1323" s="50"/>
      <c r="D1323" s="15"/>
    </row>
    <row r="1324" spans="2:4" x14ac:dyDescent="0.25">
      <c r="B1324" s="68"/>
      <c r="C1324" s="50"/>
      <c r="D1324" s="15"/>
    </row>
    <row r="1325" spans="2:4" x14ac:dyDescent="0.25">
      <c r="B1325" s="68"/>
      <c r="C1325" s="50"/>
      <c r="D1325" s="15"/>
    </row>
    <row r="1326" spans="2:4" x14ac:dyDescent="0.25">
      <c r="B1326" s="68"/>
      <c r="C1326" s="50"/>
      <c r="D1326" s="15"/>
    </row>
    <row r="1327" spans="2:4" x14ac:dyDescent="0.25">
      <c r="B1327" s="68"/>
      <c r="C1327" s="50"/>
      <c r="D1327" s="15"/>
    </row>
    <row r="1328" spans="2:4" x14ac:dyDescent="0.25">
      <c r="B1328" s="68"/>
      <c r="C1328" s="50"/>
      <c r="D1328" s="15"/>
    </row>
    <row r="1329" spans="2:4" x14ac:dyDescent="0.25">
      <c r="B1329" s="68"/>
      <c r="C1329" s="50"/>
      <c r="D1329" s="15"/>
    </row>
    <row r="1330" spans="2:4" x14ac:dyDescent="0.25">
      <c r="B1330" s="68"/>
      <c r="C1330" s="50"/>
      <c r="D1330" s="15"/>
    </row>
    <row r="1331" spans="2:4" x14ac:dyDescent="0.25">
      <c r="B1331" s="68"/>
      <c r="C1331" s="50"/>
      <c r="D1331" s="15"/>
    </row>
    <row r="1332" spans="2:4" x14ac:dyDescent="0.25">
      <c r="B1332" s="68"/>
      <c r="C1332" s="50"/>
      <c r="D1332" s="15"/>
    </row>
    <row r="1333" spans="2:4" x14ac:dyDescent="0.25">
      <c r="B1333" s="68"/>
      <c r="C1333" s="50"/>
      <c r="D1333" s="15"/>
    </row>
    <row r="1334" spans="2:4" x14ac:dyDescent="0.25">
      <c r="B1334" s="68"/>
      <c r="C1334" s="50"/>
      <c r="D1334" s="15"/>
    </row>
    <row r="1335" spans="2:4" x14ac:dyDescent="0.25">
      <c r="B1335" s="68"/>
      <c r="C1335" s="50"/>
      <c r="D1335" s="15"/>
    </row>
    <row r="1336" spans="2:4" x14ac:dyDescent="0.25">
      <c r="B1336" s="68"/>
      <c r="C1336" s="50"/>
      <c r="D1336" s="15"/>
    </row>
    <row r="1337" spans="2:4" x14ac:dyDescent="0.25">
      <c r="B1337" s="68"/>
      <c r="C1337" s="50"/>
      <c r="D1337" s="15"/>
    </row>
    <row r="1338" spans="2:4" x14ac:dyDescent="0.25">
      <c r="B1338" s="68"/>
      <c r="C1338" s="50"/>
      <c r="D1338" s="15"/>
    </row>
    <row r="1339" spans="2:4" x14ac:dyDescent="0.25">
      <c r="B1339" s="68"/>
      <c r="C1339" s="50"/>
      <c r="D1339" s="15"/>
    </row>
    <row r="1340" spans="2:4" x14ac:dyDescent="0.25">
      <c r="B1340" s="68"/>
      <c r="C1340" s="50"/>
      <c r="D1340" s="15"/>
    </row>
    <row r="1341" spans="2:4" x14ac:dyDescent="0.25">
      <c r="B1341" s="68"/>
      <c r="C1341" s="50"/>
      <c r="D1341" s="15"/>
    </row>
    <row r="1342" spans="2:4" x14ac:dyDescent="0.25">
      <c r="B1342" s="68"/>
      <c r="C1342" s="50"/>
      <c r="D1342" s="15"/>
    </row>
    <row r="1343" spans="2:4" x14ac:dyDescent="0.25">
      <c r="B1343" s="68"/>
      <c r="C1343" s="50"/>
      <c r="D1343" s="15"/>
    </row>
    <row r="1344" spans="2:4" x14ac:dyDescent="0.25">
      <c r="B1344" s="68"/>
      <c r="C1344" s="50"/>
      <c r="D1344" s="15"/>
    </row>
    <row r="1345" spans="2:4" x14ac:dyDescent="0.25">
      <c r="B1345" s="68"/>
      <c r="C1345" s="50"/>
      <c r="D1345" s="15"/>
    </row>
    <row r="1346" spans="2:4" x14ac:dyDescent="0.25">
      <c r="B1346" s="68"/>
      <c r="C1346" s="50"/>
      <c r="D1346" s="15"/>
    </row>
    <row r="1347" spans="2:4" x14ac:dyDescent="0.25">
      <c r="B1347" s="68"/>
      <c r="C1347" s="50"/>
      <c r="D1347" s="15"/>
    </row>
    <row r="1348" spans="2:4" x14ac:dyDescent="0.25">
      <c r="B1348" s="68"/>
      <c r="C1348" s="50"/>
      <c r="D1348" s="15"/>
    </row>
    <row r="1349" spans="2:4" x14ac:dyDescent="0.25">
      <c r="B1349" s="68"/>
      <c r="C1349" s="50"/>
      <c r="D1349" s="15"/>
    </row>
    <row r="1350" spans="2:4" x14ac:dyDescent="0.25">
      <c r="B1350" s="68"/>
      <c r="C1350" s="50"/>
      <c r="D1350" s="15"/>
    </row>
    <row r="1351" spans="2:4" x14ac:dyDescent="0.25">
      <c r="B1351" s="68"/>
      <c r="C1351" s="50"/>
      <c r="D1351" s="15"/>
    </row>
    <row r="1352" spans="2:4" x14ac:dyDescent="0.25">
      <c r="B1352" s="68"/>
      <c r="C1352" s="50"/>
      <c r="D1352" s="15"/>
    </row>
    <row r="1353" spans="2:4" x14ac:dyDescent="0.25">
      <c r="B1353" s="68"/>
      <c r="C1353" s="50"/>
      <c r="D1353" s="15"/>
    </row>
    <row r="1354" spans="2:4" x14ac:dyDescent="0.25">
      <c r="B1354" s="68"/>
      <c r="C1354" s="50"/>
      <c r="D1354" s="15"/>
    </row>
    <row r="1355" spans="2:4" x14ac:dyDescent="0.25">
      <c r="B1355" s="68"/>
      <c r="C1355" s="50"/>
      <c r="D1355" s="15"/>
    </row>
    <row r="1356" spans="2:4" x14ac:dyDescent="0.25">
      <c r="B1356" s="68"/>
      <c r="C1356" s="50"/>
      <c r="D1356" s="15"/>
    </row>
    <row r="1357" spans="2:4" x14ac:dyDescent="0.25">
      <c r="B1357" s="68"/>
      <c r="C1357" s="50"/>
      <c r="D1357" s="15"/>
    </row>
    <row r="1358" spans="2:4" x14ac:dyDescent="0.25">
      <c r="B1358" s="68"/>
      <c r="C1358" s="50"/>
      <c r="D1358" s="15"/>
    </row>
    <row r="1359" spans="2:4" x14ac:dyDescent="0.25">
      <c r="B1359" s="68"/>
      <c r="C1359" s="50"/>
      <c r="D1359" s="15"/>
    </row>
    <row r="1360" spans="2:4" x14ac:dyDescent="0.25">
      <c r="B1360" s="68"/>
      <c r="C1360" s="50"/>
      <c r="D1360" s="15"/>
    </row>
    <row r="1361" spans="2:4" x14ac:dyDescent="0.25">
      <c r="B1361" s="68"/>
      <c r="C1361" s="50"/>
      <c r="D1361" s="15"/>
    </row>
    <row r="1362" spans="2:4" x14ac:dyDescent="0.25">
      <c r="B1362" s="68"/>
      <c r="C1362" s="50"/>
      <c r="D1362" s="15"/>
    </row>
    <row r="1363" spans="2:4" x14ac:dyDescent="0.25">
      <c r="B1363" s="68"/>
      <c r="C1363" s="50"/>
      <c r="D1363" s="15"/>
    </row>
    <row r="1364" spans="2:4" x14ac:dyDescent="0.25">
      <c r="B1364" s="68"/>
      <c r="C1364" s="50"/>
      <c r="D1364" s="15"/>
    </row>
    <row r="1365" spans="2:4" x14ac:dyDescent="0.25">
      <c r="B1365" s="68"/>
      <c r="C1365" s="50"/>
      <c r="D1365" s="15"/>
    </row>
    <row r="1366" spans="2:4" x14ac:dyDescent="0.25">
      <c r="B1366" s="68"/>
      <c r="C1366" s="50"/>
      <c r="D1366" s="15"/>
    </row>
    <row r="1367" spans="2:4" x14ac:dyDescent="0.25">
      <c r="B1367" s="68"/>
      <c r="C1367" s="50"/>
      <c r="D1367" s="15"/>
    </row>
    <row r="1368" spans="2:4" x14ac:dyDescent="0.25">
      <c r="B1368" s="68"/>
      <c r="C1368" s="50"/>
      <c r="D1368" s="15"/>
    </row>
    <row r="1369" spans="2:4" x14ac:dyDescent="0.25">
      <c r="B1369" s="68"/>
      <c r="C1369" s="50"/>
      <c r="D1369" s="15"/>
    </row>
    <row r="1370" spans="2:4" x14ac:dyDescent="0.25">
      <c r="B1370" s="68"/>
      <c r="C1370" s="50"/>
      <c r="D1370" s="15"/>
    </row>
    <row r="1371" spans="2:4" x14ac:dyDescent="0.25">
      <c r="B1371" s="68"/>
      <c r="C1371" s="50"/>
      <c r="D1371" s="15"/>
    </row>
    <row r="1372" spans="2:4" x14ac:dyDescent="0.25">
      <c r="B1372" s="68"/>
      <c r="C1372" s="50"/>
      <c r="D1372" s="15"/>
    </row>
    <row r="1373" spans="2:4" x14ac:dyDescent="0.25">
      <c r="B1373" s="68"/>
      <c r="C1373" s="50"/>
      <c r="D1373" s="15"/>
    </row>
    <row r="1374" spans="2:4" x14ac:dyDescent="0.25">
      <c r="B1374" s="68"/>
      <c r="C1374" s="50"/>
      <c r="D1374" s="15"/>
    </row>
    <row r="1375" spans="2:4" x14ac:dyDescent="0.25">
      <c r="B1375" s="68"/>
      <c r="C1375" s="50"/>
      <c r="D1375" s="15"/>
    </row>
    <row r="1376" spans="2:4" x14ac:dyDescent="0.25">
      <c r="B1376" s="68"/>
      <c r="C1376" s="50"/>
      <c r="D1376" s="15"/>
    </row>
    <row r="1377" spans="2:4" x14ac:dyDescent="0.25">
      <c r="B1377" s="68"/>
      <c r="C1377" s="50"/>
      <c r="D1377" s="15"/>
    </row>
    <row r="1378" spans="2:4" x14ac:dyDescent="0.25">
      <c r="B1378" s="68"/>
      <c r="C1378" s="50"/>
      <c r="D1378" s="15"/>
    </row>
    <row r="1379" spans="2:4" x14ac:dyDescent="0.25">
      <c r="B1379" s="68"/>
      <c r="C1379" s="50"/>
      <c r="D1379" s="15"/>
    </row>
    <row r="1380" spans="2:4" x14ac:dyDescent="0.25">
      <c r="B1380" s="68"/>
      <c r="C1380" s="50"/>
      <c r="D1380" s="15"/>
    </row>
    <row r="1381" spans="2:4" x14ac:dyDescent="0.25">
      <c r="B1381" s="68"/>
      <c r="C1381" s="50"/>
      <c r="D1381" s="15"/>
    </row>
    <row r="1382" spans="2:4" x14ac:dyDescent="0.25">
      <c r="B1382" s="68"/>
      <c r="C1382" s="50"/>
      <c r="D1382" s="15"/>
    </row>
    <row r="1383" spans="2:4" x14ac:dyDescent="0.25">
      <c r="B1383" s="68"/>
      <c r="C1383" s="50"/>
      <c r="D1383" s="15"/>
    </row>
    <row r="1384" spans="2:4" x14ac:dyDescent="0.25">
      <c r="B1384" s="68"/>
      <c r="C1384" s="50"/>
      <c r="D1384" s="15"/>
    </row>
    <row r="1385" spans="2:4" x14ac:dyDescent="0.25">
      <c r="B1385" s="68"/>
      <c r="C1385" s="50"/>
      <c r="D1385" s="15"/>
    </row>
    <row r="1386" spans="2:4" x14ac:dyDescent="0.25">
      <c r="B1386" s="68"/>
      <c r="C1386" s="50"/>
      <c r="D1386" s="15"/>
    </row>
    <row r="1387" spans="2:4" x14ac:dyDescent="0.25">
      <c r="B1387" s="68"/>
      <c r="C1387" s="50"/>
      <c r="D1387" s="15"/>
    </row>
    <row r="1388" spans="2:4" x14ac:dyDescent="0.25">
      <c r="B1388" s="68"/>
      <c r="C1388" s="50"/>
      <c r="D1388" s="15"/>
    </row>
    <row r="1389" spans="2:4" x14ac:dyDescent="0.25">
      <c r="B1389" s="68"/>
      <c r="C1389" s="50"/>
      <c r="D1389" s="15"/>
    </row>
    <row r="1390" spans="2:4" x14ac:dyDescent="0.25">
      <c r="B1390" s="68"/>
      <c r="C1390" s="50"/>
      <c r="D1390" s="15"/>
    </row>
    <row r="1391" spans="2:4" x14ac:dyDescent="0.25">
      <c r="B1391" s="68"/>
      <c r="C1391" s="50"/>
      <c r="D1391" s="15"/>
    </row>
    <row r="1392" spans="2:4" x14ac:dyDescent="0.25">
      <c r="B1392" s="68"/>
      <c r="C1392" s="50"/>
      <c r="D1392" s="15"/>
    </row>
    <row r="1393" spans="2:4" x14ac:dyDescent="0.25">
      <c r="B1393" s="68"/>
      <c r="C1393" s="50"/>
      <c r="D1393" s="15"/>
    </row>
    <row r="1394" spans="2:4" x14ac:dyDescent="0.25">
      <c r="B1394" s="68"/>
      <c r="C1394" s="50"/>
      <c r="D1394" s="15"/>
    </row>
    <row r="1395" spans="2:4" x14ac:dyDescent="0.25">
      <c r="B1395" s="68"/>
      <c r="C1395" s="50"/>
      <c r="D1395" s="15"/>
    </row>
    <row r="1396" spans="2:4" x14ac:dyDescent="0.25">
      <c r="B1396" s="68"/>
      <c r="C1396" s="50"/>
      <c r="D1396" s="15"/>
    </row>
    <row r="1397" spans="2:4" x14ac:dyDescent="0.25">
      <c r="B1397" s="68"/>
      <c r="C1397" s="50"/>
      <c r="D1397" s="15"/>
    </row>
    <row r="1398" spans="2:4" x14ac:dyDescent="0.25">
      <c r="B1398" s="68"/>
      <c r="C1398" s="50"/>
      <c r="D1398" s="15"/>
    </row>
    <row r="1399" spans="2:4" x14ac:dyDescent="0.25">
      <c r="B1399" s="68"/>
      <c r="C1399" s="50"/>
      <c r="D1399" s="15"/>
    </row>
    <row r="1400" spans="2:4" x14ac:dyDescent="0.25">
      <c r="B1400" s="68"/>
      <c r="C1400" s="50"/>
      <c r="D1400" s="15"/>
    </row>
    <row r="1401" spans="2:4" x14ac:dyDescent="0.25">
      <c r="B1401" s="68"/>
      <c r="C1401" s="50"/>
      <c r="D1401" s="15"/>
    </row>
    <row r="1402" spans="2:4" x14ac:dyDescent="0.25">
      <c r="B1402" s="68"/>
      <c r="C1402" s="50"/>
      <c r="D1402" s="15"/>
    </row>
    <row r="1403" spans="2:4" x14ac:dyDescent="0.25">
      <c r="B1403" s="68"/>
      <c r="C1403" s="50"/>
      <c r="D1403" s="15"/>
    </row>
    <row r="1404" spans="2:4" x14ac:dyDescent="0.25">
      <c r="B1404" s="68"/>
      <c r="C1404" s="50"/>
      <c r="D1404" s="15"/>
    </row>
    <row r="1405" spans="2:4" x14ac:dyDescent="0.25">
      <c r="B1405" s="68"/>
      <c r="C1405" s="50"/>
      <c r="D1405" s="15"/>
    </row>
    <row r="1406" spans="2:4" x14ac:dyDescent="0.25">
      <c r="B1406" s="68"/>
      <c r="C1406" s="50"/>
      <c r="D1406" s="15"/>
    </row>
    <row r="1407" spans="2:4" x14ac:dyDescent="0.25">
      <c r="B1407" s="68"/>
      <c r="C1407" s="50"/>
      <c r="D1407" s="15"/>
    </row>
    <row r="1408" spans="2:4" x14ac:dyDescent="0.25">
      <c r="B1408" s="68"/>
      <c r="C1408" s="50"/>
      <c r="D1408" s="15"/>
    </row>
    <row r="1409" spans="2:4" x14ac:dyDescent="0.25">
      <c r="B1409" s="68"/>
      <c r="C1409" s="50"/>
      <c r="D1409" s="15"/>
    </row>
    <row r="1410" spans="2:4" x14ac:dyDescent="0.25">
      <c r="B1410" s="68"/>
      <c r="C1410" s="50"/>
      <c r="D1410" s="15"/>
    </row>
    <row r="1411" spans="2:4" x14ac:dyDescent="0.25">
      <c r="B1411" s="68"/>
      <c r="C1411" s="50"/>
      <c r="D1411" s="15"/>
    </row>
    <row r="1412" spans="2:4" x14ac:dyDescent="0.25">
      <c r="B1412" s="68"/>
      <c r="C1412" s="50"/>
      <c r="D1412" s="15"/>
    </row>
    <row r="1413" spans="2:4" x14ac:dyDescent="0.25">
      <c r="B1413" s="68"/>
      <c r="C1413" s="50"/>
      <c r="D1413" s="15"/>
    </row>
    <row r="1414" spans="2:4" x14ac:dyDescent="0.25">
      <c r="B1414" s="68"/>
      <c r="C1414" s="50"/>
      <c r="D1414" s="15"/>
    </row>
    <row r="1415" spans="2:4" x14ac:dyDescent="0.25">
      <c r="B1415" s="68"/>
      <c r="C1415" s="50"/>
      <c r="D1415" s="15"/>
    </row>
    <row r="1416" spans="2:4" x14ac:dyDescent="0.25">
      <c r="B1416" s="68"/>
      <c r="C1416" s="50"/>
      <c r="D1416" s="15"/>
    </row>
    <row r="1417" spans="2:4" x14ac:dyDescent="0.25">
      <c r="B1417" s="68"/>
      <c r="C1417" s="50"/>
      <c r="D1417" s="15"/>
    </row>
    <row r="1418" spans="2:4" x14ac:dyDescent="0.25">
      <c r="B1418" s="68"/>
      <c r="C1418" s="50"/>
      <c r="D1418" s="15"/>
    </row>
    <row r="1419" spans="2:4" x14ac:dyDescent="0.25">
      <c r="B1419" s="68"/>
      <c r="C1419" s="50"/>
      <c r="D1419" s="15"/>
    </row>
    <row r="1420" spans="2:4" x14ac:dyDescent="0.25">
      <c r="B1420" s="68"/>
      <c r="C1420" s="50"/>
      <c r="D1420" s="15"/>
    </row>
    <row r="1421" spans="2:4" x14ac:dyDescent="0.25">
      <c r="B1421" s="68"/>
      <c r="C1421" s="50"/>
      <c r="D1421" s="15"/>
    </row>
    <row r="1422" spans="2:4" x14ac:dyDescent="0.25">
      <c r="B1422" s="68"/>
      <c r="C1422" s="50"/>
      <c r="D1422" s="15"/>
    </row>
    <row r="1423" spans="2:4" x14ac:dyDescent="0.25">
      <c r="B1423" s="68"/>
      <c r="C1423" s="50"/>
      <c r="D1423" s="15"/>
    </row>
    <row r="1424" spans="2:4" x14ac:dyDescent="0.25">
      <c r="B1424" s="68"/>
      <c r="C1424" s="50"/>
      <c r="D1424" s="15"/>
    </row>
    <row r="1425" spans="2:4" x14ac:dyDescent="0.25">
      <c r="B1425" s="68"/>
      <c r="C1425" s="50"/>
      <c r="D1425" s="15"/>
    </row>
    <row r="1426" spans="2:4" x14ac:dyDescent="0.25">
      <c r="B1426" s="68"/>
      <c r="C1426" s="50"/>
      <c r="D1426" s="15"/>
    </row>
    <row r="1427" spans="2:4" x14ac:dyDescent="0.25">
      <c r="B1427" s="68"/>
      <c r="C1427" s="50"/>
      <c r="D1427" s="15"/>
    </row>
    <row r="1428" spans="2:4" x14ac:dyDescent="0.25">
      <c r="B1428" s="68"/>
      <c r="C1428" s="50"/>
      <c r="D1428" s="15"/>
    </row>
    <row r="1429" spans="2:4" x14ac:dyDescent="0.25">
      <c r="B1429" s="68"/>
      <c r="C1429" s="50"/>
      <c r="D1429" s="15"/>
    </row>
    <row r="1430" spans="2:4" x14ac:dyDescent="0.25">
      <c r="B1430" s="68"/>
      <c r="C1430" s="50"/>
      <c r="D1430" s="15"/>
    </row>
    <row r="1431" spans="2:4" x14ac:dyDescent="0.25">
      <c r="B1431" s="68"/>
      <c r="C1431" s="50"/>
      <c r="D1431" s="15"/>
    </row>
    <row r="1432" spans="2:4" x14ac:dyDescent="0.25">
      <c r="B1432" s="68"/>
      <c r="C1432" s="50"/>
      <c r="D1432" s="15"/>
    </row>
    <row r="1433" spans="2:4" x14ac:dyDescent="0.25">
      <c r="B1433" s="68"/>
      <c r="C1433" s="50"/>
      <c r="D1433" s="15"/>
    </row>
    <row r="1434" spans="2:4" x14ac:dyDescent="0.25">
      <c r="B1434" s="68"/>
      <c r="C1434" s="50"/>
      <c r="D1434" s="15"/>
    </row>
    <row r="1435" spans="2:4" x14ac:dyDescent="0.25">
      <c r="B1435" s="68"/>
      <c r="C1435" s="50"/>
      <c r="D1435" s="15"/>
    </row>
    <row r="1436" spans="2:4" x14ac:dyDescent="0.25">
      <c r="B1436" s="68"/>
      <c r="C1436" s="50"/>
      <c r="D1436" s="15"/>
    </row>
    <row r="1437" spans="2:4" x14ac:dyDescent="0.25">
      <c r="B1437" s="68"/>
      <c r="C1437" s="50"/>
      <c r="D1437" s="15"/>
    </row>
    <row r="1438" spans="2:4" x14ac:dyDescent="0.25">
      <c r="B1438" s="68"/>
      <c r="C1438" s="50"/>
      <c r="D1438" s="15"/>
    </row>
    <row r="1439" spans="2:4" x14ac:dyDescent="0.25">
      <c r="B1439" s="68"/>
      <c r="C1439" s="50"/>
      <c r="D1439" s="15"/>
    </row>
    <row r="1440" spans="2:4" x14ac:dyDescent="0.25">
      <c r="B1440" s="68"/>
      <c r="C1440" s="50"/>
      <c r="D1440" s="15"/>
    </row>
    <row r="1441" spans="2:4" x14ac:dyDescent="0.25">
      <c r="B1441" s="68"/>
      <c r="C1441" s="50"/>
      <c r="D1441" s="15"/>
    </row>
    <row r="1442" spans="2:4" x14ac:dyDescent="0.25">
      <c r="B1442" s="68"/>
      <c r="C1442" s="50"/>
      <c r="D1442" s="15"/>
    </row>
    <row r="1443" spans="2:4" x14ac:dyDescent="0.25">
      <c r="B1443" s="68"/>
      <c r="C1443" s="50"/>
      <c r="D1443" s="15"/>
    </row>
    <row r="1444" spans="2:4" x14ac:dyDescent="0.25">
      <c r="B1444" s="68"/>
      <c r="C1444" s="50"/>
      <c r="D1444" s="15"/>
    </row>
    <row r="1445" spans="2:4" x14ac:dyDescent="0.25">
      <c r="B1445" s="68"/>
      <c r="C1445" s="50"/>
      <c r="D1445" s="15"/>
    </row>
    <row r="1446" spans="2:4" x14ac:dyDescent="0.25">
      <c r="B1446" s="68"/>
      <c r="C1446" s="50"/>
      <c r="D1446" s="15"/>
    </row>
    <row r="1447" spans="2:4" x14ac:dyDescent="0.25">
      <c r="B1447" s="68"/>
      <c r="C1447" s="50"/>
      <c r="D1447" s="15"/>
    </row>
    <row r="1448" spans="2:4" x14ac:dyDescent="0.25">
      <c r="B1448" s="68"/>
      <c r="C1448" s="50"/>
      <c r="D1448" s="15"/>
    </row>
    <row r="1449" spans="2:4" x14ac:dyDescent="0.25">
      <c r="B1449" s="68"/>
      <c r="C1449" s="50"/>
      <c r="D1449" s="15"/>
    </row>
    <row r="1450" spans="2:4" x14ac:dyDescent="0.25">
      <c r="B1450" s="68"/>
      <c r="C1450" s="50"/>
      <c r="D1450" s="15"/>
    </row>
    <row r="1451" spans="2:4" x14ac:dyDescent="0.25">
      <c r="B1451" s="68"/>
      <c r="C1451" s="50"/>
      <c r="D1451" s="15"/>
    </row>
    <row r="1452" spans="2:4" x14ac:dyDescent="0.25">
      <c r="B1452" s="68"/>
      <c r="C1452" s="50"/>
      <c r="D1452" s="15"/>
    </row>
    <row r="1453" spans="2:4" x14ac:dyDescent="0.25">
      <c r="B1453" s="68"/>
      <c r="C1453" s="50"/>
      <c r="D1453" s="15"/>
    </row>
    <row r="1454" spans="2:4" x14ac:dyDescent="0.25">
      <c r="B1454" s="68"/>
      <c r="C1454" s="50"/>
      <c r="D1454" s="15"/>
    </row>
    <row r="1455" spans="2:4" x14ac:dyDescent="0.25">
      <c r="B1455" s="68"/>
      <c r="C1455" s="50"/>
      <c r="D1455" s="15"/>
    </row>
    <row r="1456" spans="2:4" x14ac:dyDescent="0.25">
      <c r="B1456" s="68"/>
      <c r="C1456" s="50"/>
      <c r="D1456" s="15"/>
    </row>
    <row r="1457" spans="2:4" x14ac:dyDescent="0.25">
      <c r="B1457" s="68"/>
      <c r="C1457" s="50"/>
      <c r="D1457" s="15"/>
    </row>
    <row r="1458" spans="2:4" x14ac:dyDescent="0.25">
      <c r="B1458" s="68"/>
      <c r="C1458" s="50"/>
      <c r="D1458" s="15"/>
    </row>
    <row r="1459" spans="2:4" x14ac:dyDescent="0.25">
      <c r="B1459" s="68"/>
      <c r="C1459" s="50"/>
      <c r="D1459" s="15"/>
    </row>
    <row r="1460" spans="2:4" x14ac:dyDescent="0.25">
      <c r="B1460" s="68"/>
      <c r="C1460" s="50"/>
      <c r="D1460" s="15"/>
    </row>
    <row r="1461" spans="2:4" x14ac:dyDescent="0.25">
      <c r="B1461" s="68"/>
      <c r="C1461" s="50"/>
      <c r="D1461" s="15"/>
    </row>
    <row r="1462" spans="2:4" x14ac:dyDescent="0.25">
      <c r="B1462" s="68"/>
      <c r="C1462" s="50"/>
      <c r="D1462" s="15"/>
    </row>
    <row r="1463" spans="2:4" x14ac:dyDescent="0.25">
      <c r="B1463" s="68"/>
      <c r="C1463" s="50"/>
      <c r="D1463" s="15"/>
    </row>
    <row r="1464" spans="2:4" x14ac:dyDescent="0.25">
      <c r="B1464" s="68"/>
      <c r="C1464" s="50"/>
      <c r="D1464" s="15"/>
    </row>
    <row r="1465" spans="2:4" x14ac:dyDescent="0.25">
      <c r="B1465" s="68"/>
      <c r="C1465" s="50"/>
      <c r="D1465" s="15"/>
    </row>
    <row r="1466" spans="2:4" x14ac:dyDescent="0.25">
      <c r="B1466" s="68"/>
      <c r="C1466" s="50"/>
      <c r="D1466" s="15"/>
    </row>
    <row r="1467" spans="2:4" x14ac:dyDescent="0.25">
      <c r="B1467" s="68"/>
      <c r="C1467" s="50"/>
      <c r="D1467" s="15"/>
    </row>
    <row r="1468" spans="2:4" x14ac:dyDescent="0.25">
      <c r="B1468" s="68"/>
      <c r="C1468" s="50"/>
      <c r="D1468" s="15"/>
    </row>
    <row r="1469" spans="2:4" x14ac:dyDescent="0.25">
      <c r="B1469" s="68"/>
      <c r="C1469" s="50"/>
      <c r="D1469" s="15"/>
    </row>
    <row r="1470" spans="2:4" x14ac:dyDescent="0.25">
      <c r="B1470" s="68"/>
      <c r="C1470" s="50"/>
      <c r="D1470" s="15"/>
    </row>
    <row r="1471" spans="2:4" x14ac:dyDescent="0.25">
      <c r="B1471" s="68"/>
      <c r="C1471" s="50"/>
      <c r="D1471" s="15"/>
    </row>
    <row r="1472" spans="2:4" x14ac:dyDescent="0.25">
      <c r="B1472" s="68"/>
      <c r="C1472" s="50"/>
      <c r="D1472" s="15"/>
    </row>
    <row r="1473" spans="2:4" x14ac:dyDescent="0.25">
      <c r="B1473" s="68"/>
      <c r="C1473" s="50"/>
      <c r="D1473" s="15"/>
    </row>
    <row r="1474" spans="2:4" x14ac:dyDescent="0.25">
      <c r="B1474" s="68"/>
      <c r="C1474" s="50"/>
      <c r="D1474" s="15"/>
    </row>
    <row r="1475" spans="2:4" x14ac:dyDescent="0.25">
      <c r="B1475" s="68"/>
      <c r="C1475" s="50"/>
      <c r="D1475" s="15"/>
    </row>
    <row r="1476" spans="2:4" x14ac:dyDescent="0.25">
      <c r="B1476" s="68"/>
      <c r="C1476" s="50"/>
      <c r="D1476" s="15"/>
    </row>
    <row r="1477" spans="2:4" x14ac:dyDescent="0.25">
      <c r="B1477" s="68"/>
      <c r="C1477" s="50"/>
      <c r="D1477" s="15"/>
    </row>
    <row r="1478" spans="2:4" x14ac:dyDescent="0.25">
      <c r="B1478" s="68"/>
      <c r="C1478" s="50"/>
      <c r="D1478" s="15"/>
    </row>
    <row r="1479" spans="2:4" x14ac:dyDescent="0.25">
      <c r="B1479" s="68"/>
      <c r="C1479" s="50"/>
      <c r="D1479" s="15"/>
    </row>
    <row r="1480" spans="2:4" x14ac:dyDescent="0.25">
      <c r="B1480" s="68"/>
      <c r="C1480" s="50"/>
      <c r="D1480" s="15"/>
    </row>
    <row r="1481" spans="2:4" x14ac:dyDescent="0.25">
      <c r="B1481" s="68"/>
      <c r="C1481" s="50"/>
      <c r="D1481" s="15"/>
    </row>
    <row r="1482" spans="2:4" x14ac:dyDescent="0.25">
      <c r="B1482" s="68"/>
      <c r="C1482" s="50"/>
      <c r="D1482" s="15"/>
    </row>
    <row r="1483" spans="2:4" x14ac:dyDescent="0.25">
      <c r="B1483" s="68"/>
      <c r="C1483" s="50"/>
      <c r="D1483" s="15"/>
    </row>
    <row r="1484" spans="2:4" x14ac:dyDescent="0.25">
      <c r="B1484" s="68"/>
      <c r="C1484" s="50"/>
      <c r="D1484" s="15"/>
    </row>
    <row r="1485" spans="2:4" x14ac:dyDescent="0.25">
      <c r="B1485" s="68"/>
      <c r="C1485" s="50"/>
      <c r="D1485" s="15"/>
    </row>
    <row r="1486" spans="2:4" x14ac:dyDescent="0.25">
      <c r="B1486" s="68"/>
      <c r="C1486" s="50"/>
      <c r="D1486" s="15"/>
    </row>
    <row r="1487" spans="2:4" x14ac:dyDescent="0.25">
      <c r="B1487" s="68"/>
      <c r="C1487" s="50"/>
      <c r="D1487" s="15"/>
    </row>
    <row r="1488" spans="2:4" x14ac:dyDescent="0.25">
      <c r="B1488" s="68"/>
      <c r="C1488" s="50"/>
      <c r="D1488" s="15"/>
    </row>
    <row r="1489" spans="2:4" x14ac:dyDescent="0.25">
      <c r="B1489" s="68"/>
      <c r="C1489" s="50"/>
      <c r="D1489" s="15"/>
    </row>
    <row r="1490" spans="2:4" x14ac:dyDescent="0.25">
      <c r="B1490" s="68"/>
      <c r="C1490" s="50"/>
      <c r="D1490" s="15"/>
    </row>
    <row r="1491" spans="2:4" x14ac:dyDescent="0.25">
      <c r="B1491" s="68"/>
      <c r="C1491" s="50"/>
      <c r="D1491" s="15"/>
    </row>
    <row r="1492" spans="2:4" x14ac:dyDescent="0.25">
      <c r="B1492" s="68"/>
      <c r="C1492" s="50"/>
      <c r="D1492" s="15"/>
    </row>
    <row r="1493" spans="2:4" x14ac:dyDescent="0.25">
      <c r="B1493" s="68"/>
      <c r="C1493" s="50"/>
      <c r="D1493" s="15"/>
    </row>
    <row r="1494" spans="2:4" x14ac:dyDescent="0.25">
      <c r="B1494" s="68"/>
      <c r="C1494" s="50"/>
      <c r="D1494" s="15"/>
    </row>
    <row r="1495" spans="2:4" x14ac:dyDescent="0.25">
      <c r="B1495" s="68"/>
      <c r="C1495" s="50"/>
      <c r="D1495" s="15"/>
    </row>
    <row r="1496" spans="2:4" x14ac:dyDescent="0.25">
      <c r="B1496" s="68"/>
      <c r="C1496" s="50"/>
      <c r="D1496" s="15"/>
    </row>
    <row r="1497" spans="2:4" x14ac:dyDescent="0.25">
      <c r="B1497" s="68"/>
      <c r="C1497" s="50"/>
      <c r="D1497" s="15"/>
    </row>
    <row r="1498" spans="2:4" x14ac:dyDescent="0.25">
      <c r="B1498" s="68"/>
      <c r="C1498" s="50"/>
      <c r="D1498" s="15"/>
    </row>
    <row r="1499" spans="2:4" x14ac:dyDescent="0.25">
      <c r="B1499" s="68"/>
      <c r="C1499" s="50"/>
      <c r="D1499" s="15"/>
    </row>
    <row r="1500" spans="2:4" x14ac:dyDescent="0.25">
      <c r="B1500" s="68"/>
      <c r="C1500" s="50"/>
      <c r="D1500" s="15"/>
    </row>
    <row r="1501" spans="2:4" x14ac:dyDescent="0.25">
      <c r="B1501" s="68"/>
      <c r="C1501" s="50"/>
      <c r="D1501" s="15"/>
    </row>
    <row r="1502" spans="2:4" x14ac:dyDescent="0.25">
      <c r="B1502" s="68"/>
      <c r="C1502" s="50"/>
      <c r="D1502" s="15"/>
    </row>
    <row r="1503" spans="2:4" x14ac:dyDescent="0.25">
      <c r="B1503" s="68"/>
      <c r="C1503" s="50"/>
      <c r="D1503" s="15"/>
    </row>
    <row r="1504" spans="2:4" x14ac:dyDescent="0.25">
      <c r="B1504" s="68"/>
      <c r="C1504" s="50"/>
      <c r="D1504" s="15"/>
    </row>
    <row r="1505" spans="2:4" x14ac:dyDescent="0.25">
      <c r="B1505" s="68"/>
      <c r="C1505" s="50"/>
      <c r="D1505" s="15"/>
    </row>
    <row r="1506" spans="2:4" x14ac:dyDescent="0.25">
      <c r="B1506" s="68"/>
      <c r="C1506" s="50"/>
      <c r="D1506" s="15"/>
    </row>
    <row r="1507" spans="2:4" x14ac:dyDescent="0.25">
      <c r="B1507" s="68"/>
      <c r="C1507" s="50"/>
      <c r="D1507" s="15"/>
    </row>
    <row r="1508" spans="2:4" x14ac:dyDescent="0.25">
      <c r="B1508" s="68"/>
      <c r="C1508" s="50"/>
      <c r="D1508" s="15"/>
    </row>
    <row r="1509" spans="2:4" x14ac:dyDescent="0.25">
      <c r="B1509" s="68"/>
      <c r="C1509" s="50"/>
      <c r="D1509" s="15"/>
    </row>
    <row r="1510" spans="2:4" x14ac:dyDescent="0.25">
      <c r="B1510" s="68"/>
      <c r="C1510" s="50"/>
      <c r="D1510" s="15"/>
    </row>
    <row r="1511" spans="2:4" x14ac:dyDescent="0.25">
      <c r="B1511" s="68"/>
      <c r="C1511" s="50"/>
      <c r="D1511" s="15"/>
    </row>
    <row r="1512" spans="2:4" x14ac:dyDescent="0.25">
      <c r="B1512" s="68"/>
      <c r="C1512" s="50"/>
      <c r="D1512" s="15"/>
    </row>
    <row r="1513" spans="2:4" x14ac:dyDescent="0.25">
      <c r="B1513" s="68"/>
      <c r="C1513" s="50"/>
      <c r="D1513" s="15"/>
    </row>
    <row r="1514" spans="2:4" x14ac:dyDescent="0.25">
      <c r="B1514" s="68"/>
      <c r="C1514" s="50"/>
      <c r="D1514" s="15"/>
    </row>
    <row r="1515" spans="2:4" x14ac:dyDescent="0.25">
      <c r="B1515" s="68"/>
      <c r="C1515" s="50"/>
      <c r="D1515" s="15"/>
    </row>
    <row r="1516" spans="2:4" x14ac:dyDescent="0.25">
      <c r="B1516" s="68"/>
      <c r="C1516" s="50"/>
      <c r="D1516" s="15"/>
    </row>
    <row r="1517" spans="2:4" x14ac:dyDescent="0.25">
      <c r="B1517" s="68"/>
      <c r="C1517" s="50"/>
      <c r="D1517" s="15"/>
    </row>
    <row r="1518" spans="2:4" x14ac:dyDescent="0.25">
      <c r="B1518" s="68"/>
      <c r="C1518" s="50"/>
      <c r="D1518" s="15"/>
    </row>
    <row r="1519" spans="2:4" x14ac:dyDescent="0.25">
      <c r="B1519" s="68"/>
      <c r="C1519" s="50"/>
      <c r="D1519" s="15"/>
    </row>
    <row r="1520" spans="2:4" x14ac:dyDescent="0.25">
      <c r="B1520" s="68"/>
      <c r="C1520" s="50"/>
      <c r="D1520" s="15"/>
    </row>
    <row r="1521" spans="2:4" x14ac:dyDescent="0.25">
      <c r="B1521" s="68"/>
      <c r="C1521" s="50"/>
      <c r="D1521" s="15"/>
    </row>
    <row r="1522" spans="2:4" x14ac:dyDescent="0.25">
      <c r="B1522" s="68"/>
      <c r="C1522" s="50"/>
      <c r="D1522" s="15"/>
    </row>
    <row r="1523" spans="2:4" x14ac:dyDescent="0.25">
      <c r="B1523" s="68"/>
      <c r="C1523" s="50"/>
      <c r="D1523" s="15"/>
    </row>
    <row r="1524" spans="2:4" x14ac:dyDescent="0.25">
      <c r="B1524" s="68"/>
      <c r="C1524" s="50"/>
      <c r="D1524" s="15"/>
    </row>
    <row r="1525" spans="2:4" x14ac:dyDescent="0.25">
      <c r="B1525" s="68"/>
      <c r="C1525" s="50"/>
      <c r="D1525" s="15"/>
    </row>
    <row r="1526" spans="2:4" x14ac:dyDescent="0.25">
      <c r="B1526" s="68"/>
      <c r="C1526" s="50"/>
      <c r="D1526" s="15"/>
    </row>
    <row r="1527" spans="2:4" x14ac:dyDescent="0.25">
      <c r="B1527" s="68"/>
      <c r="C1527" s="50"/>
      <c r="D1527" s="15"/>
    </row>
    <row r="1528" spans="2:4" x14ac:dyDescent="0.25">
      <c r="B1528" s="68"/>
      <c r="C1528" s="50"/>
      <c r="D1528" s="15"/>
    </row>
    <row r="1529" spans="2:4" x14ac:dyDescent="0.25">
      <c r="B1529" s="68"/>
      <c r="C1529" s="50"/>
      <c r="D1529" s="15"/>
    </row>
    <row r="1530" spans="2:4" x14ac:dyDescent="0.25">
      <c r="B1530" s="68"/>
      <c r="C1530" s="50"/>
      <c r="D1530" s="15"/>
    </row>
    <row r="1531" spans="2:4" x14ac:dyDescent="0.25">
      <c r="B1531" s="68"/>
      <c r="C1531" s="50"/>
      <c r="D1531" s="15"/>
    </row>
    <row r="1532" spans="2:4" x14ac:dyDescent="0.25">
      <c r="B1532" s="68"/>
      <c r="C1532" s="50"/>
      <c r="D1532" s="15"/>
    </row>
    <row r="1533" spans="2:4" x14ac:dyDescent="0.25">
      <c r="B1533" s="68"/>
      <c r="C1533" s="50"/>
      <c r="D1533" s="15"/>
    </row>
    <row r="1534" spans="2:4" x14ac:dyDescent="0.25">
      <c r="B1534" s="68"/>
      <c r="C1534" s="50"/>
      <c r="D1534" s="15"/>
    </row>
    <row r="1535" spans="2:4" x14ac:dyDescent="0.25">
      <c r="B1535" s="68"/>
      <c r="C1535" s="50"/>
      <c r="D1535" s="15"/>
    </row>
    <row r="1536" spans="2:4" x14ac:dyDescent="0.25">
      <c r="B1536" s="68"/>
      <c r="C1536" s="50"/>
      <c r="D1536" s="15"/>
    </row>
    <row r="1537" spans="2:4" x14ac:dyDescent="0.25">
      <c r="B1537" s="68"/>
      <c r="C1537" s="50"/>
      <c r="D1537" s="15"/>
    </row>
    <row r="1538" spans="2:4" x14ac:dyDescent="0.25">
      <c r="B1538" s="68"/>
      <c r="C1538" s="50"/>
      <c r="D1538" s="15"/>
    </row>
    <row r="1539" spans="2:4" x14ac:dyDescent="0.25">
      <c r="B1539" s="68"/>
      <c r="C1539" s="50"/>
      <c r="D1539" s="15"/>
    </row>
    <row r="1540" spans="2:4" x14ac:dyDescent="0.25">
      <c r="B1540" s="68"/>
      <c r="C1540" s="50"/>
      <c r="D1540" s="15"/>
    </row>
    <row r="1541" spans="2:4" x14ac:dyDescent="0.25">
      <c r="B1541" s="68"/>
      <c r="C1541" s="50"/>
      <c r="D1541" s="15"/>
    </row>
    <row r="1542" spans="2:4" x14ac:dyDescent="0.25">
      <c r="B1542" s="68"/>
      <c r="C1542" s="50"/>
      <c r="D1542" s="15"/>
    </row>
    <row r="1543" spans="2:4" x14ac:dyDescent="0.25">
      <c r="B1543" s="68"/>
      <c r="C1543" s="50"/>
      <c r="D1543" s="15"/>
    </row>
    <row r="1544" spans="2:4" x14ac:dyDescent="0.25">
      <c r="B1544" s="68"/>
      <c r="C1544" s="50"/>
      <c r="D1544" s="15"/>
    </row>
    <row r="1545" spans="2:4" x14ac:dyDescent="0.25">
      <c r="B1545" s="68"/>
      <c r="C1545" s="50"/>
      <c r="D1545" s="15"/>
    </row>
    <row r="1546" spans="2:4" x14ac:dyDescent="0.25">
      <c r="B1546" s="68"/>
      <c r="C1546" s="50"/>
      <c r="D1546" s="15"/>
    </row>
    <row r="1547" spans="2:4" x14ac:dyDescent="0.25">
      <c r="B1547" s="68"/>
      <c r="C1547" s="50"/>
      <c r="D1547" s="15"/>
    </row>
    <row r="1548" spans="2:4" x14ac:dyDescent="0.25">
      <c r="B1548" s="68"/>
      <c r="C1548" s="50"/>
      <c r="D1548" s="15"/>
    </row>
    <row r="1549" spans="2:4" x14ac:dyDescent="0.25">
      <c r="B1549" s="68"/>
      <c r="C1549" s="50"/>
      <c r="D1549" s="15"/>
    </row>
    <row r="1550" spans="2:4" x14ac:dyDescent="0.25">
      <c r="B1550" s="68"/>
      <c r="C1550" s="50"/>
      <c r="D1550" s="15"/>
    </row>
    <row r="1551" spans="2:4" x14ac:dyDescent="0.25">
      <c r="B1551" s="68"/>
      <c r="C1551" s="50"/>
      <c r="D1551" s="15"/>
    </row>
    <row r="1552" spans="2:4" x14ac:dyDescent="0.25">
      <c r="B1552" s="68"/>
      <c r="C1552" s="50"/>
      <c r="D1552" s="15"/>
    </row>
    <row r="1553" spans="2:4" x14ac:dyDescent="0.25">
      <c r="B1553" s="68"/>
      <c r="C1553" s="50"/>
      <c r="D1553" s="15"/>
    </row>
    <row r="1554" spans="2:4" x14ac:dyDescent="0.25">
      <c r="B1554" s="68"/>
      <c r="C1554" s="50"/>
      <c r="D1554" s="15"/>
    </row>
    <row r="1555" spans="2:4" x14ac:dyDescent="0.25">
      <c r="B1555" s="68"/>
      <c r="C1555" s="50"/>
      <c r="D1555" s="15"/>
    </row>
    <row r="1556" spans="2:4" x14ac:dyDescent="0.25">
      <c r="B1556" s="68"/>
      <c r="C1556" s="50"/>
      <c r="D1556" s="15"/>
    </row>
    <row r="1557" spans="2:4" x14ac:dyDescent="0.25">
      <c r="B1557" s="68"/>
      <c r="C1557" s="50"/>
      <c r="D1557" s="15"/>
    </row>
    <row r="1558" spans="2:4" x14ac:dyDescent="0.25">
      <c r="B1558" s="68"/>
      <c r="C1558" s="50"/>
      <c r="D1558" s="15"/>
    </row>
    <row r="1559" spans="2:4" x14ac:dyDescent="0.25">
      <c r="B1559" s="68"/>
      <c r="C1559" s="50"/>
      <c r="D1559" s="15"/>
    </row>
    <row r="1560" spans="2:4" x14ac:dyDescent="0.25">
      <c r="B1560" s="68"/>
      <c r="C1560" s="50"/>
      <c r="D1560" s="15"/>
    </row>
    <row r="1561" spans="2:4" x14ac:dyDescent="0.25">
      <c r="B1561" s="68"/>
      <c r="C1561" s="50"/>
      <c r="D1561" s="15"/>
    </row>
    <row r="1562" spans="2:4" x14ac:dyDescent="0.25">
      <c r="B1562" s="68"/>
      <c r="C1562" s="50"/>
      <c r="D1562" s="15"/>
    </row>
    <row r="1563" spans="2:4" x14ac:dyDescent="0.25">
      <c r="B1563" s="68"/>
      <c r="C1563" s="50"/>
      <c r="D1563" s="15"/>
    </row>
    <row r="1564" spans="2:4" x14ac:dyDescent="0.25">
      <c r="B1564" s="68"/>
      <c r="C1564" s="50"/>
      <c r="D1564" s="15"/>
    </row>
    <row r="1565" spans="2:4" x14ac:dyDescent="0.25">
      <c r="B1565" s="68"/>
      <c r="C1565" s="50"/>
      <c r="D1565" s="15"/>
    </row>
    <row r="1566" spans="2:4" x14ac:dyDescent="0.25">
      <c r="B1566" s="68"/>
      <c r="C1566" s="50"/>
      <c r="D1566" s="15"/>
    </row>
    <row r="1567" spans="2:4" x14ac:dyDescent="0.25">
      <c r="B1567" s="68"/>
      <c r="C1567" s="50"/>
      <c r="D1567" s="15"/>
    </row>
    <row r="1568" spans="2:4" x14ac:dyDescent="0.25">
      <c r="B1568" s="68"/>
      <c r="C1568" s="50"/>
      <c r="D1568" s="15"/>
    </row>
    <row r="1569" spans="2:4" x14ac:dyDescent="0.25">
      <c r="B1569" s="68"/>
      <c r="C1569" s="50"/>
      <c r="D1569" s="15"/>
    </row>
    <row r="1570" spans="2:4" x14ac:dyDescent="0.25">
      <c r="B1570" s="68"/>
      <c r="C1570" s="50"/>
      <c r="D1570" s="15"/>
    </row>
    <row r="1571" spans="2:4" x14ac:dyDescent="0.25">
      <c r="B1571" s="68"/>
      <c r="C1571" s="50"/>
      <c r="D1571" s="15"/>
    </row>
    <row r="1572" spans="2:4" x14ac:dyDescent="0.25">
      <c r="B1572" s="68"/>
      <c r="C1572" s="50"/>
      <c r="D1572" s="15"/>
    </row>
    <row r="1573" spans="2:4" x14ac:dyDescent="0.25">
      <c r="B1573" s="68"/>
      <c r="C1573" s="50"/>
      <c r="D1573" s="15"/>
    </row>
    <row r="1574" spans="2:4" x14ac:dyDescent="0.25">
      <c r="B1574" s="68"/>
      <c r="C1574" s="50"/>
      <c r="D1574" s="15"/>
    </row>
    <row r="1575" spans="2:4" x14ac:dyDescent="0.25">
      <c r="B1575" s="68"/>
      <c r="C1575" s="50"/>
      <c r="D1575" s="15"/>
    </row>
    <row r="1576" spans="2:4" x14ac:dyDescent="0.25">
      <c r="B1576" s="68"/>
      <c r="C1576" s="50"/>
      <c r="D1576" s="15"/>
    </row>
    <row r="1577" spans="2:4" x14ac:dyDescent="0.25">
      <c r="B1577" s="68"/>
      <c r="C1577" s="50"/>
      <c r="D1577" s="15"/>
    </row>
    <row r="1578" spans="2:4" x14ac:dyDescent="0.25">
      <c r="B1578" s="68"/>
      <c r="C1578" s="50"/>
      <c r="D1578" s="15"/>
    </row>
    <row r="1579" spans="2:4" x14ac:dyDescent="0.25">
      <c r="B1579" s="68"/>
      <c r="C1579" s="50"/>
      <c r="D1579" s="15"/>
    </row>
    <row r="1580" spans="2:4" x14ac:dyDescent="0.25">
      <c r="B1580" s="68"/>
      <c r="C1580" s="50"/>
      <c r="D1580" s="15"/>
    </row>
    <row r="1581" spans="2:4" x14ac:dyDescent="0.25">
      <c r="B1581" s="68"/>
      <c r="C1581" s="50"/>
      <c r="D1581" s="15"/>
    </row>
    <row r="1582" spans="2:4" x14ac:dyDescent="0.25">
      <c r="B1582" s="68"/>
      <c r="C1582" s="50"/>
      <c r="D1582" s="15"/>
    </row>
    <row r="1583" spans="2:4" x14ac:dyDescent="0.25">
      <c r="B1583" s="68"/>
      <c r="C1583" s="50"/>
      <c r="D1583" s="15"/>
    </row>
    <row r="1584" spans="2:4" x14ac:dyDescent="0.25">
      <c r="B1584" s="68"/>
      <c r="C1584" s="50"/>
      <c r="D1584" s="15"/>
    </row>
    <row r="1585" spans="2:4" x14ac:dyDescent="0.25">
      <c r="B1585" s="68"/>
      <c r="C1585" s="50"/>
      <c r="D1585" s="15"/>
    </row>
    <row r="1586" spans="2:4" x14ac:dyDescent="0.25">
      <c r="B1586" s="68"/>
      <c r="C1586" s="50"/>
      <c r="D1586" s="15"/>
    </row>
    <row r="1587" spans="2:4" x14ac:dyDescent="0.25">
      <c r="B1587" s="68"/>
      <c r="C1587" s="50"/>
      <c r="D1587" s="15"/>
    </row>
    <row r="1588" spans="2:4" x14ac:dyDescent="0.25">
      <c r="B1588" s="68"/>
      <c r="C1588" s="50"/>
      <c r="D1588" s="15"/>
    </row>
    <row r="1589" spans="2:4" x14ac:dyDescent="0.25">
      <c r="B1589" s="68"/>
      <c r="C1589" s="50"/>
      <c r="D1589" s="15"/>
    </row>
    <row r="1590" spans="2:4" x14ac:dyDescent="0.25">
      <c r="B1590" s="68"/>
      <c r="C1590" s="50"/>
      <c r="D1590" s="15"/>
    </row>
    <row r="1591" spans="2:4" x14ac:dyDescent="0.25">
      <c r="B1591" s="68"/>
      <c r="C1591" s="50"/>
      <c r="D1591" s="15"/>
    </row>
    <row r="1592" spans="2:4" x14ac:dyDescent="0.25">
      <c r="B1592" s="68"/>
      <c r="C1592" s="50"/>
      <c r="D1592" s="15"/>
    </row>
    <row r="1593" spans="2:4" x14ac:dyDescent="0.25">
      <c r="B1593" s="68"/>
      <c r="C1593" s="50"/>
      <c r="D1593" s="15"/>
    </row>
    <row r="1594" spans="2:4" x14ac:dyDescent="0.25">
      <c r="B1594" s="68"/>
      <c r="C1594" s="50"/>
      <c r="D1594" s="15"/>
    </row>
    <row r="1595" spans="2:4" x14ac:dyDescent="0.25">
      <c r="B1595" s="68"/>
      <c r="C1595" s="50"/>
      <c r="D1595" s="15"/>
    </row>
    <row r="1596" spans="2:4" x14ac:dyDescent="0.25">
      <c r="B1596" s="68"/>
      <c r="C1596" s="50"/>
      <c r="D1596" s="15"/>
    </row>
    <row r="1597" spans="2:4" x14ac:dyDescent="0.25">
      <c r="B1597" s="68"/>
      <c r="C1597" s="50"/>
      <c r="D1597" s="15"/>
    </row>
    <row r="1598" spans="2:4" x14ac:dyDescent="0.25">
      <c r="B1598" s="68"/>
      <c r="C1598" s="50"/>
      <c r="D1598" s="15"/>
    </row>
    <row r="1599" spans="2:4" x14ac:dyDescent="0.25">
      <c r="B1599" s="68"/>
      <c r="C1599" s="50"/>
      <c r="D1599" s="15"/>
    </row>
    <row r="1600" spans="2:4" x14ac:dyDescent="0.25">
      <c r="B1600" s="68"/>
      <c r="C1600" s="50"/>
      <c r="D1600" s="15"/>
    </row>
    <row r="1601" spans="2:4" x14ac:dyDescent="0.25">
      <c r="B1601" s="68"/>
      <c r="C1601" s="50"/>
      <c r="D1601" s="15"/>
    </row>
    <row r="1602" spans="2:4" x14ac:dyDescent="0.25">
      <c r="B1602" s="68"/>
      <c r="C1602" s="50"/>
      <c r="D1602" s="15"/>
    </row>
    <row r="1603" spans="2:4" x14ac:dyDescent="0.25">
      <c r="B1603" s="68"/>
      <c r="C1603" s="50"/>
      <c r="D1603" s="15"/>
    </row>
    <row r="1604" spans="2:4" x14ac:dyDescent="0.25">
      <c r="B1604" s="68"/>
      <c r="C1604" s="50"/>
      <c r="D1604" s="15"/>
    </row>
    <row r="1605" spans="2:4" x14ac:dyDescent="0.25">
      <c r="B1605" s="68"/>
      <c r="C1605" s="50"/>
      <c r="D1605" s="15"/>
    </row>
    <row r="1606" spans="2:4" x14ac:dyDescent="0.25">
      <c r="B1606" s="68"/>
      <c r="C1606" s="50"/>
      <c r="D1606" s="15"/>
    </row>
    <row r="1607" spans="2:4" x14ac:dyDescent="0.25">
      <c r="B1607" s="68"/>
      <c r="C1607" s="50"/>
      <c r="D1607" s="15"/>
    </row>
    <row r="1608" spans="2:4" x14ac:dyDescent="0.25">
      <c r="B1608" s="68"/>
      <c r="C1608" s="50"/>
      <c r="D1608" s="15"/>
    </row>
    <row r="1609" spans="2:4" x14ac:dyDescent="0.25">
      <c r="B1609" s="68"/>
      <c r="C1609" s="50"/>
      <c r="D1609" s="15"/>
    </row>
    <row r="1610" spans="2:4" x14ac:dyDescent="0.25">
      <c r="B1610" s="68"/>
      <c r="C1610" s="50"/>
      <c r="D1610" s="15"/>
    </row>
    <row r="1611" spans="2:4" x14ac:dyDescent="0.25">
      <c r="B1611" s="68"/>
      <c r="C1611" s="50"/>
      <c r="D1611" s="15"/>
    </row>
    <row r="1612" spans="2:4" x14ac:dyDescent="0.25">
      <c r="B1612" s="68"/>
      <c r="C1612" s="50"/>
      <c r="D1612" s="15"/>
    </row>
    <row r="1613" spans="2:4" x14ac:dyDescent="0.25">
      <c r="B1613" s="68"/>
      <c r="C1613" s="50"/>
      <c r="D1613" s="15"/>
    </row>
    <row r="1614" spans="2:4" x14ac:dyDescent="0.25">
      <c r="B1614" s="68"/>
      <c r="C1614" s="50"/>
      <c r="D1614" s="15"/>
    </row>
    <row r="1615" spans="2:4" x14ac:dyDescent="0.25">
      <c r="B1615" s="68"/>
      <c r="C1615" s="50"/>
      <c r="D1615" s="15"/>
    </row>
    <row r="1616" spans="2:4" x14ac:dyDescent="0.25">
      <c r="B1616" s="68"/>
      <c r="C1616" s="50"/>
      <c r="D1616" s="15"/>
    </row>
    <row r="1617" spans="2:4" x14ac:dyDescent="0.25">
      <c r="B1617" s="68"/>
      <c r="C1617" s="50"/>
      <c r="D1617" s="15"/>
    </row>
    <row r="1618" spans="2:4" x14ac:dyDescent="0.25">
      <c r="B1618" s="68"/>
      <c r="C1618" s="50"/>
      <c r="D1618" s="15"/>
    </row>
    <row r="1619" spans="2:4" x14ac:dyDescent="0.25">
      <c r="B1619" s="68"/>
      <c r="C1619" s="50"/>
      <c r="D1619" s="15"/>
    </row>
    <row r="1620" spans="2:4" x14ac:dyDescent="0.25">
      <c r="B1620" s="68"/>
      <c r="C1620" s="50"/>
      <c r="D1620" s="15"/>
    </row>
    <row r="1621" spans="2:4" x14ac:dyDescent="0.25">
      <c r="B1621" s="68"/>
      <c r="C1621" s="50"/>
      <c r="D1621" s="15"/>
    </row>
    <row r="1622" spans="2:4" x14ac:dyDescent="0.25">
      <c r="B1622" s="68"/>
      <c r="C1622" s="50"/>
      <c r="D1622" s="15"/>
    </row>
    <row r="1623" spans="2:4" x14ac:dyDescent="0.25">
      <c r="B1623" s="68"/>
      <c r="C1623" s="50"/>
      <c r="D1623" s="15"/>
    </row>
    <row r="1624" spans="2:4" x14ac:dyDescent="0.25">
      <c r="B1624" s="68"/>
      <c r="C1624" s="50"/>
      <c r="D1624" s="15"/>
    </row>
    <row r="1625" spans="2:4" x14ac:dyDescent="0.25">
      <c r="B1625" s="68"/>
      <c r="C1625" s="50"/>
      <c r="D1625" s="15"/>
    </row>
    <row r="1626" spans="2:4" x14ac:dyDescent="0.25">
      <c r="B1626" s="68"/>
      <c r="C1626" s="50"/>
      <c r="D1626" s="15"/>
    </row>
    <row r="1627" spans="2:4" x14ac:dyDescent="0.25">
      <c r="B1627" s="68"/>
      <c r="C1627" s="50"/>
      <c r="D1627" s="15"/>
    </row>
    <row r="1628" spans="2:4" x14ac:dyDescent="0.25">
      <c r="B1628" s="68"/>
      <c r="C1628" s="50"/>
      <c r="D1628" s="15"/>
    </row>
    <row r="1629" spans="2:4" x14ac:dyDescent="0.25">
      <c r="B1629" s="68"/>
      <c r="C1629" s="50"/>
      <c r="D1629" s="15"/>
    </row>
    <row r="1630" spans="2:4" x14ac:dyDescent="0.25">
      <c r="B1630" s="68"/>
      <c r="C1630" s="50"/>
      <c r="D1630" s="15"/>
    </row>
    <row r="1631" spans="2:4" x14ac:dyDescent="0.25">
      <c r="B1631" s="68"/>
      <c r="C1631" s="50"/>
      <c r="D1631" s="15"/>
    </row>
    <row r="1632" spans="2:4" x14ac:dyDescent="0.25">
      <c r="B1632" s="68"/>
      <c r="C1632" s="50"/>
      <c r="D1632" s="15"/>
    </row>
    <row r="1633" spans="2:4" x14ac:dyDescent="0.25">
      <c r="B1633" s="68"/>
      <c r="C1633" s="50"/>
      <c r="D1633" s="15"/>
    </row>
    <row r="1634" spans="2:4" x14ac:dyDescent="0.25">
      <c r="B1634" s="68"/>
      <c r="C1634" s="50"/>
      <c r="D1634" s="15"/>
    </row>
    <row r="1635" spans="2:4" x14ac:dyDescent="0.25">
      <c r="B1635" s="68"/>
      <c r="C1635" s="50"/>
      <c r="D1635" s="15"/>
    </row>
    <row r="1636" spans="2:4" x14ac:dyDescent="0.25">
      <c r="B1636" s="68"/>
      <c r="C1636" s="50"/>
      <c r="D1636" s="15"/>
    </row>
    <row r="1637" spans="2:4" x14ac:dyDescent="0.25">
      <c r="B1637" s="68"/>
      <c r="C1637" s="50"/>
      <c r="D1637" s="15"/>
    </row>
    <row r="1638" spans="2:4" x14ac:dyDescent="0.25">
      <c r="B1638" s="68"/>
      <c r="C1638" s="50"/>
      <c r="D1638" s="15"/>
    </row>
    <row r="1639" spans="2:4" x14ac:dyDescent="0.25">
      <c r="B1639" s="68"/>
      <c r="C1639" s="50"/>
      <c r="D1639" s="15"/>
    </row>
    <row r="1640" spans="2:4" x14ac:dyDescent="0.25">
      <c r="B1640" s="68"/>
      <c r="C1640" s="50"/>
      <c r="D1640" s="15"/>
    </row>
    <row r="1641" spans="2:4" x14ac:dyDescent="0.25">
      <c r="B1641" s="68"/>
      <c r="C1641" s="50"/>
      <c r="D1641" s="15"/>
    </row>
    <row r="1642" spans="2:4" x14ac:dyDescent="0.25">
      <c r="B1642" s="68"/>
      <c r="C1642" s="50"/>
      <c r="D1642" s="15"/>
    </row>
    <row r="1643" spans="2:4" x14ac:dyDescent="0.25">
      <c r="B1643" s="68"/>
      <c r="C1643" s="50"/>
      <c r="D1643" s="15"/>
    </row>
    <row r="1644" spans="2:4" x14ac:dyDescent="0.25">
      <c r="B1644" s="68"/>
      <c r="C1644" s="50"/>
      <c r="D1644" s="15"/>
    </row>
    <row r="1645" spans="2:4" x14ac:dyDescent="0.25">
      <c r="B1645" s="68"/>
      <c r="C1645" s="50"/>
      <c r="D1645" s="15"/>
    </row>
    <row r="1646" spans="2:4" x14ac:dyDescent="0.25">
      <c r="B1646" s="68"/>
      <c r="C1646" s="50"/>
      <c r="D1646" s="15"/>
    </row>
    <row r="1647" spans="2:4" x14ac:dyDescent="0.25">
      <c r="B1647" s="68"/>
      <c r="C1647" s="50"/>
      <c r="D1647" s="15"/>
    </row>
    <row r="1648" spans="2:4" x14ac:dyDescent="0.25">
      <c r="B1648" s="68"/>
      <c r="C1648" s="50"/>
      <c r="D1648" s="15"/>
    </row>
    <row r="1649" spans="2:4" x14ac:dyDescent="0.25">
      <c r="B1649" s="68"/>
      <c r="C1649" s="50"/>
      <c r="D1649" s="15"/>
    </row>
    <row r="1650" spans="2:4" x14ac:dyDescent="0.25">
      <c r="B1650" s="68"/>
      <c r="C1650" s="50"/>
      <c r="D1650" s="15"/>
    </row>
    <row r="1651" spans="2:4" x14ac:dyDescent="0.25">
      <c r="B1651" s="68"/>
      <c r="C1651" s="50"/>
      <c r="D1651" s="15"/>
    </row>
    <row r="1652" spans="2:4" x14ac:dyDescent="0.25">
      <c r="B1652" s="68"/>
      <c r="C1652" s="50"/>
      <c r="D1652" s="15"/>
    </row>
    <row r="1653" spans="2:4" x14ac:dyDescent="0.25">
      <c r="B1653" s="68"/>
      <c r="C1653" s="50"/>
      <c r="D1653" s="15"/>
    </row>
    <row r="1654" spans="2:4" x14ac:dyDescent="0.25">
      <c r="B1654" s="68"/>
      <c r="C1654" s="50"/>
      <c r="D1654" s="15"/>
    </row>
    <row r="1655" spans="2:4" x14ac:dyDescent="0.25">
      <c r="B1655" s="68"/>
      <c r="C1655" s="50"/>
      <c r="D1655" s="15"/>
    </row>
    <row r="1656" spans="2:4" x14ac:dyDescent="0.25">
      <c r="B1656" s="68"/>
      <c r="C1656" s="50"/>
      <c r="D1656" s="15"/>
    </row>
    <row r="1657" spans="2:4" x14ac:dyDescent="0.25">
      <c r="B1657" s="68"/>
      <c r="C1657" s="50"/>
      <c r="D1657" s="15"/>
    </row>
    <row r="1658" spans="2:4" x14ac:dyDescent="0.25">
      <c r="B1658" s="68"/>
      <c r="C1658" s="50"/>
      <c r="D1658" s="15"/>
    </row>
    <row r="1659" spans="2:4" x14ac:dyDescent="0.25">
      <c r="B1659" s="68"/>
      <c r="C1659" s="50"/>
      <c r="D1659" s="15"/>
    </row>
    <row r="1660" spans="2:4" x14ac:dyDescent="0.25">
      <c r="B1660" s="68"/>
      <c r="C1660" s="50"/>
      <c r="D1660" s="15"/>
    </row>
    <row r="1661" spans="2:4" x14ac:dyDescent="0.25">
      <c r="B1661" s="68"/>
      <c r="C1661" s="50"/>
      <c r="D1661" s="15"/>
    </row>
    <row r="1662" spans="2:4" x14ac:dyDescent="0.25">
      <c r="B1662" s="68"/>
      <c r="C1662" s="50"/>
      <c r="D1662" s="15"/>
    </row>
    <row r="1663" spans="2:4" x14ac:dyDescent="0.25">
      <c r="B1663" s="68"/>
      <c r="C1663" s="50"/>
      <c r="D1663" s="15"/>
    </row>
    <row r="1664" spans="2:4" x14ac:dyDescent="0.25">
      <c r="B1664" s="68"/>
      <c r="C1664" s="50"/>
      <c r="D1664" s="15"/>
    </row>
    <row r="1665" spans="2:4" x14ac:dyDescent="0.25">
      <c r="B1665" s="68"/>
      <c r="C1665" s="50"/>
      <c r="D1665" s="15"/>
    </row>
    <row r="1666" spans="2:4" x14ac:dyDescent="0.25">
      <c r="B1666" s="68"/>
      <c r="C1666" s="50"/>
      <c r="D1666" s="15"/>
    </row>
    <row r="1667" spans="2:4" x14ac:dyDescent="0.25">
      <c r="B1667" s="68"/>
      <c r="C1667" s="50"/>
      <c r="D1667" s="15"/>
    </row>
    <row r="1668" spans="2:4" x14ac:dyDescent="0.25">
      <c r="B1668" s="68"/>
      <c r="C1668" s="50"/>
      <c r="D1668" s="15"/>
    </row>
    <row r="1669" spans="2:4" x14ac:dyDescent="0.25">
      <c r="B1669" s="68"/>
      <c r="C1669" s="50"/>
      <c r="D1669" s="15"/>
    </row>
    <row r="1670" spans="2:4" x14ac:dyDescent="0.25">
      <c r="B1670" s="68"/>
      <c r="C1670" s="50"/>
      <c r="D1670" s="15"/>
    </row>
    <row r="1671" spans="2:4" x14ac:dyDescent="0.25">
      <c r="B1671" s="68"/>
      <c r="C1671" s="50"/>
      <c r="D1671" s="15"/>
    </row>
    <row r="1672" spans="2:4" x14ac:dyDescent="0.25">
      <c r="B1672" s="68"/>
      <c r="C1672" s="50"/>
      <c r="D1672" s="15"/>
    </row>
    <row r="1673" spans="2:4" x14ac:dyDescent="0.25">
      <c r="B1673" s="68"/>
      <c r="C1673" s="50"/>
      <c r="D1673" s="15"/>
    </row>
    <row r="1674" spans="2:4" x14ac:dyDescent="0.25">
      <c r="B1674" s="68"/>
      <c r="C1674" s="50"/>
      <c r="D1674" s="15"/>
    </row>
    <row r="1675" spans="2:4" x14ac:dyDescent="0.25">
      <c r="B1675" s="68"/>
      <c r="C1675" s="50"/>
      <c r="D1675" s="15"/>
    </row>
    <row r="1676" spans="2:4" x14ac:dyDescent="0.25">
      <c r="B1676" s="68"/>
      <c r="C1676" s="50"/>
      <c r="D1676" s="15"/>
    </row>
    <row r="1677" spans="2:4" x14ac:dyDescent="0.25">
      <c r="B1677" s="68"/>
      <c r="C1677" s="50"/>
      <c r="D1677" s="15"/>
    </row>
    <row r="1678" spans="2:4" x14ac:dyDescent="0.25">
      <c r="B1678" s="68"/>
      <c r="C1678" s="50"/>
      <c r="D1678" s="15"/>
    </row>
    <row r="1679" spans="2:4" x14ac:dyDescent="0.25">
      <c r="B1679" s="68"/>
      <c r="C1679" s="50"/>
      <c r="D1679" s="15"/>
    </row>
    <row r="1680" spans="2:4" x14ac:dyDescent="0.25">
      <c r="B1680" s="68"/>
      <c r="C1680" s="50"/>
      <c r="D1680" s="15"/>
    </row>
    <row r="1681" spans="2:4" x14ac:dyDescent="0.25">
      <c r="B1681" s="68"/>
      <c r="C1681" s="50"/>
      <c r="D1681" s="15"/>
    </row>
    <row r="1682" spans="2:4" x14ac:dyDescent="0.25">
      <c r="B1682" s="68"/>
      <c r="C1682" s="50"/>
      <c r="D1682" s="15"/>
    </row>
    <row r="1683" spans="2:4" x14ac:dyDescent="0.25">
      <c r="B1683" s="68"/>
      <c r="C1683" s="50"/>
      <c r="D1683" s="15"/>
    </row>
    <row r="1684" spans="2:4" x14ac:dyDescent="0.25">
      <c r="B1684" s="68"/>
      <c r="C1684" s="50"/>
      <c r="D1684" s="15"/>
    </row>
    <row r="1685" spans="2:4" x14ac:dyDescent="0.25">
      <c r="B1685" s="68"/>
      <c r="C1685" s="50"/>
      <c r="D1685" s="15"/>
    </row>
    <row r="1686" spans="2:4" x14ac:dyDescent="0.25">
      <c r="B1686" s="68"/>
      <c r="C1686" s="50"/>
      <c r="D1686" s="15"/>
    </row>
    <row r="1687" spans="2:4" x14ac:dyDescent="0.25">
      <c r="B1687" s="68"/>
      <c r="C1687" s="50"/>
      <c r="D1687" s="15"/>
    </row>
    <row r="1688" spans="2:4" x14ac:dyDescent="0.25">
      <c r="B1688" s="68"/>
      <c r="C1688" s="50"/>
      <c r="D1688" s="15"/>
    </row>
    <row r="1689" spans="2:4" x14ac:dyDescent="0.25">
      <c r="B1689" s="68"/>
      <c r="C1689" s="50"/>
      <c r="D1689" s="15"/>
    </row>
    <row r="1690" spans="2:4" x14ac:dyDescent="0.25">
      <c r="B1690" s="68"/>
      <c r="C1690" s="50"/>
      <c r="D1690" s="15"/>
    </row>
    <row r="1691" spans="2:4" x14ac:dyDescent="0.25">
      <c r="B1691" s="68"/>
      <c r="C1691" s="50"/>
      <c r="D1691" s="15"/>
    </row>
    <row r="1692" spans="2:4" x14ac:dyDescent="0.25">
      <c r="B1692" s="68"/>
      <c r="C1692" s="50"/>
      <c r="D1692" s="15"/>
    </row>
    <row r="1693" spans="2:4" x14ac:dyDescent="0.25">
      <c r="B1693" s="68"/>
      <c r="C1693" s="50"/>
      <c r="D1693" s="15"/>
    </row>
    <row r="1694" spans="2:4" x14ac:dyDescent="0.25">
      <c r="B1694" s="68"/>
      <c r="C1694" s="50"/>
      <c r="D1694" s="15"/>
    </row>
    <row r="1695" spans="2:4" x14ac:dyDescent="0.25">
      <c r="B1695" s="68"/>
      <c r="C1695" s="50"/>
      <c r="D1695" s="15"/>
    </row>
    <row r="1696" spans="2:4" x14ac:dyDescent="0.25">
      <c r="B1696" s="68"/>
      <c r="C1696" s="50"/>
      <c r="D1696" s="15"/>
    </row>
    <row r="1697" spans="2:4" x14ac:dyDescent="0.25">
      <c r="B1697" s="68"/>
      <c r="C1697" s="50"/>
      <c r="D1697" s="15"/>
    </row>
    <row r="1698" spans="2:4" x14ac:dyDescent="0.25">
      <c r="B1698" s="68"/>
      <c r="C1698" s="50"/>
      <c r="D1698" s="15"/>
    </row>
    <row r="1699" spans="2:4" x14ac:dyDescent="0.25">
      <c r="B1699" s="68"/>
      <c r="C1699" s="50"/>
      <c r="D1699" s="15"/>
    </row>
    <row r="1700" spans="2:4" x14ac:dyDescent="0.25">
      <c r="B1700" s="68"/>
      <c r="C1700" s="50"/>
      <c r="D1700" s="15"/>
    </row>
    <row r="1701" spans="2:4" x14ac:dyDescent="0.25">
      <c r="B1701" s="68"/>
      <c r="C1701" s="50"/>
      <c r="D1701" s="15"/>
    </row>
    <row r="1702" spans="2:4" x14ac:dyDescent="0.25">
      <c r="B1702" s="68"/>
      <c r="C1702" s="50"/>
      <c r="D1702" s="15"/>
    </row>
    <row r="1703" spans="2:4" x14ac:dyDescent="0.25">
      <c r="B1703" s="68"/>
      <c r="C1703" s="50"/>
      <c r="D1703" s="15"/>
    </row>
    <row r="1704" spans="2:4" x14ac:dyDescent="0.25">
      <c r="B1704" s="68"/>
      <c r="C1704" s="50"/>
      <c r="D1704" s="15"/>
    </row>
    <row r="1705" spans="2:4" x14ac:dyDescent="0.25">
      <c r="B1705" s="68"/>
      <c r="C1705" s="50"/>
      <c r="D1705" s="15"/>
    </row>
    <row r="1706" spans="2:4" x14ac:dyDescent="0.25">
      <c r="B1706" s="68"/>
      <c r="C1706" s="50"/>
      <c r="D1706" s="15"/>
    </row>
    <row r="1707" spans="2:4" x14ac:dyDescent="0.25">
      <c r="B1707" s="68"/>
      <c r="C1707" s="50"/>
      <c r="D1707" s="15"/>
    </row>
    <row r="1708" spans="2:4" x14ac:dyDescent="0.25">
      <c r="B1708" s="68"/>
      <c r="C1708" s="50"/>
      <c r="D1708" s="15"/>
    </row>
    <row r="1709" spans="2:4" x14ac:dyDescent="0.25">
      <c r="B1709" s="68"/>
      <c r="C1709" s="50"/>
      <c r="D1709" s="15"/>
    </row>
    <row r="1710" spans="2:4" x14ac:dyDescent="0.25">
      <c r="B1710" s="68"/>
      <c r="C1710" s="50"/>
      <c r="D1710" s="15"/>
    </row>
    <row r="1711" spans="2:4" x14ac:dyDescent="0.25">
      <c r="B1711" s="68"/>
      <c r="C1711" s="50"/>
      <c r="D1711" s="15"/>
    </row>
    <row r="1712" spans="2:4" x14ac:dyDescent="0.25">
      <c r="B1712" s="68"/>
      <c r="C1712" s="50"/>
      <c r="D1712" s="15"/>
    </row>
    <row r="1713" spans="2:4" x14ac:dyDescent="0.25">
      <c r="B1713" s="68"/>
      <c r="C1713" s="50"/>
      <c r="D1713" s="15"/>
    </row>
    <row r="1714" spans="2:4" x14ac:dyDescent="0.25">
      <c r="B1714" s="68"/>
      <c r="C1714" s="50"/>
      <c r="D1714" s="15"/>
    </row>
    <row r="1715" spans="2:4" x14ac:dyDescent="0.25">
      <c r="B1715" s="68"/>
      <c r="C1715" s="50"/>
      <c r="D1715" s="15"/>
    </row>
    <row r="1716" spans="2:4" x14ac:dyDescent="0.25">
      <c r="B1716" s="68"/>
      <c r="C1716" s="50"/>
      <c r="D1716" s="15"/>
    </row>
    <row r="1717" spans="2:4" x14ac:dyDescent="0.25">
      <c r="B1717" s="68"/>
      <c r="C1717" s="50"/>
      <c r="D1717" s="15"/>
    </row>
    <row r="1718" spans="2:4" x14ac:dyDescent="0.25">
      <c r="B1718" s="68"/>
      <c r="C1718" s="50"/>
      <c r="D1718" s="15"/>
    </row>
    <row r="1719" spans="2:4" x14ac:dyDescent="0.25">
      <c r="B1719" s="68"/>
      <c r="C1719" s="50"/>
      <c r="D1719" s="15"/>
    </row>
    <row r="1720" spans="2:4" x14ac:dyDescent="0.25">
      <c r="B1720" s="68"/>
      <c r="C1720" s="50"/>
      <c r="D1720" s="15"/>
    </row>
    <row r="1721" spans="2:4" x14ac:dyDescent="0.25">
      <c r="B1721" s="68"/>
      <c r="C1721" s="50"/>
      <c r="D1721" s="15"/>
    </row>
    <row r="1722" spans="2:4" x14ac:dyDescent="0.25">
      <c r="B1722" s="68"/>
      <c r="C1722" s="50"/>
      <c r="D1722" s="15"/>
    </row>
    <row r="1723" spans="2:4" x14ac:dyDescent="0.25">
      <c r="B1723" s="68"/>
      <c r="C1723" s="50"/>
      <c r="D1723" s="15"/>
    </row>
    <row r="1724" spans="2:4" x14ac:dyDescent="0.25">
      <c r="B1724" s="68"/>
      <c r="C1724" s="50"/>
      <c r="D1724" s="15"/>
    </row>
    <row r="1725" spans="2:4" x14ac:dyDescent="0.25">
      <c r="B1725" s="68"/>
      <c r="C1725" s="50"/>
      <c r="D1725" s="15"/>
    </row>
    <row r="1726" spans="2:4" x14ac:dyDescent="0.25">
      <c r="B1726" s="68"/>
      <c r="C1726" s="50"/>
      <c r="D1726" s="15"/>
    </row>
    <row r="1727" spans="2:4" x14ac:dyDescent="0.25">
      <c r="B1727" s="68"/>
      <c r="C1727" s="50"/>
      <c r="D1727" s="15"/>
    </row>
    <row r="1728" spans="2:4" x14ac:dyDescent="0.25">
      <c r="B1728" s="68"/>
      <c r="C1728" s="50"/>
      <c r="D1728" s="15"/>
    </row>
    <row r="1729" spans="2:4" x14ac:dyDescent="0.25">
      <c r="B1729" s="68"/>
      <c r="C1729" s="50"/>
      <c r="D1729" s="15"/>
    </row>
    <row r="1730" spans="2:4" x14ac:dyDescent="0.25">
      <c r="B1730" s="68"/>
      <c r="C1730" s="50"/>
      <c r="D1730" s="15"/>
    </row>
    <row r="1731" spans="2:4" x14ac:dyDescent="0.25">
      <c r="B1731" s="68"/>
      <c r="C1731" s="50"/>
      <c r="D1731" s="15"/>
    </row>
    <row r="1732" spans="2:4" x14ac:dyDescent="0.25">
      <c r="B1732" s="68"/>
      <c r="C1732" s="50"/>
      <c r="D1732" s="15"/>
    </row>
    <row r="1733" spans="2:4" x14ac:dyDescent="0.25">
      <c r="B1733" s="68"/>
      <c r="C1733" s="50"/>
      <c r="D1733" s="15"/>
    </row>
    <row r="1734" spans="2:4" x14ac:dyDescent="0.25">
      <c r="B1734" s="68"/>
      <c r="C1734" s="50"/>
      <c r="D1734" s="15"/>
    </row>
    <row r="1735" spans="2:4" x14ac:dyDescent="0.25">
      <c r="B1735" s="68"/>
      <c r="C1735" s="50"/>
      <c r="D1735" s="15"/>
    </row>
    <row r="1736" spans="2:4" x14ac:dyDescent="0.25">
      <c r="B1736" s="68"/>
      <c r="C1736" s="50"/>
      <c r="D1736" s="15"/>
    </row>
    <row r="1737" spans="2:4" x14ac:dyDescent="0.25">
      <c r="B1737" s="68"/>
      <c r="C1737" s="50"/>
      <c r="D1737" s="15"/>
    </row>
    <row r="1738" spans="2:4" x14ac:dyDescent="0.25">
      <c r="B1738" s="68"/>
      <c r="C1738" s="50"/>
      <c r="D1738" s="15"/>
    </row>
    <row r="1739" spans="2:4" x14ac:dyDescent="0.25">
      <c r="B1739" s="68"/>
      <c r="C1739" s="50"/>
      <c r="D1739" s="15"/>
    </row>
    <row r="1740" spans="2:4" x14ac:dyDescent="0.25">
      <c r="B1740" s="68"/>
      <c r="C1740" s="50"/>
      <c r="D1740" s="15"/>
    </row>
    <row r="1741" spans="2:4" x14ac:dyDescent="0.25">
      <c r="B1741" s="68"/>
      <c r="C1741" s="50"/>
      <c r="D1741" s="15"/>
    </row>
    <row r="1742" spans="2:4" x14ac:dyDescent="0.25">
      <c r="B1742" s="68"/>
      <c r="C1742" s="50"/>
      <c r="D1742" s="15"/>
    </row>
    <row r="1743" spans="2:4" x14ac:dyDescent="0.25">
      <c r="B1743" s="68"/>
      <c r="C1743" s="50"/>
      <c r="D1743" s="15"/>
    </row>
    <row r="1744" spans="2:4" x14ac:dyDescent="0.25">
      <c r="B1744" s="68"/>
      <c r="C1744" s="50"/>
      <c r="D1744" s="15"/>
    </row>
    <row r="1745" spans="2:4" x14ac:dyDescent="0.25">
      <c r="B1745" s="68"/>
      <c r="C1745" s="50"/>
      <c r="D1745" s="15"/>
    </row>
    <row r="1746" spans="2:4" x14ac:dyDescent="0.25">
      <c r="B1746" s="68"/>
      <c r="C1746" s="50"/>
      <c r="D1746" s="15"/>
    </row>
    <row r="1747" spans="2:4" x14ac:dyDescent="0.25">
      <c r="B1747" s="68"/>
      <c r="C1747" s="50"/>
      <c r="D1747" s="15"/>
    </row>
    <row r="1748" spans="2:4" x14ac:dyDescent="0.25">
      <c r="B1748" s="68"/>
      <c r="C1748" s="50"/>
      <c r="D1748" s="15"/>
    </row>
    <row r="1749" spans="2:4" x14ac:dyDescent="0.25">
      <c r="B1749" s="68"/>
      <c r="C1749" s="50"/>
      <c r="D1749" s="15"/>
    </row>
    <row r="1750" spans="2:4" x14ac:dyDescent="0.25">
      <c r="B1750" s="68"/>
      <c r="C1750" s="50"/>
      <c r="D1750" s="15"/>
    </row>
    <row r="1751" spans="2:4" x14ac:dyDescent="0.25">
      <c r="B1751" s="68"/>
      <c r="C1751" s="50"/>
      <c r="D1751" s="15"/>
    </row>
    <row r="1752" spans="2:4" x14ac:dyDescent="0.25">
      <c r="B1752" s="68"/>
      <c r="C1752" s="50"/>
      <c r="D1752" s="15"/>
    </row>
    <row r="1753" spans="2:4" x14ac:dyDescent="0.25">
      <c r="B1753" s="68"/>
      <c r="C1753" s="50"/>
      <c r="D1753" s="15"/>
    </row>
    <row r="1754" spans="2:4" x14ac:dyDescent="0.25">
      <c r="B1754" s="68"/>
      <c r="C1754" s="50"/>
      <c r="D1754" s="15"/>
    </row>
    <row r="1755" spans="2:4" x14ac:dyDescent="0.25">
      <c r="B1755" s="68"/>
      <c r="C1755" s="50"/>
      <c r="D1755" s="15"/>
    </row>
    <row r="1756" spans="2:4" x14ac:dyDescent="0.25">
      <c r="B1756" s="68"/>
      <c r="C1756" s="50"/>
      <c r="D1756" s="15"/>
    </row>
    <row r="1757" spans="2:4" x14ac:dyDescent="0.25">
      <c r="B1757" s="68"/>
      <c r="C1757" s="50"/>
      <c r="D1757" s="15"/>
    </row>
    <row r="1758" spans="2:4" x14ac:dyDescent="0.25">
      <c r="B1758" s="68"/>
      <c r="C1758" s="50"/>
      <c r="D1758" s="15"/>
    </row>
    <row r="1759" spans="2:4" x14ac:dyDescent="0.25">
      <c r="B1759" s="68"/>
      <c r="C1759" s="50"/>
      <c r="D1759" s="15"/>
    </row>
    <row r="1760" spans="2:4" x14ac:dyDescent="0.25">
      <c r="B1760" s="68"/>
      <c r="C1760" s="50"/>
      <c r="D1760" s="15"/>
    </row>
    <row r="1761" spans="2:4" x14ac:dyDescent="0.25">
      <c r="B1761" s="68"/>
      <c r="C1761" s="50"/>
      <c r="D1761" s="15"/>
    </row>
    <row r="1762" spans="2:4" x14ac:dyDescent="0.25">
      <c r="B1762" s="68"/>
      <c r="C1762" s="50"/>
      <c r="D1762" s="15"/>
    </row>
    <row r="1763" spans="2:4" x14ac:dyDescent="0.25">
      <c r="B1763" s="68"/>
      <c r="C1763" s="50"/>
      <c r="D1763" s="15"/>
    </row>
    <row r="1764" spans="2:4" x14ac:dyDescent="0.25">
      <c r="B1764" s="68"/>
      <c r="C1764" s="50"/>
      <c r="D1764" s="15"/>
    </row>
    <row r="1765" spans="2:4" x14ac:dyDescent="0.25">
      <c r="B1765" s="68"/>
      <c r="C1765" s="50"/>
      <c r="D1765" s="15"/>
    </row>
    <row r="1766" spans="2:4" x14ac:dyDescent="0.25">
      <c r="B1766" s="68"/>
      <c r="C1766" s="50"/>
      <c r="D1766" s="15"/>
    </row>
    <row r="1767" spans="2:4" x14ac:dyDescent="0.25">
      <c r="B1767" s="68"/>
      <c r="C1767" s="50"/>
      <c r="D1767" s="15"/>
    </row>
    <row r="1768" spans="2:4" x14ac:dyDescent="0.25">
      <c r="B1768" s="68"/>
      <c r="C1768" s="50"/>
      <c r="D1768" s="15"/>
    </row>
    <row r="1769" spans="2:4" x14ac:dyDescent="0.25">
      <c r="B1769" s="68"/>
      <c r="C1769" s="50"/>
      <c r="D1769" s="15"/>
    </row>
    <row r="1770" spans="2:4" x14ac:dyDescent="0.25">
      <c r="B1770" s="68"/>
      <c r="C1770" s="50"/>
      <c r="D1770" s="15"/>
    </row>
    <row r="1771" spans="2:4" x14ac:dyDescent="0.25">
      <c r="B1771" s="68"/>
      <c r="C1771" s="50"/>
      <c r="D1771" s="15"/>
    </row>
    <row r="1772" spans="2:4" x14ac:dyDescent="0.25">
      <c r="B1772" s="68"/>
      <c r="C1772" s="50"/>
      <c r="D1772" s="15"/>
    </row>
    <row r="1773" spans="2:4" x14ac:dyDescent="0.25">
      <c r="B1773" s="68"/>
      <c r="C1773" s="50"/>
      <c r="D1773" s="15"/>
    </row>
    <row r="1774" spans="2:4" x14ac:dyDescent="0.25">
      <c r="B1774" s="68"/>
      <c r="C1774" s="50"/>
      <c r="D1774" s="15"/>
    </row>
    <row r="1775" spans="2:4" x14ac:dyDescent="0.25">
      <c r="B1775" s="68"/>
      <c r="C1775" s="50"/>
      <c r="D1775" s="15"/>
    </row>
    <row r="1776" spans="2:4" x14ac:dyDescent="0.25">
      <c r="B1776" s="68"/>
      <c r="C1776" s="50"/>
      <c r="D1776" s="15"/>
    </row>
    <row r="1777" spans="2:4" x14ac:dyDescent="0.25">
      <c r="B1777" s="68"/>
      <c r="C1777" s="50"/>
      <c r="D1777" s="15"/>
    </row>
    <row r="1778" spans="2:4" x14ac:dyDescent="0.25">
      <c r="B1778" s="68"/>
      <c r="C1778" s="50"/>
      <c r="D1778" s="15"/>
    </row>
    <row r="1779" spans="2:4" x14ac:dyDescent="0.25">
      <c r="B1779" s="68"/>
      <c r="C1779" s="50"/>
      <c r="D1779" s="15"/>
    </row>
    <row r="1780" spans="2:4" x14ac:dyDescent="0.25">
      <c r="B1780" s="68"/>
      <c r="C1780" s="50"/>
      <c r="D1780" s="15"/>
    </row>
    <row r="1781" spans="2:4" x14ac:dyDescent="0.25">
      <c r="B1781" s="68"/>
      <c r="C1781" s="50"/>
      <c r="D1781" s="15"/>
    </row>
    <row r="1782" spans="2:4" x14ac:dyDescent="0.25">
      <c r="B1782" s="68"/>
      <c r="C1782" s="50"/>
      <c r="D1782" s="15"/>
    </row>
    <row r="1783" spans="2:4" x14ac:dyDescent="0.25">
      <c r="B1783" s="68"/>
      <c r="C1783" s="50"/>
      <c r="D1783" s="15"/>
    </row>
    <row r="1784" spans="2:4" x14ac:dyDescent="0.25">
      <c r="B1784" s="68"/>
      <c r="C1784" s="50"/>
      <c r="D1784" s="15"/>
    </row>
    <row r="1785" spans="2:4" x14ac:dyDescent="0.25">
      <c r="B1785" s="68"/>
      <c r="C1785" s="50"/>
      <c r="D1785" s="15"/>
    </row>
    <row r="1786" spans="2:4" x14ac:dyDescent="0.25">
      <c r="B1786" s="68"/>
      <c r="C1786" s="50"/>
      <c r="D1786" s="15"/>
    </row>
    <row r="1787" spans="2:4" x14ac:dyDescent="0.25">
      <c r="B1787" s="68"/>
      <c r="C1787" s="50"/>
      <c r="D1787" s="15"/>
    </row>
    <row r="1788" spans="2:4" x14ac:dyDescent="0.25">
      <c r="B1788" s="68"/>
      <c r="C1788" s="50"/>
      <c r="D1788" s="15"/>
    </row>
    <row r="1789" spans="2:4" x14ac:dyDescent="0.25">
      <c r="B1789" s="68"/>
      <c r="C1789" s="50"/>
      <c r="D1789" s="15"/>
    </row>
    <row r="1790" spans="2:4" x14ac:dyDescent="0.25">
      <c r="B1790" s="68"/>
      <c r="C1790" s="50"/>
      <c r="D1790" s="15"/>
    </row>
    <row r="1791" spans="2:4" x14ac:dyDescent="0.25">
      <c r="B1791" s="68"/>
      <c r="C1791" s="50"/>
      <c r="D1791" s="15"/>
    </row>
    <row r="1792" spans="2:4" x14ac:dyDescent="0.25">
      <c r="B1792" s="68"/>
      <c r="C1792" s="50"/>
      <c r="D1792" s="15"/>
    </row>
    <row r="1793" spans="2:4" x14ac:dyDescent="0.25">
      <c r="B1793" s="68"/>
      <c r="C1793" s="50"/>
      <c r="D1793" s="15"/>
    </row>
    <row r="1794" spans="2:4" x14ac:dyDescent="0.25">
      <c r="B1794" s="68"/>
      <c r="C1794" s="50"/>
      <c r="D1794" s="15"/>
    </row>
    <row r="1795" spans="2:4" x14ac:dyDescent="0.25">
      <c r="B1795" s="68"/>
      <c r="C1795" s="50"/>
      <c r="D1795" s="15"/>
    </row>
    <row r="1796" spans="2:4" x14ac:dyDescent="0.25">
      <c r="B1796" s="68"/>
      <c r="C1796" s="50"/>
      <c r="D1796" s="15"/>
    </row>
    <row r="1797" spans="2:4" x14ac:dyDescent="0.25">
      <c r="B1797" s="68"/>
      <c r="C1797" s="50"/>
      <c r="D1797" s="15"/>
    </row>
    <row r="1798" spans="2:4" x14ac:dyDescent="0.25">
      <c r="B1798" s="68"/>
      <c r="C1798" s="50"/>
      <c r="D1798" s="15"/>
    </row>
    <row r="1799" spans="2:4" x14ac:dyDescent="0.25">
      <c r="B1799" s="68"/>
      <c r="C1799" s="50"/>
      <c r="D1799" s="15"/>
    </row>
    <row r="1800" spans="2:4" x14ac:dyDescent="0.25">
      <c r="B1800" s="68"/>
      <c r="C1800" s="50"/>
      <c r="D1800" s="15"/>
    </row>
    <row r="1801" spans="2:4" x14ac:dyDescent="0.25">
      <c r="B1801" s="68"/>
      <c r="C1801" s="50"/>
      <c r="D1801" s="15"/>
    </row>
    <row r="1802" spans="2:4" x14ac:dyDescent="0.25">
      <c r="B1802" s="68"/>
      <c r="C1802" s="50"/>
      <c r="D1802" s="15"/>
    </row>
    <row r="1803" spans="2:4" x14ac:dyDescent="0.25">
      <c r="B1803" s="68"/>
      <c r="C1803" s="50"/>
      <c r="D1803" s="15"/>
    </row>
    <row r="1804" spans="2:4" x14ac:dyDescent="0.25">
      <c r="B1804" s="68"/>
      <c r="C1804" s="50"/>
      <c r="D1804" s="15"/>
    </row>
    <row r="1805" spans="2:4" x14ac:dyDescent="0.25">
      <c r="B1805" s="68"/>
      <c r="C1805" s="50"/>
      <c r="D1805" s="15"/>
    </row>
    <row r="1806" spans="2:4" x14ac:dyDescent="0.25">
      <c r="B1806" s="68"/>
      <c r="C1806" s="50"/>
      <c r="D1806" s="15"/>
    </row>
    <row r="1807" spans="2:4" x14ac:dyDescent="0.25">
      <c r="B1807" s="68"/>
      <c r="C1807" s="50"/>
      <c r="D1807" s="15"/>
    </row>
    <row r="1808" spans="2:4" x14ac:dyDescent="0.25">
      <c r="B1808" s="68"/>
      <c r="C1808" s="50"/>
      <c r="D1808" s="15"/>
    </row>
    <row r="1809" spans="2:4" x14ac:dyDescent="0.25">
      <c r="B1809" s="68"/>
      <c r="C1809" s="50"/>
      <c r="D1809" s="15"/>
    </row>
    <row r="1810" spans="2:4" x14ac:dyDescent="0.25">
      <c r="B1810" s="68"/>
      <c r="C1810" s="50"/>
      <c r="D1810" s="15"/>
    </row>
    <row r="1811" spans="2:4" x14ac:dyDescent="0.25">
      <c r="B1811" s="68"/>
      <c r="C1811" s="50"/>
      <c r="D1811" s="15"/>
    </row>
    <row r="1812" spans="2:4" x14ac:dyDescent="0.25">
      <c r="B1812" s="68"/>
      <c r="C1812" s="50"/>
      <c r="D1812" s="15"/>
    </row>
    <row r="1813" spans="2:4" x14ac:dyDescent="0.25">
      <c r="B1813" s="68"/>
      <c r="C1813" s="50"/>
      <c r="D1813" s="15"/>
    </row>
    <row r="1814" spans="2:4" x14ac:dyDescent="0.25">
      <c r="B1814" s="68"/>
      <c r="C1814" s="50"/>
      <c r="D1814" s="15"/>
    </row>
    <row r="1815" spans="2:4" x14ac:dyDescent="0.25">
      <c r="B1815" s="68"/>
      <c r="C1815" s="50"/>
      <c r="D1815" s="15"/>
    </row>
    <row r="1816" spans="2:4" x14ac:dyDescent="0.25">
      <c r="B1816" s="68"/>
      <c r="C1816" s="50"/>
      <c r="D1816" s="15"/>
    </row>
    <row r="1817" spans="2:4" x14ac:dyDescent="0.25">
      <c r="B1817" s="68"/>
      <c r="C1817" s="50"/>
      <c r="D1817" s="15"/>
    </row>
    <row r="1818" spans="2:4" x14ac:dyDescent="0.25">
      <c r="B1818" s="68"/>
      <c r="C1818" s="50"/>
      <c r="D1818" s="15"/>
    </row>
    <row r="1819" spans="2:4" x14ac:dyDescent="0.25">
      <c r="B1819" s="68"/>
      <c r="C1819" s="50"/>
      <c r="D1819" s="15"/>
    </row>
    <row r="1820" spans="2:4" x14ac:dyDescent="0.25">
      <c r="B1820" s="68"/>
      <c r="C1820" s="50"/>
      <c r="D1820" s="15"/>
    </row>
    <row r="1821" spans="2:4" x14ac:dyDescent="0.25">
      <c r="B1821" s="68"/>
      <c r="C1821" s="50"/>
      <c r="D1821" s="15"/>
    </row>
    <row r="1822" spans="2:4" x14ac:dyDescent="0.25">
      <c r="B1822" s="68"/>
      <c r="C1822" s="50"/>
      <c r="D1822" s="15"/>
    </row>
    <row r="1823" spans="2:4" x14ac:dyDescent="0.25">
      <c r="B1823" s="68"/>
      <c r="C1823" s="50"/>
      <c r="D1823" s="15"/>
    </row>
    <row r="1824" spans="2:4" x14ac:dyDescent="0.25">
      <c r="B1824" s="68"/>
      <c r="C1824" s="50"/>
      <c r="D1824" s="15"/>
    </row>
    <row r="1825" spans="2:4" x14ac:dyDescent="0.25">
      <c r="B1825" s="68"/>
      <c r="C1825" s="50"/>
      <c r="D1825" s="15"/>
    </row>
    <row r="1826" spans="2:4" x14ac:dyDescent="0.25">
      <c r="B1826" s="68"/>
      <c r="C1826" s="50"/>
      <c r="D1826" s="15"/>
    </row>
    <row r="1827" spans="2:4" x14ac:dyDescent="0.25">
      <c r="B1827" s="68"/>
      <c r="C1827" s="50"/>
      <c r="D1827" s="15"/>
    </row>
    <row r="1828" spans="2:4" x14ac:dyDescent="0.25">
      <c r="B1828" s="68"/>
      <c r="C1828" s="50"/>
      <c r="D1828" s="15"/>
    </row>
    <row r="1829" spans="2:4" x14ac:dyDescent="0.25">
      <c r="B1829" s="68"/>
      <c r="C1829" s="50"/>
      <c r="D1829" s="15"/>
    </row>
    <row r="1830" spans="2:4" x14ac:dyDescent="0.25">
      <c r="B1830" s="68"/>
      <c r="C1830" s="50"/>
      <c r="D1830" s="15"/>
    </row>
    <row r="1831" spans="2:4" x14ac:dyDescent="0.25">
      <c r="B1831" s="68"/>
      <c r="C1831" s="50"/>
      <c r="D1831" s="15"/>
    </row>
    <row r="1832" spans="2:4" x14ac:dyDescent="0.25">
      <c r="B1832" s="68"/>
      <c r="C1832" s="50"/>
      <c r="D1832" s="15"/>
    </row>
    <row r="1833" spans="2:4" x14ac:dyDescent="0.25">
      <c r="B1833" s="68"/>
      <c r="C1833" s="50"/>
      <c r="D1833" s="15"/>
    </row>
    <row r="1834" spans="2:4" x14ac:dyDescent="0.25">
      <c r="B1834" s="68"/>
      <c r="C1834" s="50"/>
      <c r="D1834" s="15"/>
    </row>
    <row r="1835" spans="2:4" x14ac:dyDescent="0.25">
      <c r="B1835" s="68"/>
      <c r="C1835" s="50"/>
      <c r="D1835" s="15"/>
    </row>
    <row r="1836" spans="2:4" x14ac:dyDescent="0.25">
      <c r="B1836" s="68"/>
      <c r="C1836" s="50"/>
      <c r="D1836" s="15"/>
    </row>
    <row r="1837" spans="2:4" x14ac:dyDescent="0.25">
      <c r="B1837" s="68"/>
      <c r="C1837" s="50"/>
      <c r="D1837" s="15"/>
    </row>
    <row r="1838" spans="2:4" x14ac:dyDescent="0.25">
      <c r="B1838" s="68"/>
      <c r="C1838" s="50"/>
      <c r="D1838" s="15"/>
    </row>
    <row r="1839" spans="2:4" x14ac:dyDescent="0.25">
      <c r="B1839" s="68"/>
      <c r="C1839" s="50"/>
      <c r="D1839" s="15"/>
    </row>
    <row r="1840" spans="2:4" x14ac:dyDescent="0.25">
      <c r="B1840" s="68"/>
      <c r="C1840" s="50"/>
      <c r="D1840" s="15"/>
    </row>
    <row r="1841" spans="2:4" x14ac:dyDescent="0.25">
      <c r="B1841" s="68"/>
      <c r="C1841" s="50"/>
      <c r="D1841" s="15"/>
    </row>
    <row r="1842" spans="2:4" x14ac:dyDescent="0.25">
      <c r="B1842" s="68"/>
      <c r="C1842" s="50"/>
      <c r="D1842" s="15"/>
    </row>
    <row r="1843" spans="2:4" x14ac:dyDescent="0.25">
      <c r="B1843" s="68"/>
      <c r="C1843" s="50"/>
      <c r="D1843" s="15"/>
    </row>
    <row r="1844" spans="2:4" x14ac:dyDescent="0.25">
      <c r="B1844" s="68"/>
      <c r="C1844" s="50"/>
      <c r="D1844" s="15"/>
    </row>
    <row r="1845" spans="2:4" x14ac:dyDescent="0.25">
      <c r="B1845" s="68"/>
      <c r="C1845" s="50"/>
      <c r="D1845" s="15"/>
    </row>
    <row r="1846" spans="2:4" x14ac:dyDescent="0.25">
      <c r="B1846" s="68"/>
      <c r="C1846" s="50"/>
      <c r="D1846" s="15"/>
    </row>
    <row r="1847" spans="2:4" x14ac:dyDescent="0.25">
      <c r="B1847" s="68"/>
      <c r="C1847" s="50"/>
      <c r="D1847" s="15"/>
    </row>
    <row r="1848" spans="2:4" x14ac:dyDescent="0.25">
      <c r="B1848" s="68"/>
      <c r="C1848" s="50"/>
      <c r="D1848" s="15"/>
    </row>
    <row r="1849" spans="2:4" x14ac:dyDescent="0.25">
      <c r="B1849" s="68"/>
      <c r="C1849" s="50"/>
      <c r="D1849" s="15"/>
    </row>
    <row r="1850" spans="2:4" x14ac:dyDescent="0.25">
      <c r="B1850" s="68"/>
      <c r="C1850" s="50"/>
      <c r="D1850" s="15"/>
    </row>
    <row r="1851" spans="2:4" x14ac:dyDescent="0.25">
      <c r="B1851" s="68"/>
      <c r="C1851" s="50"/>
      <c r="D1851" s="15"/>
    </row>
    <row r="1852" spans="2:4" x14ac:dyDescent="0.25">
      <c r="B1852" s="68"/>
      <c r="C1852" s="50"/>
      <c r="D1852" s="15"/>
    </row>
    <row r="1853" spans="2:4" x14ac:dyDescent="0.25">
      <c r="B1853" s="68"/>
      <c r="C1853" s="50"/>
      <c r="D1853" s="15"/>
    </row>
    <row r="1854" spans="2:4" x14ac:dyDescent="0.25">
      <c r="B1854" s="68"/>
      <c r="C1854" s="50"/>
      <c r="D1854" s="15"/>
    </row>
    <row r="1855" spans="2:4" x14ac:dyDescent="0.25">
      <c r="B1855" s="68"/>
      <c r="C1855" s="50"/>
      <c r="D1855" s="15"/>
    </row>
    <row r="1856" spans="2:4" x14ac:dyDescent="0.25">
      <c r="B1856" s="68"/>
      <c r="C1856" s="50"/>
      <c r="D1856" s="15"/>
    </row>
    <row r="1857" spans="2:4" x14ac:dyDescent="0.25">
      <c r="B1857" s="68"/>
      <c r="C1857" s="50"/>
      <c r="D1857" s="15"/>
    </row>
    <row r="1858" spans="2:4" x14ac:dyDescent="0.25">
      <c r="B1858" s="68"/>
      <c r="C1858" s="50"/>
      <c r="D1858" s="15"/>
    </row>
    <row r="1859" spans="2:4" x14ac:dyDescent="0.25">
      <c r="B1859" s="68"/>
      <c r="C1859" s="50"/>
      <c r="D1859" s="15"/>
    </row>
    <row r="1860" spans="2:4" x14ac:dyDescent="0.25">
      <c r="B1860" s="68"/>
      <c r="C1860" s="50"/>
      <c r="D1860" s="15"/>
    </row>
    <row r="1861" spans="2:4" x14ac:dyDescent="0.25">
      <c r="B1861" s="68"/>
      <c r="C1861" s="50"/>
      <c r="D1861" s="15"/>
    </row>
    <row r="1862" spans="2:4" x14ac:dyDescent="0.25">
      <c r="B1862" s="68"/>
      <c r="C1862" s="50"/>
      <c r="D1862" s="15"/>
    </row>
    <row r="1863" spans="2:4" x14ac:dyDescent="0.25">
      <c r="B1863" s="68"/>
      <c r="C1863" s="50"/>
      <c r="D1863" s="15"/>
    </row>
    <row r="1864" spans="2:4" x14ac:dyDescent="0.25">
      <c r="B1864" s="68"/>
      <c r="C1864" s="50"/>
      <c r="D1864" s="15"/>
    </row>
    <row r="1865" spans="2:4" x14ac:dyDescent="0.25">
      <c r="B1865" s="68"/>
      <c r="C1865" s="50"/>
      <c r="D1865" s="15"/>
    </row>
    <row r="1866" spans="2:4" x14ac:dyDescent="0.25">
      <c r="B1866" s="68"/>
      <c r="C1866" s="50"/>
      <c r="D1866" s="15"/>
    </row>
    <row r="1867" spans="2:4" x14ac:dyDescent="0.25">
      <c r="B1867" s="68"/>
      <c r="C1867" s="50"/>
      <c r="D1867" s="15"/>
    </row>
    <row r="1868" spans="2:4" x14ac:dyDescent="0.25">
      <c r="B1868" s="68"/>
      <c r="C1868" s="50"/>
      <c r="D1868" s="15"/>
    </row>
    <row r="1869" spans="2:4" x14ac:dyDescent="0.25">
      <c r="B1869" s="68"/>
      <c r="C1869" s="50"/>
      <c r="D1869" s="15"/>
    </row>
    <row r="1870" spans="2:4" x14ac:dyDescent="0.25">
      <c r="B1870" s="68"/>
      <c r="C1870" s="50"/>
      <c r="D1870" s="15"/>
    </row>
    <row r="1871" spans="2:4" x14ac:dyDescent="0.25">
      <c r="B1871" s="68"/>
      <c r="C1871" s="50"/>
      <c r="D1871" s="15"/>
    </row>
    <row r="1872" spans="2:4" x14ac:dyDescent="0.25">
      <c r="B1872" s="68"/>
      <c r="C1872" s="50"/>
      <c r="D1872" s="15"/>
    </row>
    <row r="1873" spans="2:4" x14ac:dyDescent="0.25">
      <c r="B1873" s="68"/>
      <c r="C1873" s="50"/>
      <c r="D1873" s="15"/>
    </row>
    <row r="1874" spans="2:4" x14ac:dyDescent="0.25">
      <c r="B1874" s="68"/>
      <c r="C1874" s="50"/>
      <c r="D1874" s="15"/>
    </row>
    <row r="1875" spans="2:4" x14ac:dyDescent="0.25">
      <c r="B1875" s="68"/>
      <c r="C1875" s="50"/>
      <c r="D1875" s="15"/>
    </row>
    <row r="1876" spans="2:4" x14ac:dyDescent="0.25">
      <c r="B1876" s="68"/>
      <c r="C1876" s="50"/>
      <c r="D1876" s="15"/>
    </row>
    <row r="1877" spans="2:4" x14ac:dyDescent="0.25">
      <c r="B1877" s="68"/>
      <c r="C1877" s="50"/>
      <c r="D1877" s="15"/>
    </row>
    <row r="1878" spans="2:4" x14ac:dyDescent="0.25">
      <c r="B1878" s="68"/>
      <c r="C1878" s="50"/>
      <c r="D1878" s="15"/>
    </row>
    <row r="1879" spans="2:4" x14ac:dyDescent="0.25">
      <c r="B1879" s="68"/>
      <c r="C1879" s="50"/>
      <c r="D1879" s="15"/>
    </row>
    <row r="1880" spans="2:4" x14ac:dyDescent="0.25">
      <c r="B1880" s="68"/>
      <c r="C1880" s="50"/>
      <c r="D1880" s="15"/>
    </row>
    <row r="1881" spans="2:4" x14ac:dyDescent="0.25">
      <c r="B1881" s="68"/>
      <c r="C1881" s="50"/>
      <c r="D1881" s="15"/>
    </row>
    <row r="1882" spans="2:4" x14ac:dyDescent="0.25">
      <c r="B1882" s="68"/>
      <c r="C1882" s="50"/>
      <c r="D1882" s="15"/>
    </row>
    <row r="1883" spans="2:4" x14ac:dyDescent="0.25">
      <c r="B1883" s="68"/>
      <c r="C1883" s="50"/>
      <c r="D1883" s="15"/>
    </row>
    <row r="1884" spans="2:4" x14ac:dyDescent="0.25">
      <c r="B1884" s="68"/>
      <c r="C1884" s="50"/>
      <c r="D1884" s="15"/>
    </row>
    <row r="1885" spans="2:4" x14ac:dyDescent="0.25">
      <c r="B1885" s="68"/>
      <c r="C1885" s="50"/>
      <c r="D1885" s="15"/>
    </row>
    <row r="1886" spans="2:4" x14ac:dyDescent="0.25">
      <c r="B1886" s="68"/>
      <c r="C1886" s="50"/>
      <c r="D1886" s="15"/>
    </row>
    <row r="1887" spans="2:4" x14ac:dyDescent="0.25">
      <c r="B1887" s="68"/>
      <c r="C1887" s="50"/>
      <c r="D1887" s="15"/>
    </row>
    <row r="1888" spans="2:4" x14ac:dyDescent="0.25">
      <c r="B1888" s="68"/>
      <c r="C1888" s="50"/>
      <c r="D1888" s="15"/>
    </row>
    <row r="1889" spans="2:4" x14ac:dyDescent="0.25">
      <c r="B1889" s="68"/>
      <c r="C1889" s="50"/>
      <c r="D1889" s="15"/>
    </row>
    <row r="1890" spans="2:4" x14ac:dyDescent="0.25">
      <c r="B1890" s="68"/>
      <c r="C1890" s="50"/>
      <c r="D1890" s="15"/>
    </row>
    <row r="1891" spans="2:4" x14ac:dyDescent="0.25">
      <c r="B1891" s="68"/>
      <c r="C1891" s="50"/>
      <c r="D1891" s="15"/>
    </row>
    <row r="1892" spans="2:4" x14ac:dyDescent="0.25">
      <c r="B1892" s="68"/>
      <c r="C1892" s="50"/>
      <c r="D1892" s="15"/>
    </row>
    <row r="1893" spans="2:4" x14ac:dyDescent="0.25">
      <c r="B1893" s="68"/>
      <c r="C1893" s="50"/>
      <c r="D1893" s="15"/>
    </row>
    <row r="1894" spans="2:4" x14ac:dyDescent="0.25">
      <c r="B1894" s="68"/>
      <c r="C1894" s="50"/>
      <c r="D1894" s="15"/>
    </row>
    <row r="1895" spans="2:4" x14ac:dyDescent="0.25">
      <c r="B1895" s="68"/>
      <c r="C1895" s="50"/>
      <c r="D1895" s="15"/>
    </row>
    <row r="1896" spans="2:4" x14ac:dyDescent="0.25">
      <c r="B1896" s="68"/>
      <c r="C1896" s="50"/>
      <c r="D1896" s="15"/>
    </row>
    <row r="1897" spans="2:4" x14ac:dyDescent="0.25">
      <c r="B1897" s="68"/>
      <c r="C1897" s="50"/>
      <c r="D1897" s="15"/>
    </row>
    <row r="1898" spans="2:4" x14ac:dyDescent="0.25">
      <c r="B1898" s="68"/>
      <c r="C1898" s="50"/>
      <c r="D1898" s="15"/>
    </row>
    <row r="1899" spans="2:4" x14ac:dyDescent="0.25">
      <c r="B1899" s="68"/>
      <c r="C1899" s="50"/>
      <c r="D1899" s="15"/>
    </row>
    <row r="1900" spans="2:4" x14ac:dyDescent="0.25">
      <c r="B1900" s="68"/>
      <c r="C1900" s="50"/>
      <c r="D1900" s="15"/>
    </row>
    <row r="1901" spans="2:4" x14ac:dyDescent="0.25">
      <c r="B1901" s="68"/>
      <c r="C1901" s="50"/>
      <c r="D1901" s="15"/>
    </row>
    <row r="1902" spans="2:4" x14ac:dyDescent="0.25">
      <c r="B1902" s="68"/>
      <c r="C1902" s="50"/>
      <c r="D1902" s="15"/>
    </row>
    <row r="1903" spans="2:4" x14ac:dyDescent="0.25">
      <c r="B1903" s="68"/>
      <c r="C1903" s="50"/>
      <c r="D1903" s="15"/>
    </row>
    <row r="1904" spans="2:4" x14ac:dyDescent="0.25">
      <c r="B1904" s="68"/>
      <c r="C1904" s="50"/>
      <c r="D1904" s="15"/>
    </row>
    <row r="1905" spans="2:4" x14ac:dyDescent="0.25">
      <c r="B1905" s="68"/>
      <c r="C1905" s="50"/>
      <c r="D1905" s="15"/>
    </row>
    <row r="1906" spans="2:4" x14ac:dyDescent="0.25">
      <c r="B1906" s="68"/>
      <c r="C1906" s="50"/>
      <c r="D1906" s="15"/>
    </row>
    <row r="1907" spans="2:4" x14ac:dyDescent="0.25">
      <c r="B1907" s="68"/>
      <c r="C1907" s="50"/>
      <c r="D1907" s="15"/>
    </row>
    <row r="1908" spans="2:4" x14ac:dyDescent="0.25">
      <c r="B1908" s="68"/>
      <c r="C1908" s="50"/>
      <c r="D1908" s="15"/>
    </row>
    <row r="1909" spans="2:4" x14ac:dyDescent="0.25">
      <c r="B1909" s="68"/>
      <c r="C1909" s="50"/>
      <c r="D1909" s="15"/>
    </row>
    <row r="1910" spans="2:4" x14ac:dyDescent="0.25">
      <c r="B1910" s="68"/>
      <c r="C1910" s="50"/>
      <c r="D1910" s="15"/>
    </row>
    <row r="1911" spans="2:4" x14ac:dyDescent="0.25">
      <c r="B1911" s="68"/>
      <c r="C1911" s="50"/>
      <c r="D1911" s="15"/>
    </row>
    <row r="1912" spans="2:4" x14ac:dyDescent="0.25">
      <c r="B1912" s="68"/>
      <c r="C1912" s="50"/>
      <c r="D1912" s="15"/>
    </row>
    <row r="1913" spans="2:4" x14ac:dyDescent="0.25">
      <c r="B1913" s="68"/>
      <c r="C1913" s="50"/>
      <c r="D1913" s="15"/>
    </row>
    <row r="1914" spans="2:4" x14ac:dyDescent="0.25">
      <c r="B1914" s="68"/>
      <c r="C1914" s="50"/>
      <c r="D1914" s="15"/>
    </row>
    <row r="1915" spans="2:4" x14ac:dyDescent="0.25">
      <c r="B1915" s="68"/>
      <c r="C1915" s="50"/>
      <c r="D1915" s="15"/>
    </row>
    <row r="1916" spans="2:4" x14ac:dyDescent="0.25">
      <c r="B1916" s="68"/>
      <c r="C1916" s="50"/>
      <c r="D1916" s="15"/>
    </row>
    <row r="1917" spans="2:4" x14ac:dyDescent="0.25">
      <c r="B1917" s="68"/>
      <c r="C1917" s="50"/>
      <c r="D1917" s="15"/>
    </row>
    <row r="1918" spans="2:4" x14ac:dyDescent="0.25">
      <c r="B1918" s="68"/>
      <c r="C1918" s="50"/>
      <c r="D1918" s="15"/>
    </row>
    <row r="1919" spans="2:4" x14ac:dyDescent="0.25">
      <c r="B1919" s="68"/>
      <c r="C1919" s="50"/>
      <c r="D1919" s="15"/>
    </row>
    <row r="1920" spans="2:4" x14ac:dyDescent="0.25">
      <c r="B1920" s="68"/>
      <c r="C1920" s="50"/>
      <c r="D1920" s="15"/>
    </row>
    <row r="1921" spans="2:4" x14ac:dyDescent="0.25">
      <c r="B1921" s="68"/>
      <c r="C1921" s="50"/>
      <c r="D1921" s="15"/>
    </row>
    <row r="1922" spans="2:4" x14ac:dyDescent="0.25">
      <c r="B1922" s="68"/>
      <c r="C1922" s="50"/>
      <c r="D1922" s="15"/>
    </row>
    <row r="1923" spans="2:4" x14ac:dyDescent="0.25">
      <c r="B1923" s="68"/>
      <c r="C1923" s="50"/>
      <c r="D1923" s="15"/>
    </row>
    <row r="1924" spans="2:4" x14ac:dyDescent="0.25">
      <c r="B1924" s="68"/>
      <c r="C1924" s="50"/>
      <c r="D1924" s="15"/>
    </row>
    <row r="1925" spans="2:4" x14ac:dyDescent="0.25">
      <c r="B1925" s="68"/>
      <c r="C1925" s="50"/>
      <c r="D1925" s="15"/>
    </row>
    <row r="1926" spans="2:4" x14ac:dyDescent="0.25">
      <c r="B1926" s="68"/>
      <c r="C1926" s="50"/>
      <c r="D1926" s="15"/>
    </row>
    <row r="1927" spans="2:4" x14ac:dyDescent="0.25">
      <c r="B1927" s="68"/>
      <c r="C1927" s="50"/>
      <c r="D1927" s="15"/>
    </row>
    <row r="1928" spans="2:4" x14ac:dyDescent="0.25">
      <c r="B1928" s="68"/>
      <c r="C1928" s="50"/>
      <c r="D1928" s="15"/>
    </row>
    <row r="1929" spans="2:4" x14ac:dyDescent="0.25">
      <c r="B1929" s="68"/>
      <c r="C1929" s="50"/>
      <c r="D1929" s="15"/>
    </row>
    <row r="1930" spans="2:4" x14ac:dyDescent="0.25">
      <c r="B1930" s="68"/>
      <c r="C1930" s="50"/>
      <c r="D1930" s="15"/>
    </row>
    <row r="1931" spans="2:4" x14ac:dyDescent="0.25">
      <c r="B1931" s="68"/>
      <c r="C1931" s="50"/>
      <c r="D1931" s="15"/>
    </row>
    <row r="1932" spans="2:4" x14ac:dyDescent="0.25">
      <c r="B1932" s="68"/>
      <c r="C1932" s="50"/>
      <c r="D1932" s="15"/>
    </row>
    <row r="1933" spans="2:4" x14ac:dyDescent="0.25">
      <c r="B1933" s="68"/>
      <c r="C1933" s="50"/>
      <c r="D1933" s="15"/>
    </row>
    <row r="1934" spans="2:4" x14ac:dyDescent="0.25">
      <c r="B1934" s="68"/>
      <c r="C1934" s="50"/>
      <c r="D1934" s="15"/>
    </row>
    <row r="1935" spans="2:4" x14ac:dyDescent="0.25">
      <c r="B1935" s="68"/>
      <c r="C1935" s="50"/>
      <c r="D1935" s="15"/>
    </row>
    <row r="1936" spans="2:4" x14ac:dyDescent="0.25">
      <c r="B1936" s="68"/>
      <c r="C1936" s="50"/>
      <c r="D1936" s="15"/>
    </row>
    <row r="1937" spans="2:4" x14ac:dyDescent="0.25">
      <c r="B1937" s="68"/>
      <c r="C1937" s="50"/>
      <c r="D1937" s="15"/>
    </row>
    <row r="1938" spans="2:4" x14ac:dyDescent="0.25">
      <c r="B1938" s="68"/>
      <c r="C1938" s="50"/>
      <c r="D1938" s="15"/>
    </row>
    <row r="1939" spans="2:4" x14ac:dyDescent="0.25">
      <c r="B1939" s="68"/>
      <c r="C1939" s="50"/>
      <c r="D1939" s="15"/>
    </row>
    <row r="1940" spans="2:4" x14ac:dyDescent="0.25">
      <c r="B1940" s="68"/>
      <c r="C1940" s="50"/>
      <c r="D1940" s="15"/>
    </row>
    <row r="1941" spans="2:4" x14ac:dyDescent="0.25">
      <c r="B1941" s="68"/>
      <c r="C1941" s="50"/>
      <c r="D1941" s="15"/>
    </row>
    <row r="1942" spans="2:4" x14ac:dyDescent="0.25">
      <c r="B1942" s="68"/>
      <c r="C1942" s="50"/>
      <c r="D1942" s="15"/>
    </row>
    <row r="1943" spans="2:4" x14ac:dyDescent="0.25">
      <c r="B1943" s="68"/>
      <c r="C1943" s="50"/>
      <c r="D1943" s="15"/>
    </row>
    <row r="1944" spans="2:4" x14ac:dyDescent="0.25">
      <c r="B1944" s="68"/>
      <c r="C1944" s="50"/>
      <c r="D1944" s="15"/>
    </row>
    <row r="1945" spans="2:4" x14ac:dyDescent="0.25">
      <c r="B1945" s="68"/>
      <c r="C1945" s="50"/>
      <c r="D1945" s="15"/>
    </row>
    <row r="1946" spans="2:4" x14ac:dyDescent="0.25">
      <c r="B1946" s="68"/>
      <c r="C1946" s="50"/>
      <c r="D1946" s="15"/>
    </row>
    <row r="1947" spans="2:4" x14ac:dyDescent="0.25">
      <c r="B1947" s="68"/>
      <c r="C1947" s="50"/>
      <c r="D1947" s="15"/>
    </row>
    <row r="1948" spans="2:4" x14ac:dyDescent="0.25">
      <c r="B1948" s="68"/>
      <c r="C1948" s="50"/>
      <c r="D1948" s="15"/>
    </row>
    <row r="1949" spans="2:4" x14ac:dyDescent="0.25">
      <c r="B1949" s="68"/>
      <c r="C1949" s="50"/>
      <c r="D1949" s="15"/>
    </row>
    <row r="1950" spans="2:4" x14ac:dyDescent="0.25">
      <c r="B1950" s="68"/>
      <c r="C1950" s="50"/>
      <c r="D1950" s="15"/>
    </row>
    <row r="1951" spans="2:4" x14ac:dyDescent="0.25">
      <c r="B1951" s="68"/>
      <c r="C1951" s="50"/>
      <c r="D1951" s="15"/>
    </row>
    <row r="1952" spans="2:4" x14ac:dyDescent="0.25">
      <c r="B1952" s="68"/>
      <c r="C1952" s="50"/>
      <c r="D1952" s="15"/>
    </row>
    <row r="1953" spans="2:4" x14ac:dyDescent="0.25">
      <c r="B1953" s="68"/>
      <c r="C1953" s="50"/>
      <c r="D1953" s="15"/>
    </row>
    <row r="1954" spans="2:4" x14ac:dyDescent="0.25">
      <c r="B1954" s="68"/>
      <c r="C1954" s="50"/>
      <c r="D1954" s="15"/>
    </row>
    <row r="1955" spans="2:4" x14ac:dyDescent="0.25">
      <c r="B1955" s="68"/>
      <c r="C1955" s="50"/>
      <c r="D1955" s="15"/>
    </row>
    <row r="1956" spans="2:4" x14ac:dyDescent="0.25">
      <c r="B1956" s="68"/>
      <c r="C1956" s="50"/>
      <c r="D1956" s="15"/>
    </row>
    <row r="1957" spans="2:4" x14ac:dyDescent="0.25">
      <c r="B1957" s="68"/>
      <c r="C1957" s="50"/>
      <c r="D1957" s="15"/>
    </row>
    <row r="1958" spans="2:4" x14ac:dyDescent="0.25">
      <c r="B1958" s="68"/>
      <c r="C1958" s="50"/>
      <c r="D1958" s="15"/>
    </row>
    <row r="1959" spans="2:4" x14ac:dyDescent="0.25">
      <c r="B1959" s="68"/>
      <c r="C1959" s="50"/>
      <c r="D1959" s="15"/>
    </row>
    <row r="1960" spans="2:4" x14ac:dyDescent="0.25">
      <c r="B1960" s="68"/>
      <c r="C1960" s="50"/>
      <c r="D1960" s="15"/>
    </row>
    <row r="1961" spans="2:4" x14ac:dyDescent="0.25">
      <c r="B1961" s="68"/>
      <c r="C1961" s="50"/>
      <c r="D1961" s="15"/>
    </row>
    <row r="1962" spans="2:4" x14ac:dyDescent="0.25">
      <c r="B1962" s="68"/>
      <c r="C1962" s="50"/>
      <c r="D1962" s="15"/>
    </row>
    <row r="1963" spans="2:4" x14ac:dyDescent="0.25">
      <c r="B1963" s="68"/>
      <c r="C1963" s="50"/>
      <c r="D1963" s="15"/>
    </row>
    <row r="1964" spans="2:4" x14ac:dyDescent="0.25">
      <c r="B1964" s="68"/>
      <c r="C1964" s="50"/>
      <c r="D1964" s="15"/>
    </row>
    <row r="1965" spans="2:4" x14ac:dyDescent="0.25">
      <c r="B1965" s="68"/>
      <c r="C1965" s="50"/>
      <c r="D1965" s="15"/>
    </row>
    <row r="1966" spans="2:4" x14ac:dyDescent="0.25">
      <c r="B1966" s="68"/>
      <c r="C1966" s="50"/>
      <c r="D1966" s="15"/>
    </row>
    <row r="1967" spans="2:4" x14ac:dyDescent="0.25">
      <c r="B1967" s="68"/>
      <c r="C1967" s="50"/>
      <c r="D1967" s="15"/>
    </row>
    <row r="1968" spans="2:4" x14ac:dyDescent="0.25">
      <c r="B1968" s="68"/>
      <c r="C1968" s="50"/>
      <c r="D1968" s="15"/>
    </row>
    <row r="1969" spans="2:4" x14ac:dyDescent="0.25">
      <c r="B1969" s="68"/>
      <c r="C1969" s="50"/>
      <c r="D1969" s="15"/>
    </row>
    <row r="1970" spans="2:4" x14ac:dyDescent="0.25">
      <c r="B1970" s="68"/>
      <c r="C1970" s="50"/>
      <c r="D1970" s="15"/>
    </row>
    <row r="1971" spans="2:4" x14ac:dyDescent="0.25">
      <c r="B1971" s="68"/>
      <c r="C1971" s="50"/>
      <c r="D1971" s="15"/>
    </row>
    <row r="1972" spans="2:4" x14ac:dyDescent="0.25">
      <c r="B1972" s="68"/>
      <c r="C1972" s="50"/>
      <c r="D1972" s="15"/>
    </row>
    <row r="1973" spans="2:4" x14ac:dyDescent="0.25">
      <c r="B1973" s="68"/>
      <c r="C1973" s="50"/>
      <c r="D1973" s="15"/>
    </row>
    <row r="1974" spans="2:4" x14ac:dyDescent="0.25">
      <c r="B1974" s="68"/>
      <c r="C1974" s="50"/>
      <c r="D1974" s="15"/>
    </row>
    <row r="1975" spans="2:4" x14ac:dyDescent="0.25">
      <c r="B1975" s="68"/>
      <c r="C1975" s="50"/>
      <c r="D1975" s="15"/>
    </row>
    <row r="1976" spans="2:4" x14ac:dyDescent="0.25">
      <c r="B1976" s="68"/>
      <c r="C1976" s="50"/>
      <c r="D1976" s="15"/>
    </row>
    <row r="1977" spans="2:4" x14ac:dyDescent="0.25">
      <c r="B1977" s="68"/>
      <c r="C1977" s="50"/>
      <c r="D1977" s="15"/>
    </row>
    <row r="1978" spans="2:4" x14ac:dyDescent="0.25">
      <c r="B1978" s="68"/>
      <c r="C1978" s="50"/>
      <c r="D1978" s="15"/>
    </row>
    <row r="1979" spans="2:4" x14ac:dyDescent="0.25">
      <c r="B1979" s="68"/>
      <c r="C1979" s="50"/>
      <c r="D1979" s="15"/>
    </row>
    <row r="1980" spans="2:4" x14ac:dyDescent="0.25">
      <c r="B1980" s="68"/>
      <c r="C1980" s="50"/>
      <c r="D1980" s="15"/>
    </row>
    <row r="1981" spans="2:4" x14ac:dyDescent="0.25">
      <c r="B1981" s="68"/>
      <c r="C1981" s="50"/>
      <c r="D1981" s="15"/>
    </row>
    <row r="1982" spans="2:4" x14ac:dyDescent="0.25">
      <c r="B1982" s="68"/>
      <c r="C1982" s="50"/>
      <c r="D1982" s="15"/>
    </row>
    <row r="1983" spans="2:4" x14ac:dyDescent="0.25">
      <c r="B1983" s="68"/>
      <c r="C1983" s="50"/>
      <c r="D1983" s="15"/>
    </row>
    <row r="1984" spans="2:4" x14ac:dyDescent="0.25">
      <c r="B1984" s="68"/>
      <c r="C1984" s="50"/>
      <c r="D1984" s="15"/>
    </row>
    <row r="1985" spans="2:4" x14ac:dyDescent="0.25">
      <c r="B1985" s="68"/>
      <c r="C1985" s="50"/>
      <c r="D1985" s="15"/>
    </row>
    <row r="1986" spans="2:4" x14ac:dyDescent="0.25">
      <c r="B1986" s="68"/>
      <c r="C1986" s="50"/>
      <c r="D1986" s="15"/>
    </row>
    <row r="1987" spans="2:4" x14ac:dyDescent="0.25">
      <c r="B1987" s="68"/>
      <c r="C1987" s="50"/>
      <c r="D1987" s="15"/>
    </row>
    <row r="1988" spans="2:4" x14ac:dyDescent="0.25">
      <c r="B1988" s="68"/>
      <c r="C1988" s="50"/>
      <c r="D1988" s="15"/>
    </row>
    <row r="1989" spans="2:4" x14ac:dyDescent="0.25">
      <c r="B1989" s="68"/>
      <c r="C1989" s="50"/>
      <c r="D1989" s="15"/>
    </row>
    <row r="1990" spans="2:4" x14ac:dyDescent="0.25">
      <c r="B1990" s="68"/>
      <c r="C1990" s="50"/>
      <c r="D1990" s="15"/>
    </row>
    <row r="1991" spans="2:4" x14ac:dyDescent="0.25">
      <c r="B1991" s="68"/>
      <c r="C1991" s="50"/>
      <c r="D1991" s="15"/>
    </row>
    <row r="1992" spans="2:4" x14ac:dyDescent="0.25">
      <c r="B1992" s="68"/>
      <c r="C1992" s="50"/>
      <c r="D1992" s="15"/>
    </row>
    <row r="1993" spans="2:4" x14ac:dyDescent="0.25">
      <c r="B1993" s="68"/>
      <c r="C1993" s="50"/>
      <c r="D1993" s="15"/>
    </row>
    <row r="1994" spans="2:4" x14ac:dyDescent="0.25">
      <c r="B1994" s="68"/>
      <c r="C1994" s="50"/>
      <c r="D1994" s="15"/>
    </row>
    <row r="1995" spans="2:4" x14ac:dyDescent="0.25">
      <c r="B1995" s="68"/>
      <c r="C1995" s="50"/>
      <c r="D1995" s="15"/>
    </row>
    <row r="1996" spans="2:4" x14ac:dyDescent="0.25">
      <c r="B1996" s="68"/>
      <c r="C1996" s="50"/>
      <c r="D1996" s="15"/>
    </row>
    <row r="1997" spans="2:4" x14ac:dyDescent="0.25">
      <c r="B1997" s="68"/>
      <c r="C1997" s="50"/>
      <c r="D1997" s="15"/>
    </row>
    <row r="1998" spans="2:4" x14ac:dyDescent="0.25">
      <c r="B1998" s="68"/>
      <c r="C1998" s="50"/>
      <c r="D1998" s="15"/>
    </row>
    <row r="1999" spans="2:4" x14ac:dyDescent="0.25">
      <c r="B1999" s="68"/>
      <c r="C1999" s="50"/>
      <c r="D1999" s="15"/>
    </row>
    <row r="2000" spans="2:4" x14ac:dyDescent="0.25">
      <c r="B2000" s="68"/>
      <c r="C2000" s="50"/>
      <c r="D2000" s="15"/>
    </row>
    <row r="2001" spans="2:4" x14ac:dyDescent="0.25">
      <c r="B2001" s="68"/>
      <c r="C2001" s="50"/>
      <c r="D2001" s="15"/>
    </row>
    <row r="2002" spans="2:4" x14ac:dyDescent="0.25">
      <c r="B2002" s="68"/>
      <c r="C2002" s="50"/>
      <c r="D2002" s="15"/>
    </row>
    <row r="2003" spans="2:4" x14ac:dyDescent="0.25">
      <c r="B2003" s="68"/>
      <c r="C2003" s="50"/>
      <c r="D2003" s="15"/>
    </row>
    <row r="2004" spans="2:4" x14ac:dyDescent="0.25">
      <c r="B2004" s="68"/>
      <c r="C2004" s="50"/>
      <c r="D2004" s="15"/>
    </row>
    <row r="2005" spans="2:4" x14ac:dyDescent="0.25">
      <c r="B2005" s="68"/>
      <c r="C2005" s="50"/>
      <c r="D2005" s="15"/>
    </row>
    <row r="2006" spans="2:4" x14ac:dyDescent="0.25">
      <c r="B2006" s="68"/>
      <c r="C2006" s="50"/>
      <c r="D2006" s="15"/>
    </row>
    <row r="2007" spans="2:4" x14ac:dyDescent="0.25">
      <c r="B2007" s="68"/>
      <c r="C2007" s="50"/>
      <c r="D2007" s="15"/>
    </row>
    <row r="2008" spans="2:4" x14ac:dyDescent="0.25">
      <c r="B2008" s="68"/>
      <c r="C2008" s="50"/>
      <c r="D2008" s="15"/>
    </row>
    <row r="2009" spans="2:4" x14ac:dyDescent="0.25">
      <c r="B2009" s="68"/>
      <c r="C2009" s="50"/>
      <c r="D2009" s="15"/>
    </row>
    <row r="2010" spans="2:4" x14ac:dyDescent="0.25">
      <c r="B2010" s="68"/>
      <c r="C2010" s="50"/>
      <c r="D2010" s="15"/>
    </row>
    <row r="2011" spans="2:4" x14ac:dyDescent="0.25">
      <c r="B2011" s="68"/>
      <c r="C2011" s="50"/>
      <c r="D2011" s="15"/>
    </row>
    <row r="2012" spans="2:4" x14ac:dyDescent="0.25">
      <c r="B2012" s="68"/>
      <c r="C2012" s="50"/>
      <c r="D2012" s="15"/>
    </row>
    <row r="2013" spans="2:4" x14ac:dyDescent="0.25">
      <c r="B2013" s="68"/>
      <c r="C2013" s="50"/>
      <c r="D2013" s="15"/>
    </row>
    <row r="2014" spans="2:4" x14ac:dyDescent="0.25">
      <c r="B2014" s="68"/>
      <c r="C2014" s="50"/>
      <c r="D2014" s="15"/>
    </row>
    <row r="2015" spans="2:4" x14ac:dyDescent="0.25">
      <c r="B2015" s="68"/>
      <c r="C2015" s="50"/>
      <c r="D2015" s="15"/>
    </row>
    <row r="2016" spans="2:4" x14ac:dyDescent="0.25">
      <c r="B2016" s="68"/>
      <c r="C2016" s="50"/>
      <c r="D2016" s="15"/>
    </row>
    <row r="2017" spans="2:4" x14ac:dyDescent="0.25">
      <c r="B2017" s="68"/>
      <c r="C2017" s="50"/>
      <c r="D2017" s="15"/>
    </row>
    <row r="2018" spans="2:4" x14ac:dyDescent="0.25">
      <c r="B2018" s="68"/>
      <c r="C2018" s="50"/>
      <c r="D2018" s="15"/>
    </row>
    <row r="2019" spans="2:4" x14ac:dyDescent="0.25">
      <c r="B2019" s="68"/>
      <c r="C2019" s="50"/>
      <c r="D2019" s="15"/>
    </row>
    <row r="2020" spans="2:4" x14ac:dyDescent="0.25">
      <c r="B2020" s="68"/>
      <c r="C2020" s="50"/>
      <c r="D2020" s="15"/>
    </row>
    <row r="2021" spans="2:4" x14ac:dyDescent="0.25">
      <c r="B2021" s="68"/>
      <c r="C2021" s="50"/>
      <c r="D2021" s="15"/>
    </row>
    <row r="2022" spans="2:4" x14ac:dyDescent="0.25">
      <c r="B2022" s="68"/>
      <c r="C2022" s="50"/>
      <c r="D2022" s="15"/>
    </row>
    <row r="2023" spans="2:4" x14ac:dyDescent="0.25">
      <c r="B2023" s="68"/>
      <c r="C2023" s="50"/>
      <c r="D2023" s="15"/>
    </row>
    <row r="2024" spans="2:4" x14ac:dyDescent="0.25">
      <c r="B2024" s="68"/>
      <c r="C2024" s="50"/>
      <c r="D2024" s="15"/>
    </row>
    <row r="2025" spans="2:4" x14ac:dyDescent="0.25">
      <c r="B2025" s="68"/>
      <c r="C2025" s="50"/>
      <c r="D2025" s="15"/>
    </row>
    <row r="2026" spans="2:4" x14ac:dyDescent="0.25">
      <c r="B2026" s="68"/>
      <c r="C2026" s="50"/>
      <c r="D2026" s="15"/>
    </row>
    <row r="2027" spans="2:4" x14ac:dyDescent="0.25">
      <c r="B2027" s="68"/>
      <c r="C2027" s="50"/>
      <c r="D2027" s="15"/>
    </row>
    <row r="2028" spans="2:4" x14ac:dyDescent="0.25">
      <c r="B2028" s="68"/>
      <c r="C2028" s="50"/>
      <c r="D2028" s="15"/>
    </row>
    <row r="2029" spans="2:4" x14ac:dyDescent="0.25">
      <c r="B2029" s="68"/>
      <c r="C2029" s="50"/>
      <c r="D2029" s="15"/>
    </row>
    <row r="2030" spans="2:4" x14ac:dyDescent="0.25">
      <c r="B2030" s="68"/>
      <c r="C2030" s="50"/>
      <c r="D2030" s="15"/>
    </row>
    <row r="2031" spans="2:4" x14ac:dyDescent="0.25">
      <c r="B2031" s="68"/>
      <c r="C2031" s="50"/>
      <c r="D2031" s="15"/>
    </row>
    <row r="2032" spans="2:4" x14ac:dyDescent="0.25">
      <c r="B2032" s="68"/>
      <c r="C2032" s="50"/>
      <c r="D2032" s="15"/>
    </row>
    <row r="2033" spans="2:4" x14ac:dyDescent="0.25">
      <c r="B2033" s="68"/>
      <c r="C2033" s="50"/>
      <c r="D2033" s="15"/>
    </row>
    <row r="2034" spans="2:4" x14ac:dyDescent="0.25">
      <c r="B2034" s="68"/>
      <c r="C2034" s="50"/>
      <c r="D2034" s="15"/>
    </row>
    <row r="2035" spans="2:4" x14ac:dyDescent="0.25">
      <c r="B2035" s="68"/>
      <c r="C2035" s="50"/>
      <c r="D2035" s="15"/>
    </row>
    <row r="2036" spans="2:4" x14ac:dyDescent="0.25">
      <c r="B2036" s="68"/>
      <c r="C2036" s="50"/>
      <c r="D2036" s="15"/>
    </row>
    <row r="2037" spans="2:4" x14ac:dyDescent="0.25">
      <c r="B2037" s="68"/>
      <c r="C2037" s="50"/>
      <c r="D2037" s="15"/>
    </row>
    <row r="2038" spans="2:4" x14ac:dyDescent="0.25">
      <c r="B2038" s="68"/>
      <c r="C2038" s="50"/>
      <c r="D2038" s="15"/>
    </row>
    <row r="2039" spans="2:4" x14ac:dyDescent="0.25">
      <c r="B2039" s="68"/>
      <c r="C2039" s="50"/>
      <c r="D2039" s="15"/>
    </row>
    <row r="2040" spans="2:4" x14ac:dyDescent="0.25">
      <c r="B2040" s="68"/>
      <c r="C2040" s="50"/>
      <c r="D2040" s="15"/>
    </row>
    <row r="2041" spans="2:4" x14ac:dyDescent="0.25">
      <c r="B2041" s="68"/>
      <c r="C2041" s="50"/>
      <c r="D2041" s="15"/>
    </row>
    <row r="2042" spans="2:4" x14ac:dyDescent="0.25">
      <c r="B2042" s="68"/>
      <c r="C2042" s="50"/>
      <c r="D2042" s="15"/>
    </row>
    <row r="2043" spans="2:4" x14ac:dyDescent="0.25">
      <c r="B2043" s="68"/>
      <c r="C2043" s="50"/>
      <c r="D2043" s="15"/>
    </row>
    <row r="2044" spans="2:4" x14ac:dyDescent="0.25">
      <c r="B2044" s="68"/>
      <c r="C2044" s="50"/>
      <c r="D2044" s="15"/>
    </row>
    <row r="2045" spans="2:4" x14ac:dyDescent="0.25">
      <c r="B2045" s="68"/>
      <c r="C2045" s="50"/>
      <c r="D2045" s="15"/>
    </row>
    <row r="2046" spans="2:4" x14ac:dyDescent="0.25">
      <c r="B2046" s="68"/>
      <c r="C2046" s="50"/>
      <c r="D2046" s="15"/>
    </row>
    <row r="2047" spans="2:4" x14ac:dyDescent="0.25">
      <c r="B2047" s="68"/>
      <c r="C2047" s="50"/>
      <c r="D2047" s="15"/>
    </row>
    <row r="2048" spans="2:4" x14ac:dyDescent="0.25">
      <c r="B2048" s="68"/>
      <c r="C2048" s="50"/>
      <c r="D2048" s="15"/>
    </row>
    <row r="2049" spans="2:4" x14ac:dyDescent="0.25">
      <c r="B2049" s="68"/>
      <c r="C2049" s="50"/>
      <c r="D2049" s="15"/>
    </row>
    <row r="2050" spans="2:4" x14ac:dyDescent="0.25">
      <c r="B2050" s="68"/>
      <c r="C2050" s="50"/>
      <c r="D2050" s="15"/>
    </row>
    <row r="2051" spans="2:4" x14ac:dyDescent="0.25">
      <c r="B2051" s="68"/>
      <c r="C2051" s="50"/>
      <c r="D2051" s="15"/>
    </row>
    <row r="2052" spans="2:4" x14ac:dyDescent="0.25">
      <c r="B2052" s="68"/>
      <c r="C2052" s="50"/>
      <c r="D2052" s="15"/>
    </row>
    <row r="2053" spans="2:4" x14ac:dyDescent="0.25">
      <c r="B2053" s="68"/>
      <c r="C2053" s="50"/>
      <c r="D2053" s="15"/>
    </row>
    <row r="2054" spans="2:4" x14ac:dyDescent="0.25">
      <c r="B2054" s="68"/>
      <c r="C2054" s="50"/>
      <c r="D2054" s="15"/>
    </row>
    <row r="2055" spans="2:4" x14ac:dyDescent="0.25">
      <c r="B2055" s="68"/>
      <c r="C2055" s="50"/>
      <c r="D2055" s="15"/>
    </row>
    <row r="2056" spans="2:4" x14ac:dyDescent="0.25">
      <c r="B2056" s="68"/>
      <c r="C2056" s="50"/>
      <c r="D2056" s="15"/>
    </row>
    <row r="2057" spans="2:4" x14ac:dyDescent="0.25">
      <c r="B2057" s="68"/>
      <c r="C2057" s="50"/>
      <c r="D2057" s="15"/>
    </row>
    <row r="2058" spans="2:4" x14ac:dyDescent="0.25">
      <c r="B2058" s="68"/>
      <c r="C2058" s="50"/>
      <c r="D2058" s="15"/>
    </row>
    <row r="2059" spans="2:4" x14ac:dyDescent="0.25">
      <c r="B2059" s="68"/>
      <c r="C2059" s="50"/>
      <c r="D2059" s="15"/>
    </row>
    <row r="2060" spans="2:4" x14ac:dyDescent="0.25">
      <c r="B2060" s="68"/>
      <c r="C2060" s="50"/>
      <c r="D2060" s="15"/>
    </row>
    <row r="2061" spans="2:4" x14ac:dyDescent="0.25">
      <c r="B2061" s="68"/>
      <c r="C2061" s="50"/>
      <c r="D2061" s="15"/>
    </row>
    <row r="2062" spans="2:4" x14ac:dyDescent="0.25">
      <c r="B2062" s="68"/>
      <c r="C2062" s="50"/>
      <c r="D2062" s="15"/>
    </row>
    <row r="2063" spans="2:4" x14ac:dyDescent="0.25">
      <c r="B2063" s="68"/>
      <c r="C2063" s="50"/>
      <c r="D2063" s="15"/>
    </row>
    <row r="2064" spans="2:4" x14ac:dyDescent="0.25">
      <c r="B2064" s="68"/>
      <c r="C2064" s="50"/>
      <c r="D2064" s="15"/>
    </row>
    <row r="2065" spans="2:4" x14ac:dyDescent="0.25">
      <c r="B2065" s="68"/>
      <c r="C2065" s="50"/>
      <c r="D2065" s="15"/>
    </row>
    <row r="2066" spans="2:4" x14ac:dyDescent="0.25">
      <c r="B2066" s="68"/>
      <c r="C2066" s="50"/>
      <c r="D2066" s="15"/>
    </row>
    <row r="2067" spans="2:4" x14ac:dyDescent="0.25">
      <c r="B2067" s="68"/>
      <c r="C2067" s="50"/>
      <c r="D2067" s="15"/>
    </row>
    <row r="2068" spans="2:4" x14ac:dyDescent="0.25">
      <c r="B2068" s="68"/>
      <c r="C2068" s="50"/>
      <c r="D2068" s="15"/>
    </row>
    <row r="2069" spans="2:4" x14ac:dyDescent="0.25">
      <c r="B2069" s="68"/>
      <c r="C2069" s="50"/>
      <c r="D2069" s="15"/>
    </row>
    <row r="2070" spans="2:4" x14ac:dyDescent="0.25">
      <c r="B2070" s="68"/>
      <c r="C2070" s="50"/>
      <c r="D2070" s="15"/>
    </row>
    <row r="2071" spans="2:4" x14ac:dyDescent="0.25">
      <c r="B2071" s="68"/>
      <c r="C2071" s="50"/>
      <c r="D2071" s="15"/>
    </row>
    <row r="2072" spans="2:4" x14ac:dyDescent="0.25">
      <c r="B2072" s="68"/>
      <c r="C2072" s="50"/>
      <c r="D2072" s="15"/>
    </row>
    <row r="2073" spans="2:4" x14ac:dyDescent="0.25">
      <c r="B2073" s="68"/>
      <c r="C2073" s="50"/>
      <c r="D2073" s="15"/>
    </row>
    <row r="2074" spans="2:4" x14ac:dyDescent="0.25">
      <c r="B2074" s="68"/>
      <c r="C2074" s="50"/>
      <c r="D2074" s="15"/>
    </row>
    <row r="2075" spans="2:4" x14ac:dyDescent="0.25">
      <c r="B2075" s="68"/>
      <c r="C2075" s="50"/>
      <c r="D2075" s="15"/>
    </row>
    <row r="2076" spans="2:4" x14ac:dyDescent="0.25">
      <c r="B2076" s="68"/>
      <c r="C2076" s="50"/>
      <c r="D2076" s="15"/>
    </row>
    <row r="2077" spans="2:4" x14ac:dyDescent="0.25">
      <c r="B2077" s="68"/>
      <c r="C2077" s="50"/>
      <c r="D2077" s="15"/>
    </row>
    <row r="2078" spans="2:4" x14ac:dyDescent="0.25">
      <c r="B2078" s="68"/>
      <c r="C2078" s="50"/>
      <c r="D2078" s="15"/>
    </row>
    <row r="2079" spans="2:4" x14ac:dyDescent="0.25">
      <c r="B2079" s="68"/>
      <c r="C2079" s="50"/>
      <c r="D2079" s="15"/>
    </row>
    <row r="2080" spans="2:4" x14ac:dyDescent="0.25">
      <c r="B2080" s="68"/>
      <c r="C2080" s="50"/>
      <c r="D2080" s="15"/>
    </row>
    <row r="2081" spans="2:4" x14ac:dyDescent="0.25">
      <c r="B2081" s="68"/>
      <c r="C2081" s="50"/>
      <c r="D2081" s="15"/>
    </row>
    <row r="2082" spans="2:4" x14ac:dyDescent="0.25">
      <c r="B2082" s="68"/>
      <c r="C2082" s="50"/>
      <c r="D2082" s="15"/>
    </row>
    <row r="2083" spans="2:4" x14ac:dyDescent="0.25">
      <c r="B2083" s="68"/>
      <c r="C2083" s="50"/>
      <c r="D2083" s="15"/>
    </row>
    <row r="2084" spans="2:4" x14ac:dyDescent="0.25">
      <c r="B2084" s="68"/>
      <c r="C2084" s="50"/>
      <c r="D2084" s="15"/>
    </row>
    <row r="2085" spans="2:4" x14ac:dyDescent="0.25">
      <c r="B2085" s="68"/>
      <c r="C2085" s="50"/>
      <c r="D2085" s="15"/>
    </row>
    <row r="2086" spans="2:4" x14ac:dyDescent="0.25">
      <c r="B2086" s="68"/>
      <c r="C2086" s="50"/>
      <c r="D2086" s="15"/>
    </row>
    <row r="2087" spans="2:4" x14ac:dyDescent="0.25">
      <c r="B2087" s="68"/>
      <c r="C2087" s="50"/>
      <c r="D2087" s="15"/>
    </row>
    <row r="2088" spans="2:4" x14ac:dyDescent="0.25">
      <c r="B2088" s="68"/>
      <c r="C2088" s="50"/>
      <c r="D2088" s="15"/>
    </row>
    <row r="2089" spans="2:4" x14ac:dyDescent="0.25">
      <c r="B2089" s="68"/>
      <c r="C2089" s="50"/>
      <c r="D2089" s="15"/>
    </row>
    <row r="2090" spans="2:4" x14ac:dyDescent="0.25">
      <c r="B2090" s="68"/>
      <c r="C2090" s="50"/>
      <c r="D2090" s="15"/>
    </row>
    <row r="2091" spans="2:4" x14ac:dyDescent="0.25">
      <c r="B2091" s="68"/>
      <c r="C2091" s="50"/>
      <c r="D2091" s="15"/>
    </row>
    <row r="2092" spans="2:4" x14ac:dyDescent="0.25">
      <c r="B2092" s="68"/>
      <c r="C2092" s="50"/>
      <c r="D2092" s="15"/>
    </row>
    <row r="2093" spans="2:4" x14ac:dyDescent="0.25">
      <c r="B2093" s="68"/>
      <c r="C2093" s="50"/>
      <c r="D2093" s="15"/>
    </row>
    <row r="2094" spans="2:4" x14ac:dyDescent="0.25">
      <c r="B2094" s="68"/>
      <c r="C2094" s="50"/>
      <c r="D2094" s="15"/>
    </row>
    <row r="2095" spans="2:4" x14ac:dyDescent="0.25">
      <c r="B2095" s="68"/>
      <c r="C2095" s="50"/>
      <c r="D2095" s="15"/>
    </row>
    <row r="2096" spans="2:4" x14ac:dyDescent="0.25">
      <c r="B2096" s="68"/>
      <c r="C2096" s="50"/>
      <c r="D2096" s="15"/>
    </row>
    <row r="2097" spans="2:4" x14ac:dyDescent="0.25">
      <c r="B2097" s="68"/>
      <c r="C2097" s="50"/>
      <c r="D2097" s="15"/>
    </row>
    <row r="2098" spans="2:4" x14ac:dyDescent="0.25">
      <c r="B2098" s="68"/>
      <c r="C2098" s="50"/>
      <c r="D2098" s="15"/>
    </row>
    <row r="2099" spans="2:4" x14ac:dyDescent="0.25">
      <c r="B2099" s="68"/>
      <c r="C2099" s="50"/>
      <c r="D2099" s="15"/>
    </row>
    <row r="2100" spans="2:4" x14ac:dyDescent="0.25">
      <c r="B2100" s="68"/>
      <c r="C2100" s="50"/>
      <c r="D2100" s="15"/>
    </row>
    <row r="2101" spans="2:4" x14ac:dyDescent="0.25">
      <c r="B2101" s="68"/>
      <c r="C2101" s="50"/>
      <c r="D2101" s="15"/>
    </row>
    <row r="2102" spans="2:4" x14ac:dyDescent="0.25">
      <c r="B2102" s="68"/>
      <c r="C2102" s="50"/>
      <c r="D2102" s="15"/>
    </row>
    <row r="2103" spans="2:4" x14ac:dyDescent="0.25">
      <c r="B2103" s="68"/>
      <c r="C2103" s="50"/>
      <c r="D2103" s="15"/>
    </row>
    <row r="2104" spans="2:4" x14ac:dyDescent="0.25">
      <c r="B2104" s="68"/>
      <c r="C2104" s="50"/>
      <c r="D2104" s="15"/>
    </row>
    <row r="2105" spans="2:4" x14ac:dyDescent="0.25">
      <c r="B2105" s="68"/>
      <c r="C2105" s="50"/>
      <c r="D2105" s="15"/>
    </row>
    <row r="2106" spans="2:4" x14ac:dyDescent="0.25">
      <c r="B2106" s="68"/>
      <c r="C2106" s="50"/>
      <c r="D2106" s="15"/>
    </row>
    <row r="2107" spans="2:4" x14ac:dyDescent="0.25">
      <c r="B2107" s="68"/>
      <c r="C2107" s="50"/>
      <c r="D2107" s="15"/>
    </row>
    <row r="2108" spans="2:4" x14ac:dyDescent="0.25">
      <c r="B2108" s="68"/>
      <c r="C2108" s="50"/>
      <c r="D2108" s="15"/>
    </row>
    <row r="2109" spans="2:4" x14ac:dyDescent="0.25">
      <c r="B2109" s="68"/>
      <c r="C2109" s="50"/>
      <c r="D2109" s="15"/>
    </row>
    <row r="2110" spans="2:4" x14ac:dyDescent="0.25">
      <c r="B2110" s="68"/>
      <c r="C2110" s="50"/>
      <c r="D2110" s="15"/>
    </row>
    <row r="2111" spans="2:4" x14ac:dyDescent="0.25">
      <c r="B2111" s="68"/>
      <c r="C2111" s="50"/>
      <c r="D2111" s="15"/>
    </row>
    <row r="2112" spans="2:4" x14ac:dyDescent="0.25">
      <c r="B2112" s="68"/>
      <c r="C2112" s="50"/>
      <c r="D2112" s="15"/>
    </row>
    <row r="2113" spans="2:4" x14ac:dyDescent="0.25">
      <c r="B2113" s="68"/>
      <c r="C2113" s="50"/>
      <c r="D2113" s="15"/>
    </row>
    <row r="2114" spans="2:4" x14ac:dyDescent="0.25">
      <c r="B2114" s="68"/>
      <c r="C2114" s="50"/>
      <c r="D2114" s="15"/>
    </row>
    <row r="2115" spans="2:4" x14ac:dyDescent="0.25">
      <c r="B2115" s="68"/>
      <c r="C2115" s="50"/>
      <c r="D2115" s="15"/>
    </row>
    <row r="2116" spans="2:4" x14ac:dyDescent="0.25">
      <c r="B2116" s="68"/>
      <c r="C2116" s="50"/>
      <c r="D2116" s="15"/>
    </row>
    <row r="2117" spans="2:4" x14ac:dyDescent="0.25">
      <c r="B2117" s="68"/>
      <c r="C2117" s="50"/>
      <c r="D2117" s="15"/>
    </row>
    <row r="2118" spans="2:4" x14ac:dyDescent="0.25">
      <c r="B2118" s="68"/>
      <c r="C2118" s="50"/>
      <c r="D2118" s="15"/>
    </row>
    <row r="2119" spans="2:4" x14ac:dyDescent="0.25">
      <c r="B2119" s="68"/>
      <c r="C2119" s="50"/>
      <c r="D2119" s="15"/>
    </row>
    <row r="2120" spans="2:4" x14ac:dyDescent="0.25">
      <c r="B2120" s="68"/>
      <c r="C2120" s="50"/>
      <c r="D2120" s="15"/>
    </row>
    <row r="2121" spans="2:4" x14ac:dyDescent="0.25">
      <c r="B2121" s="68"/>
      <c r="C2121" s="50"/>
      <c r="D2121" s="15"/>
    </row>
    <row r="2122" spans="2:4" x14ac:dyDescent="0.25">
      <c r="B2122" s="68"/>
      <c r="C2122" s="50"/>
      <c r="D2122" s="15"/>
    </row>
    <row r="2123" spans="2:4" x14ac:dyDescent="0.25">
      <c r="B2123" s="68"/>
      <c r="C2123" s="50"/>
      <c r="D2123" s="15"/>
    </row>
    <row r="2124" spans="2:4" x14ac:dyDescent="0.25">
      <c r="B2124" s="68"/>
      <c r="C2124" s="50"/>
      <c r="D2124" s="15"/>
    </row>
    <row r="2125" spans="2:4" x14ac:dyDescent="0.25">
      <c r="B2125" s="68"/>
      <c r="C2125" s="50"/>
      <c r="D2125" s="15"/>
    </row>
    <row r="2126" spans="2:4" x14ac:dyDescent="0.25">
      <c r="B2126" s="68"/>
      <c r="C2126" s="50"/>
      <c r="D2126" s="15"/>
    </row>
    <row r="2127" spans="2:4" x14ac:dyDescent="0.25">
      <c r="B2127" s="68"/>
      <c r="C2127" s="50"/>
      <c r="D2127" s="15"/>
    </row>
    <row r="2128" spans="2:4" x14ac:dyDescent="0.25">
      <c r="B2128" s="68"/>
      <c r="C2128" s="50"/>
      <c r="D2128" s="15"/>
    </row>
    <row r="2129" spans="2:4" x14ac:dyDescent="0.25">
      <c r="B2129" s="68"/>
      <c r="C2129" s="50"/>
      <c r="D2129" s="15"/>
    </row>
    <row r="2130" spans="2:4" x14ac:dyDescent="0.25">
      <c r="B2130" s="68"/>
      <c r="C2130" s="50"/>
      <c r="D2130" s="15"/>
    </row>
    <row r="2131" spans="2:4" x14ac:dyDescent="0.25">
      <c r="B2131" s="68"/>
      <c r="C2131" s="50"/>
      <c r="D2131" s="15"/>
    </row>
    <row r="2132" spans="2:4" x14ac:dyDescent="0.25">
      <c r="B2132" s="68"/>
      <c r="C2132" s="50"/>
      <c r="D2132" s="15"/>
    </row>
    <row r="2133" spans="2:4" x14ac:dyDescent="0.25">
      <c r="B2133" s="68"/>
      <c r="C2133" s="50"/>
      <c r="D2133" s="15"/>
    </row>
    <row r="2134" spans="2:4" x14ac:dyDescent="0.25">
      <c r="B2134" s="68"/>
      <c r="C2134" s="50"/>
      <c r="D2134" s="15"/>
    </row>
    <row r="2135" spans="2:4" x14ac:dyDescent="0.25">
      <c r="B2135" s="68"/>
      <c r="C2135" s="50"/>
      <c r="D2135" s="15"/>
    </row>
    <row r="2136" spans="2:4" x14ac:dyDescent="0.25">
      <c r="B2136" s="68"/>
      <c r="C2136" s="50"/>
      <c r="D2136" s="15"/>
    </row>
    <row r="2137" spans="2:4" x14ac:dyDescent="0.25">
      <c r="B2137" s="68"/>
      <c r="C2137" s="50"/>
      <c r="D2137" s="15"/>
    </row>
    <row r="2138" spans="2:4" x14ac:dyDescent="0.25">
      <c r="B2138" s="68"/>
      <c r="C2138" s="50"/>
      <c r="D2138" s="15"/>
    </row>
    <row r="2139" spans="2:4" x14ac:dyDescent="0.25">
      <c r="B2139" s="68"/>
      <c r="C2139" s="50"/>
      <c r="D2139" s="15"/>
    </row>
    <row r="2140" spans="2:4" x14ac:dyDescent="0.25">
      <c r="B2140" s="68"/>
      <c r="C2140" s="50"/>
      <c r="D2140" s="15"/>
    </row>
    <row r="2141" spans="2:4" x14ac:dyDescent="0.25">
      <c r="B2141" s="68"/>
      <c r="C2141" s="50"/>
      <c r="D2141" s="15"/>
    </row>
    <row r="2142" spans="2:4" x14ac:dyDescent="0.25">
      <c r="B2142" s="68"/>
      <c r="C2142" s="50"/>
      <c r="D2142" s="15"/>
    </row>
    <row r="2143" spans="2:4" x14ac:dyDescent="0.25">
      <c r="B2143" s="68"/>
      <c r="C2143" s="50"/>
      <c r="D2143" s="15"/>
    </row>
    <row r="2144" spans="2:4" x14ac:dyDescent="0.25">
      <c r="B2144" s="68"/>
      <c r="C2144" s="50"/>
      <c r="D2144" s="15"/>
    </row>
    <row r="2145" spans="2:4" x14ac:dyDescent="0.25">
      <c r="B2145" s="68"/>
      <c r="C2145" s="50"/>
      <c r="D2145" s="15"/>
    </row>
    <row r="2146" spans="2:4" x14ac:dyDescent="0.25">
      <c r="B2146" s="68"/>
      <c r="C2146" s="50"/>
      <c r="D2146" s="15"/>
    </row>
    <row r="2147" spans="2:4" x14ac:dyDescent="0.25">
      <c r="B2147" s="68"/>
      <c r="C2147" s="50"/>
      <c r="D2147" s="15"/>
    </row>
    <row r="2148" spans="2:4" x14ac:dyDescent="0.25">
      <c r="B2148" s="68"/>
      <c r="C2148" s="50"/>
      <c r="D2148" s="15"/>
    </row>
    <row r="2149" spans="2:4" x14ac:dyDescent="0.25">
      <c r="B2149" s="68"/>
      <c r="C2149" s="50"/>
      <c r="D2149" s="15"/>
    </row>
    <row r="2150" spans="2:4" x14ac:dyDescent="0.25">
      <c r="B2150" s="68"/>
      <c r="C2150" s="50"/>
      <c r="D2150" s="15"/>
    </row>
    <row r="2151" spans="2:4" x14ac:dyDescent="0.25">
      <c r="B2151" s="68"/>
      <c r="C2151" s="50"/>
      <c r="D2151" s="15"/>
    </row>
    <row r="2152" spans="2:4" x14ac:dyDescent="0.25">
      <c r="B2152" s="68"/>
      <c r="C2152" s="50"/>
      <c r="D2152" s="15"/>
    </row>
    <row r="2153" spans="2:4" x14ac:dyDescent="0.25">
      <c r="B2153" s="68"/>
      <c r="C2153" s="50"/>
      <c r="D2153" s="15"/>
    </row>
    <row r="2154" spans="2:4" x14ac:dyDescent="0.25">
      <c r="B2154" s="68"/>
      <c r="C2154" s="50"/>
      <c r="D2154" s="15"/>
    </row>
    <row r="2155" spans="2:4" x14ac:dyDescent="0.25">
      <c r="B2155" s="68"/>
      <c r="C2155" s="50"/>
      <c r="D2155" s="15"/>
    </row>
    <row r="2156" spans="2:4" x14ac:dyDescent="0.25">
      <c r="B2156" s="68"/>
      <c r="C2156" s="50"/>
      <c r="D2156" s="15"/>
    </row>
    <row r="2157" spans="2:4" x14ac:dyDescent="0.25">
      <c r="B2157" s="68"/>
      <c r="C2157" s="50"/>
      <c r="D2157" s="15"/>
    </row>
    <row r="2158" spans="2:4" x14ac:dyDescent="0.25">
      <c r="B2158" s="68"/>
      <c r="C2158" s="50"/>
      <c r="D2158" s="15"/>
    </row>
    <row r="2159" spans="2:4" x14ac:dyDescent="0.25">
      <c r="B2159" s="68"/>
      <c r="C2159" s="50"/>
      <c r="D2159" s="15"/>
    </row>
    <row r="2160" spans="2:4" x14ac:dyDescent="0.25">
      <c r="B2160" s="68"/>
      <c r="C2160" s="50"/>
      <c r="D2160" s="15"/>
    </row>
    <row r="2161" spans="2:4" x14ac:dyDescent="0.25">
      <c r="B2161" s="68"/>
      <c r="C2161" s="50"/>
      <c r="D2161" s="15"/>
    </row>
    <row r="2162" spans="2:4" x14ac:dyDescent="0.25">
      <c r="B2162" s="68"/>
      <c r="C2162" s="50"/>
      <c r="D2162" s="15"/>
    </row>
    <row r="2163" spans="2:4" x14ac:dyDescent="0.25">
      <c r="B2163" s="68"/>
      <c r="C2163" s="50"/>
      <c r="D2163" s="15"/>
    </row>
    <row r="2164" spans="2:4" x14ac:dyDescent="0.25">
      <c r="B2164" s="68"/>
      <c r="C2164" s="50"/>
      <c r="D2164" s="15"/>
    </row>
    <row r="2165" spans="2:4" x14ac:dyDescent="0.25">
      <c r="B2165" s="68"/>
      <c r="C2165" s="50"/>
      <c r="D2165" s="15"/>
    </row>
    <row r="2166" spans="2:4" x14ac:dyDescent="0.25">
      <c r="B2166" s="68"/>
      <c r="C2166" s="50"/>
      <c r="D2166" s="15"/>
    </row>
    <row r="2167" spans="2:4" x14ac:dyDescent="0.25">
      <c r="B2167" s="68"/>
      <c r="C2167" s="50"/>
      <c r="D2167" s="15"/>
    </row>
    <row r="2168" spans="2:4" x14ac:dyDescent="0.25">
      <c r="B2168" s="68"/>
      <c r="C2168" s="50"/>
      <c r="D2168" s="15"/>
    </row>
    <row r="2169" spans="2:4" x14ac:dyDescent="0.25">
      <c r="B2169" s="68"/>
      <c r="C2169" s="50"/>
      <c r="D2169" s="15"/>
    </row>
    <row r="2170" spans="2:4" x14ac:dyDescent="0.25">
      <c r="B2170" s="68"/>
      <c r="C2170" s="50"/>
      <c r="D2170" s="15"/>
    </row>
    <row r="2171" spans="2:4" x14ac:dyDescent="0.25">
      <c r="B2171" s="68"/>
      <c r="C2171" s="50"/>
      <c r="D2171" s="15"/>
    </row>
    <row r="2172" spans="2:4" x14ac:dyDescent="0.25">
      <c r="B2172" s="68"/>
      <c r="C2172" s="50"/>
      <c r="D2172" s="15"/>
    </row>
    <row r="2173" spans="2:4" x14ac:dyDescent="0.25">
      <c r="B2173" s="68"/>
      <c r="C2173" s="50"/>
      <c r="D2173" s="15"/>
    </row>
    <row r="2174" spans="2:4" x14ac:dyDescent="0.25">
      <c r="B2174" s="68"/>
      <c r="C2174" s="50"/>
      <c r="D2174" s="15"/>
    </row>
    <row r="2175" spans="2:4" x14ac:dyDescent="0.25">
      <c r="B2175" s="68"/>
      <c r="C2175" s="50"/>
      <c r="D2175" s="15"/>
    </row>
    <row r="2176" spans="2:4" x14ac:dyDescent="0.25">
      <c r="B2176" s="68"/>
      <c r="C2176" s="50"/>
      <c r="D2176" s="15"/>
    </row>
    <row r="2177" spans="2:4" x14ac:dyDescent="0.25">
      <c r="B2177" s="68"/>
      <c r="C2177" s="50"/>
      <c r="D2177" s="15"/>
    </row>
    <row r="2178" spans="2:4" x14ac:dyDescent="0.25">
      <c r="B2178" s="68"/>
      <c r="C2178" s="50"/>
      <c r="D2178" s="15"/>
    </row>
    <row r="2179" spans="2:4" x14ac:dyDescent="0.25">
      <c r="B2179" s="68"/>
      <c r="C2179" s="50"/>
      <c r="D2179" s="15"/>
    </row>
    <row r="2180" spans="2:4" x14ac:dyDescent="0.25">
      <c r="B2180" s="68"/>
      <c r="C2180" s="50"/>
      <c r="D2180" s="15"/>
    </row>
    <row r="2181" spans="2:4" x14ac:dyDescent="0.25">
      <c r="B2181" s="68"/>
      <c r="C2181" s="50"/>
      <c r="D2181" s="15"/>
    </row>
    <row r="2182" spans="2:4" x14ac:dyDescent="0.25">
      <c r="B2182" s="68"/>
      <c r="C2182" s="50"/>
      <c r="D2182" s="15"/>
    </row>
    <row r="2183" spans="2:4" x14ac:dyDescent="0.25">
      <c r="B2183" s="68"/>
      <c r="C2183" s="50"/>
      <c r="D2183" s="15"/>
    </row>
    <row r="2184" spans="2:4" x14ac:dyDescent="0.25">
      <c r="B2184" s="68"/>
      <c r="C2184" s="50"/>
      <c r="D2184" s="15"/>
    </row>
    <row r="2185" spans="2:4" x14ac:dyDescent="0.25">
      <c r="B2185" s="68"/>
      <c r="C2185" s="50"/>
      <c r="D2185" s="15"/>
    </row>
    <row r="2186" spans="2:4" x14ac:dyDescent="0.25">
      <c r="B2186" s="68"/>
      <c r="C2186" s="50"/>
      <c r="D2186" s="15"/>
    </row>
    <row r="2187" spans="2:4" x14ac:dyDescent="0.25">
      <c r="B2187" s="68"/>
      <c r="C2187" s="50"/>
      <c r="D2187" s="15"/>
    </row>
    <row r="2188" spans="2:4" x14ac:dyDescent="0.25">
      <c r="B2188" s="68"/>
      <c r="C2188" s="50"/>
      <c r="D2188" s="15"/>
    </row>
    <row r="2189" spans="2:4" x14ac:dyDescent="0.25">
      <c r="B2189" s="68"/>
      <c r="C2189" s="50"/>
      <c r="D2189" s="15"/>
    </row>
    <row r="2190" spans="2:4" x14ac:dyDescent="0.25">
      <c r="B2190" s="68"/>
      <c r="C2190" s="50"/>
      <c r="D2190" s="15"/>
    </row>
    <row r="2191" spans="2:4" x14ac:dyDescent="0.25">
      <c r="B2191" s="68"/>
      <c r="C2191" s="50"/>
      <c r="D2191" s="15"/>
    </row>
    <row r="2192" spans="2:4" x14ac:dyDescent="0.25">
      <c r="B2192" s="68"/>
      <c r="C2192" s="50"/>
      <c r="D2192" s="15"/>
    </row>
    <row r="2193" spans="2:4" x14ac:dyDescent="0.25">
      <c r="B2193" s="68"/>
      <c r="C2193" s="50"/>
      <c r="D2193" s="15"/>
    </row>
    <row r="2194" spans="2:4" x14ac:dyDescent="0.25">
      <c r="B2194" s="68"/>
      <c r="C2194" s="50"/>
      <c r="D2194" s="15"/>
    </row>
    <row r="2195" spans="2:4" x14ac:dyDescent="0.25">
      <c r="B2195" s="68"/>
      <c r="C2195" s="50"/>
      <c r="D2195" s="15"/>
    </row>
    <row r="2196" spans="2:4" x14ac:dyDescent="0.25">
      <c r="B2196" s="68"/>
      <c r="C2196" s="50"/>
      <c r="D2196" s="15"/>
    </row>
    <row r="2197" spans="2:4" x14ac:dyDescent="0.25">
      <c r="B2197" s="68"/>
      <c r="C2197" s="50"/>
      <c r="D2197" s="15"/>
    </row>
    <row r="2198" spans="2:4" x14ac:dyDescent="0.25">
      <c r="B2198" s="68"/>
      <c r="C2198" s="50"/>
      <c r="D2198" s="15"/>
    </row>
    <row r="2199" spans="2:4" x14ac:dyDescent="0.25">
      <c r="B2199" s="68"/>
      <c r="C2199" s="50"/>
      <c r="D2199" s="15"/>
    </row>
    <row r="2200" spans="2:4" x14ac:dyDescent="0.25">
      <c r="B2200" s="68"/>
      <c r="C2200" s="50"/>
      <c r="D2200" s="15"/>
    </row>
    <row r="2201" spans="2:4" x14ac:dyDescent="0.25">
      <c r="B2201" s="68"/>
      <c r="C2201" s="50"/>
      <c r="D2201" s="15"/>
    </row>
    <row r="2202" spans="2:4" x14ac:dyDescent="0.25">
      <c r="B2202" s="68"/>
      <c r="C2202" s="50"/>
      <c r="D2202" s="15"/>
    </row>
    <row r="2203" spans="2:4" x14ac:dyDescent="0.25">
      <c r="B2203" s="68"/>
      <c r="C2203" s="50"/>
      <c r="D2203" s="15"/>
    </row>
    <row r="2204" spans="2:4" x14ac:dyDescent="0.25">
      <c r="B2204" s="68"/>
      <c r="C2204" s="50"/>
      <c r="D2204" s="15"/>
    </row>
    <row r="2205" spans="2:4" x14ac:dyDescent="0.25">
      <c r="B2205" s="68"/>
      <c r="C2205" s="50"/>
      <c r="D2205" s="15"/>
    </row>
    <row r="2206" spans="2:4" x14ac:dyDescent="0.25">
      <c r="B2206" s="68"/>
      <c r="C2206" s="50"/>
      <c r="D2206" s="15"/>
    </row>
    <row r="2207" spans="2:4" x14ac:dyDescent="0.25">
      <c r="B2207" s="68"/>
      <c r="C2207" s="50"/>
      <c r="D2207" s="15"/>
    </row>
    <row r="2208" spans="2:4" x14ac:dyDescent="0.25">
      <c r="B2208" s="68"/>
      <c r="C2208" s="50"/>
      <c r="D2208" s="15"/>
    </row>
    <row r="2209" spans="2:4" x14ac:dyDescent="0.25">
      <c r="B2209" s="68"/>
      <c r="C2209" s="50"/>
      <c r="D2209" s="15"/>
    </row>
    <row r="2210" spans="2:4" x14ac:dyDescent="0.25">
      <c r="B2210" s="68"/>
      <c r="C2210" s="50"/>
      <c r="D2210" s="15"/>
    </row>
    <row r="2211" spans="2:4" x14ac:dyDescent="0.25">
      <c r="B2211" s="68"/>
      <c r="C2211" s="50"/>
      <c r="D2211" s="15"/>
    </row>
    <row r="2212" spans="2:4" x14ac:dyDescent="0.25">
      <c r="B2212" s="68"/>
      <c r="C2212" s="50"/>
      <c r="D2212" s="15"/>
    </row>
    <row r="2213" spans="2:4" x14ac:dyDescent="0.25">
      <c r="B2213" s="68"/>
      <c r="C2213" s="50"/>
      <c r="D2213" s="15"/>
    </row>
    <row r="2214" spans="2:4" x14ac:dyDescent="0.25">
      <c r="B2214" s="68"/>
      <c r="C2214" s="50"/>
      <c r="D2214" s="15"/>
    </row>
    <row r="2215" spans="2:4" x14ac:dyDescent="0.25">
      <c r="B2215" s="68"/>
      <c r="C2215" s="50"/>
      <c r="D2215" s="15"/>
    </row>
    <row r="2216" spans="2:4" x14ac:dyDescent="0.25">
      <c r="B2216" s="68"/>
      <c r="C2216" s="50"/>
      <c r="D2216" s="15"/>
    </row>
    <row r="2217" spans="2:4" x14ac:dyDescent="0.25">
      <c r="B2217" s="68"/>
      <c r="C2217" s="50"/>
      <c r="D2217" s="15"/>
    </row>
    <row r="2218" spans="2:4" x14ac:dyDescent="0.25">
      <c r="B2218" s="68"/>
      <c r="C2218" s="50"/>
      <c r="D2218" s="15"/>
    </row>
    <row r="2219" spans="2:4" x14ac:dyDescent="0.25">
      <c r="B2219" s="68"/>
      <c r="C2219" s="50"/>
      <c r="D2219" s="15"/>
    </row>
    <row r="2220" spans="2:4" x14ac:dyDescent="0.25">
      <c r="B2220" s="68"/>
      <c r="C2220" s="50"/>
      <c r="D2220" s="15"/>
    </row>
    <row r="2221" spans="2:4" x14ac:dyDescent="0.25">
      <c r="B2221" s="68"/>
      <c r="C2221" s="50"/>
      <c r="D2221" s="15"/>
    </row>
    <row r="2222" spans="2:4" x14ac:dyDescent="0.25">
      <c r="B2222" s="68"/>
      <c r="C2222" s="50"/>
      <c r="D2222" s="15"/>
    </row>
    <row r="2223" spans="2:4" x14ac:dyDescent="0.25">
      <c r="B2223" s="68"/>
      <c r="C2223" s="50"/>
      <c r="D2223" s="15"/>
    </row>
    <row r="2224" spans="2:4" x14ac:dyDescent="0.25">
      <c r="B2224" s="68"/>
      <c r="C2224" s="50"/>
      <c r="D2224" s="15"/>
    </row>
    <row r="2225" spans="2:4" x14ac:dyDescent="0.25">
      <c r="B2225" s="68"/>
      <c r="C2225" s="50"/>
      <c r="D2225" s="15"/>
    </row>
    <row r="2226" spans="2:4" x14ac:dyDescent="0.25">
      <c r="B2226" s="68"/>
      <c r="C2226" s="50"/>
      <c r="D2226" s="15"/>
    </row>
    <row r="2227" spans="2:4" x14ac:dyDescent="0.25">
      <c r="B2227" s="68"/>
      <c r="C2227" s="50"/>
      <c r="D2227" s="15"/>
    </row>
    <row r="2228" spans="2:4" x14ac:dyDescent="0.25">
      <c r="B2228" s="68"/>
      <c r="C2228" s="50"/>
      <c r="D2228" s="15"/>
    </row>
    <row r="2229" spans="2:4" x14ac:dyDescent="0.25">
      <c r="B2229" s="68"/>
      <c r="C2229" s="50"/>
      <c r="D2229" s="15"/>
    </row>
    <row r="2230" spans="2:4" x14ac:dyDescent="0.25">
      <c r="B2230" s="68"/>
      <c r="C2230" s="50"/>
      <c r="D2230" s="15"/>
    </row>
    <row r="2231" spans="2:4" x14ac:dyDescent="0.25">
      <c r="B2231" s="68"/>
      <c r="C2231" s="50"/>
      <c r="D2231" s="15"/>
    </row>
    <row r="2232" spans="2:4" x14ac:dyDescent="0.25">
      <c r="B2232" s="68"/>
      <c r="C2232" s="50"/>
      <c r="D2232" s="15"/>
    </row>
    <row r="2233" spans="2:4" x14ac:dyDescent="0.25">
      <c r="B2233" s="68"/>
      <c r="C2233" s="50"/>
      <c r="D2233" s="15"/>
    </row>
    <row r="2234" spans="2:4" x14ac:dyDescent="0.25">
      <c r="B2234" s="68"/>
      <c r="C2234" s="50"/>
      <c r="D2234" s="15"/>
    </row>
    <row r="2235" spans="2:4" x14ac:dyDescent="0.25">
      <c r="B2235" s="68"/>
      <c r="C2235" s="50"/>
      <c r="D2235" s="15"/>
    </row>
    <row r="2236" spans="2:4" x14ac:dyDescent="0.25">
      <c r="B2236" s="68"/>
      <c r="C2236" s="50"/>
      <c r="D2236" s="15"/>
    </row>
    <row r="2237" spans="2:4" x14ac:dyDescent="0.25">
      <c r="B2237" s="68"/>
      <c r="C2237" s="50"/>
      <c r="D2237" s="15"/>
    </row>
    <row r="2238" spans="2:4" x14ac:dyDescent="0.25">
      <c r="B2238" s="68"/>
      <c r="C2238" s="50"/>
      <c r="D2238" s="15"/>
    </row>
    <row r="2239" spans="2:4" x14ac:dyDescent="0.25">
      <c r="B2239" s="68"/>
      <c r="C2239" s="50"/>
      <c r="D2239" s="15"/>
    </row>
    <row r="2240" spans="2:4" x14ac:dyDescent="0.25">
      <c r="B2240" s="68"/>
      <c r="C2240" s="50"/>
      <c r="D2240" s="15"/>
    </row>
    <row r="2241" spans="2:4" x14ac:dyDescent="0.25">
      <c r="B2241" s="68"/>
      <c r="C2241" s="50"/>
      <c r="D2241" s="15"/>
    </row>
    <row r="2242" spans="2:4" x14ac:dyDescent="0.25">
      <c r="B2242" s="68"/>
      <c r="C2242" s="50"/>
      <c r="D2242" s="15"/>
    </row>
    <row r="2243" spans="2:4" x14ac:dyDescent="0.25">
      <c r="B2243" s="68"/>
      <c r="C2243" s="50"/>
      <c r="D2243" s="15"/>
    </row>
    <row r="2244" spans="2:4" x14ac:dyDescent="0.25">
      <c r="B2244" s="68"/>
      <c r="C2244" s="50"/>
      <c r="D2244" s="15"/>
    </row>
    <row r="2245" spans="2:4" x14ac:dyDescent="0.25">
      <c r="B2245" s="68"/>
      <c r="C2245" s="50"/>
      <c r="D2245" s="15"/>
    </row>
    <row r="2246" spans="2:4" x14ac:dyDescent="0.25">
      <c r="B2246" s="68"/>
      <c r="C2246" s="50"/>
      <c r="D2246" s="15"/>
    </row>
    <row r="2247" spans="2:4" x14ac:dyDescent="0.25">
      <c r="B2247" s="68"/>
      <c r="C2247" s="50"/>
      <c r="D2247" s="15"/>
    </row>
    <row r="2248" spans="2:4" x14ac:dyDescent="0.25">
      <c r="B2248" s="68"/>
      <c r="C2248" s="50"/>
      <c r="D2248" s="15"/>
    </row>
    <row r="2249" spans="2:4" x14ac:dyDescent="0.25">
      <c r="B2249" s="68"/>
      <c r="C2249" s="50"/>
      <c r="D2249" s="15"/>
    </row>
    <row r="2250" spans="2:4" x14ac:dyDescent="0.25">
      <c r="B2250" s="68"/>
      <c r="C2250" s="50"/>
      <c r="D2250" s="15"/>
    </row>
    <row r="2251" spans="2:4" x14ac:dyDescent="0.25">
      <c r="B2251" s="68"/>
      <c r="C2251" s="50"/>
      <c r="D2251" s="15"/>
    </row>
    <row r="2252" spans="2:4" x14ac:dyDescent="0.25">
      <c r="B2252" s="68"/>
      <c r="C2252" s="50"/>
      <c r="D2252" s="15"/>
    </row>
    <row r="2253" spans="2:4" x14ac:dyDescent="0.25">
      <c r="B2253" s="68"/>
      <c r="C2253" s="50"/>
      <c r="D2253" s="15"/>
    </row>
    <row r="2254" spans="2:4" x14ac:dyDescent="0.25">
      <c r="B2254" s="68"/>
      <c r="C2254" s="50"/>
      <c r="D2254" s="15"/>
    </row>
    <row r="2255" spans="2:4" x14ac:dyDescent="0.25">
      <c r="B2255" s="68"/>
      <c r="C2255" s="50"/>
      <c r="D2255" s="15"/>
    </row>
    <row r="2256" spans="2:4" x14ac:dyDescent="0.25">
      <c r="B2256" s="68"/>
      <c r="C2256" s="50"/>
      <c r="D2256" s="15"/>
    </row>
    <row r="2257" spans="2:4" x14ac:dyDescent="0.25">
      <c r="B2257" s="68"/>
      <c r="C2257" s="50"/>
      <c r="D2257" s="15"/>
    </row>
    <row r="2258" spans="2:4" x14ac:dyDescent="0.25">
      <c r="B2258" s="68"/>
      <c r="C2258" s="50"/>
      <c r="D2258" s="15"/>
    </row>
    <row r="2259" spans="2:4" x14ac:dyDescent="0.25">
      <c r="B2259" s="68"/>
      <c r="C2259" s="50"/>
      <c r="D2259" s="15"/>
    </row>
    <row r="2260" spans="2:4" x14ac:dyDescent="0.25">
      <c r="B2260" s="68"/>
      <c r="C2260" s="50"/>
      <c r="D2260" s="15"/>
    </row>
    <row r="2261" spans="2:4" x14ac:dyDescent="0.25">
      <c r="B2261" s="68"/>
      <c r="C2261" s="50"/>
      <c r="D2261" s="15"/>
    </row>
    <row r="2262" spans="2:4" x14ac:dyDescent="0.25">
      <c r="B2262" s="68"/>
      <c r="C2262" s="50"/>
      <c r="D2262" s="15"/>
    </row>
    <row r="2263" spans="2:4" x14ac:dyDescent="0.25">
      <c r="B2263" s="68"/>
      <c r="C2263" s="50"/>
      <c r="D2263" s="15"/>
    </row>
    <row r="2264" spans="2:4" x14ac:dyDescent="0.25">
      <c r="B2264" s="68"/>
      <c r="C2264" s="50"/>
      <c r="D2264" s="15"/>
    </row>
    <row r="2265" spans="2:4" x14ac:dyDescent="0.25">
      <c r="B2265" s="68"/>
      <c r="C2265" s="50"/>
      <c r="D2265" s="15"/>
    </row>
    <row r="2266" spans="2:4" x14ac:dyDescent="0.25">
      <c r="B2266" s="68"/>
      <c r="C2266" s="50"/>
      <c r="D2266" s="15"/>
    </row>
    <row r="2267" spans="2:4" x14ac:dyDescent="0.25">
      <c r="B2267" s="68"/>
      <c r="C2267" s="50"/>
      <c r="D2267" s="15"/>
    </row>
    <row r="2268" spans="2:4" x14ac:dyDescent="0.25">
      <c r="B2268" s="68"/>
      <c r="C2268" s="50"/>
      <c r="D2268" s="15"/>
    </row>
    <row r="2269" spans="2:4" x14ac:dyDescent="0.25">
      <c r="B2269" s="68"/>
      <c r="C2269" s="50"/>
      <c r="D2269" s="15"/>
    </row>
    <row r="2270" spans="2:4" x14ac:dyDescent="0.25">
      <c r="B2270" s="68"/>
      <c r="C2270" s="50"/>
      <c r="D2270" s="15"/>
    </row>
    <row r="2271" spans="2:4" x14ac:dyDescent="0.25">
      <c r="B2271" s="68"/>
      <c r="C2271" s="50"/>
      <c r="D2271" s="15"/>
    </row>
    <row r="2272" spans="2:4" x14ac:dyDescent="0.25">
      <c r="B2272" s="68"/>
      <c r="C2272" s="50"/>
      <c r="D2272" s="15"/>
    </row>
    <row r="2273" spans="2:4" x14ac:dyDescent="0.25">
      <c r="B2273" s="68"/>
      <c r="C2273" s="50"/>
      <c r="D2273" s="15"/>
    </row>
    <row r="2274" spans="2:4" x14ac:dyDescent="0.25">
      <c r="B2274" s="68"/>
      <c r="C2274" s="50"/>
      <c r="D2274" s="15"/>
    </row>
    <row r="2275" spans="2:4" x14ac:dyDescent="0.25">
      <c r="B2275" s="68"/>
      <c r="C2275" s="50"/>
      <c r="D2275" s="15"/>
    </row>
    <row r="2276" spans="2:4" x14ac:dyDescent="0.25">
      <c r="B2276" s="68"/>
      <c r="C2276" s="50"/>
      <c r="D2276" s="15"/>
    </row>
    <row r="2277" spans="2:4" x14ac:dyDescent="0.25">
      <c r="B2277" s="68"/>
      <c r="C2277" s="50"/>
      <c r="D2277" s="15"/>
    </row>
    <row r="2278" spans="2:4" x14ac:dyDescent="0.25">
      <c r="B2278" s="68"/>
      <c r="C2278" s="50"/>
      <c r="D2278" s="15"/>
    </row>
    <row r="2279" spans="2:4" x14ac:dyDescent="0.25">
      <c r="B2279" s="68"/>
      <c r="C2279" s="50"/>
      <c r="D2279" s="15"/>
    </row>
    <row r="2280" spans="2:4" x14ac:dyDescent="0.25">
      <c r="B2280" s="68"/>
      <c r="C2280" s="50"/>
      <c r="D2280" s="15"/>
    </row>
    <row r="2281" spans="2:4" x14ac:dyDescent="0.25">
      <c r="B2281" s="68"/>
      <c r="C2281" s="50"/>
      <c r="D2281" s="15"/>
    </row>
    <row r="2282" spans="2:4" x14ac:dyDescent="0.25">
      <c r="B2282" s="68"/>
      <c r="C2282" s="50"/>
      <c r="D2282" s="15"/>
    </row>
    <row r="2283" spans="2:4" x14ac:dyDescent="0.25">
      <c r="B2283" s="68"/>
      <c r="C2283" s="50"/>
      <c r="D2283" s="15"/>
    </row>
    <row r="2284" spans="2:4" x14ac:dyDescent="0.25">
      <c r="B2284" s="68"/>
      <c r="C2284" s="50"/>
      <c r="D2284" s="15"/>
    </row>
    <row r="2285" spans="2:4" x14ac:dyDescent="0.25">
      <c r="B2285" s="68"/>
      <c r="C2285" s="50"/>
      <c r="D2285" s="15"/>
    </row>
    <row r="2286" spans="2:4" x14ac:dyDescent="0.25">
      <c r="B2286" s="68"/>
      <c r="C2286" s="50"/>
      <c r="D2286" s="15"/>
    </row>
    <row r="2287" spans="2:4" x14ac:dyDescent="0.25">
      <c r="B2287" s="68"/>
      <c r="C2287" s="50"/>
      <c r="D2287" s="15"/>
    </row>
    <row r="2288" spans="2:4" x14ac:dyDescent="0.25">
      <c r="B2288" s="68"/>
      <c r="C2288" s="50"/>
      <c r="D2288" s="15"/>
    </row>
    <row r="2289" spans="2:4" x14ac:dyDescent="0.25">
      <c r="B2289" s="68"/>
      <c r="C2289" s="50"/>
      <c r="D2289" s="15"/>
    </row>
    <row r="2290" spans="2:4" x14ac:dyDescent="0.25">
      <c r="B2290" s="68"/>
      <c r="C2290" s="50"/>
      <c r="D2290" s="15"/>
    </row>
    <row r="2291" spans="2:4" x14ac:dyDescent="0.25">
      <c r="B2291" s="68"/>
      <c r="C2291" s="50"/>
      <c r="D2291" s="15"/>
    </row>
    <row r="2292" spans="2:4" x14ac:dyDescent="0.25">
      <c r="B2292" s="68"/>
      <c r="C2292" s="50"/>
      <c r="D2292" s="15"/>
    </row>
    <row r="2293" spans="2:4" x14ac:dyDescent="0.25">
      <c r="B2293" s="68"/>
      <c r="C2293" s="50"/>
      <c r="D2293" s="15"/>
    </row>
    <row r="2294" spans="2:4" x14ac:dyDescent="0.25">
      <c r="B2294" s="68"/>
      <c r="C2294" s="50"/>
      <c r="D2294" s="15"/>
    </row>
    <row r="2295" spans="2:4" x14ac:dyDescent="0.25">
      <c r="B2295" s="68"/>
      <c r="C2295" s="50"/>
      <c r="D2295" s="15"/>
    </row>
    <row r="2296" spans="2:4" x14ac:dyDescent="0.25">
      <c r="B2296" s="68"/>
      <c r="C2296" s="50"/>
      <c r="D2296" s="15"/>
    </row>
    <row r="2297" spans="2:4" x14ac:dyDescent="0.25">
      <c r="B2297" s="68"/>
      <c r="C2297" s="50"/>
      <c r="D2297" s="15"/>
    </row>
    <row r="2298" spans="2:4" x14ac:dyDescent="0.25">
      <c r="B2298" s="68"/>
      <c r="C2298" s="50"/>
      <c r="D2298" s="15"/>
    </row>
    <row r="2299" spans="2:4" x14ac:dyDescent="0.25">
      <c r="B2299" s="68"/>
      <c r="C2299" s="50"/>
      <c r="D2299" s="15"/>
    </row>
    <row r="2300" spans="2:4" x14ac:dyDescent="0.25">
      <c r="B2300" s="68"/>
      <c r="C2300" s="50"/>
      <c r="D2300" s="15"/>
    </row>
    <row r="2301" spans="2:4" x14ac:dyDescent="0.25">
      <c r="B2301" s="68"/>
      <c r="C2301" s="50"/>
      <c r="D2301" s="15"/>
    </row>
    <row r="2302" spans="2:4" x14ac:dyDescent="0.25">
      <c r="B2302" s="68"/>
      <c r="C2302" s="50"/>
      <c r="D2302" s="15"/>
    </row>
    <row r="2303" spans="2:4" x14ac:dyDescent="0.25">
      <c r="B2303" s="68"/>
      <c r="C2303" s="50"/>
      <c r="D2303" s="15"/>
    </row>
    <row r="2304" spans="2:4" x14ac:dyDescent="0.25">
      <c r="B2304" s="68"/>
      <c r="C2304" s="50"/>
      <c r="D2304" s="15"/>
    </row>
    <row r="2305" spans="2:4" x14ac:dyDescent="0.25">
      <c r="B2305" s="68"/>
      <c r="C2305" s="50"/>
      <c r="D2305" s="15"/>
    </row>
    <row r="2306" spans="2:4" x14ac:dyDescent="0.25">
      <c r="B2306" s="68"/>
      <c r="C2306" s="50"/>
      <c r="D2306" s="15"/>
    </row>
    <row r="2307" spans="2:4" x14ac:dyDescent="0.25">
      <c r="B2307" s="68"/>
      <c r="C2307" s="50"/>
      <c r="D2307" s="15"/>
    </row>
    <row r="2308" spans="2:4" x14ac:dyDescent="0.25">
      <c r="B2308" s="68"/>
      <c r="C2308" s="50"/>
      <c r="D2308" s="15"/>
    </row>
    <row r="2309" spans="2:4" x14ac:dyDescent="0.25">
      <c r="B2309" s="68"/>
      <c r="C2309" s="50"/>
      <c r="D2309" s="15"/>
    </row>
    <row r="2310" spans="2:4" x14ac:dyDescent="0.25">
      <c r="B2310" s="68"/>
      <c r="C2310" s="50"/>
      <c r="D2310" s="15"/>
    </row>
    <row r="2311" spans="2:4" x14ac:dyDescent="0.25">
      <c r="B2311" s="68"/>
      <c r="C2311" s="50"/>
      <c r="D2311" s="15"/>
    </row>
    <row r="2312" spans="2:4" x14ac:dyDescent="0.25">
      <c r="B2312" s="68"/>
      <c r="C2312" s="50"/>
      <c r="D2312" s="15"/>
    </row>
    <row r="2313" spans="2:4" x14ac:dyDescent="0.25">
      <c r="B2313" s="68"/>
      <c r="C2313" s="50"/>
      <c r="D2313" s="15"/>
    </row>
    <row r="2314" spans="2:4" x14ac:dyDescent="0.25">
      <c r="B2314" s="68"/>
      <c r="C2314" s="50"/>
      <c r="D2314" s="15"/>
    </row>
    <row r="2315" spans="2:4" x14ac:dyDescent="0.25">
      <c r="B2315" s="68"/>
      <c r="C2315" s="50"/>
      <c r="D2315" s="15"/>
    </row>
    <row r="2316" spans="2:4" x14ac:dyDescent="0.25">
      <c r="B2316" s="68"/>
      <c r="C2316" s="50"/>
      <c r="D2316" s="15"/>
    </row>
    <row r="2317" spans="2:4" x14ac:dyDescent="0.25">
      <c r="B2317" s="68"/>
      <c r="C2317" s="50"/>
      <c r="D2317" s="15"/>
    </row>
    <row r="2318" spans="2:4" x14ac:dyDescent="0.25">
      <c r="B2318" s="68"/>
      <c r="C2318" s="50"/>
      <c r="D2318" s="15"/>
    </row>
    <row r="2319" spans="2:4" x14ac:dyDescent="0.25">
      <c r="B2319" s="68"/>
      <c r="C2319" s="50"/>
      <c r="D2319" s="15"/>
    </row>
    <row r="2320" spans="2:4" x14ac:dyDescent="0.25">
      <c r="B2320" s="68"/>
      <c r="C2320" s="50"/>
      <c r="D2320" s="15"/>
    </row>
    <row r="2321" spans="2:4" x14ac:dyDescent="0.25">
      <c r="B2321" s="68"/>
      <c r="C2321" s="50"/>
      <c r="D2321" s="15"/>
    </row>
    <row r="2322" spans="2:4" x14ac:dyDescent="0.25">
      <c r="B2322" s="68"/>
      <c r="C2322" s="50"/>
      <c r="D2322" s="15"/>
    </row>
    <row r="2323" spans="2:4" x14ac:dyDescent="0.25">
      <c r="B2323" s="68"/>
      <c r="C2323" s="50"/>
      <c r="D2323" s="15"/>
    </row>
    <row r="2324" spans="2:4" x14ac:dyDescent="0.25">
      <c r="B2324" s="68"/>
      <c r="C2324" s="50"/>
      <c r="D2324" s="15"/>
    </row>
    <row r="2325" spans="2:4" x14ac:dyDescent="0.25">
      <c r="B2325" s="68"/>
      <c r="C2325" s="50"/>
      <c r="D2325" s="15"/>
    </row>
    <row r="2326" spans="2:4" x14ac:dyDescent="0.25">
      <c r="B2326" s="68"/>
      <c r="C2326" s="50"/>
      <c r="D2326" s="15"/>
    </row>
    <row r="2327" spans="2:4" x14ac:dyDescent="0.25">
      <c r="B2327" s="68"/>
      <c r="C2327" s="50"/>
      <c r="D2327" s="15"/>
    </row>
    <row r="2328" spans="2:4" x14ac:dyDescent="0.25">
      <c r="B2328" s="68"/>
      <c r="C2328" s="50"/>
      <c r="D2328" s="15"/>
    </row>
    <row r="2329" spans="2:4" x14ac:dyDescent="0.25">
      <c r="B2329" s="68"/>
      <c r="C2329" s="50"/>
      <c r="D2329" s="15"/>
    </row>
    <row r="2330" spans="2:4" x14ac:dyDescent="0.25">
      <c r="B2330" s="68"/>
      <c r="C2330" s="50"/>
      <c r="D2330" s="15"/>
    </row>
    <row r="2331" spans="2:4" x14ac:dyDescent="0.25">
      <c r="B2331" s="68"/>
      <c r="C2331" s="50"/>
      <c r="D2331" s="15"/>
    </row>
    <row r="2332" spans="2:4" x14ac:dyDescent="0.25">
      <c r="B2332" s="68"/>
      <c r="C2332" s="50"/>
      <c r="D2332" s="15"/>
    </row>
    <row r="2333" spans="2:4" x14ac:dyDescent="0.25">
      <c r="B2333" s="68"/>
      <c r="C2333" s="50"/>
      <c r="D2333" s="15"/>
    </row>
    <row r="2334" spans="2:4" x14ac:dyDescent="0.25">
      <c r="B2334" s="68"/>
      <c r="C2334" s="50"/>
      <c r="D2334" s="15"/>
    </row>
    <row r="2335" spans="2:4" x14ac:dyDescent="0.25">
      <c r="B2335" s="68"/>
      <c r="C2335" s="50"/>
      <c r="D2335" s="15"/>
    </row>
    <row r="2336" spans="2:4" x14ac:dyDescent="0.25">
      <c r="B2336" s="68"/>
      <c r="C2336" s="50"/>
      <c r="D2336" s="15"/>
    </row>
    <row r="2337" spans="2:4" x14ac:dyDescent="0.25">
      <c r="B2337" s="68"/>
      <c r="C2337" s="50"/>
      <c r="D2337" s="15"/>
    </row>
    <row r="2338" spans="2:4" x14ac:dyDescent="0.25">
      <c r="B2338" s="68"/>
      <c r="C2338" s="50"/>
      <c r="D2338" s="15"/>
    </row>
    <row r="2339" spans="2:4" x14ac:dyDescent="0.25">
      <c r="B2339" s="68"/>
      <c r="C2339" s="50"/>
      <c r="D2339" s="15"/>
    </row>
    <row r="2340" spans="2:4" x14ac:dyDescent="0.25">
      <c r="B2340" s="68"/>
      <c r="C2340" s="50"/>
      <c r="D2340" s="15"/>
    </row>
    <row r="2341" spans="2:4" x14ac:dyDescent="0.25">
      <c r="B2341" s="68"/>
      <c r="C2341" s="50"/>
      <c r="D2341" s="15"/>
    </row>
    <row r="2342" spans="2:4" x14ac:dyDescent="0.25">
      <c r="B2342" s="68"/>
      <c r="C2342" s="50"/>
      <c r="D2342" s="15"/>
    </row>
    <row r="2343" spans="2:4" x14ac:dyDescent="0.25">
      <c r="B2343" s="68"/>
      <c r="C2343" s="50"/>
      <c r="D2343" s="15"/>
    </row>
    <row r="2344" spans="2:4" x14ac:dyDescent="0.25">
      <c r="B2344" s="68"/>
      <c r="C2344" s="50"/>
      <c r="D2344" s="15"/>
    </row>
    <row r="2345" spans="2:4" x14ac:dyDescent="0.25">
      <c r="B2345" s="68"/>
      <c r="C2345" s="50"/>
      <c r="D2345" s="15"/>
    </row>
    <row r="2346" spans="2:4" x14ac:dyDescent="0.25">
      <c r="B2346" s="68"/>
      <c r="C2346" s="50"/>
      <c r="D2346" s="15"/>
    </row>
    <row r="2347" spans="2:4" x14ac:dyDescent="0.25">
      <c r="B2347" s="68"/>
      <c r="C2347" s="50"/>
      <c r="D2347" s="15"/>
    </row>
    <row r="2348" spans="2:4" x14ac:dyDescent="0.25">
      <c r="B2348" s="68"/>
      <c r="C2348" s="50"/>
      <c r="D2348" s="15"/>
    </row>
    <row r="2349" spans="2:4" x14ac:dyDescent="0.25">
      <c r="B2349" s="68"/>
      <c r="C2349" s="50"/>
      <c r="D2349" s="15"/>
    </row>
    <row r="2350" spans="2:4" x14ac:dyDescent="0.25">
      <c r="B2350" s="68"/>
      <c r="C2350" s="50"/>
      <c r="D2350" s="15"/>
    </row>
    <row r="2351" spans="2:4" x14ac:dyDescent="0.25">
      <c r="B2351" s="68"/>
      <c r="C2351" s="50"/>
      <c r="D2351" s="15"/>
    </row>
    <row r="2352" spans="2:4" x14ac:dyDescent="0.25">
      <c r="B2352" s="68"/>
      <c r="C2352" s="50"/>
      <c r="D2352" s="15"/>
    </row>
    <row r="2353" spans="2:4" x14ac:dyDescent="0.25">
      <c r="B2353" s="68"/>
      <c r="C2353" s="50"/>
      <c r="D2353" s="15"/>
    </row>
    <row r="2354" spans="2:4" x14ac:dyDescent="0.25">
      <c r="B2354" s="68"/>
      <c r="C2354" s="50"/>
      <c r="D2354" s="15"/>
    </row>
    <row r="2355" spans="2:4" x14ac:dyDescent="0.25">
      <c r="B2355" s="68"/>
      <c r="C2355" s="50"/>
      <c r="D2355" s="15"/>
    </row>
    <row r="2356" spans="2:4" x14ac:dyDescent="0.25">
      <c r="B2356" s="68"/>
      <c r="C2356" s="50"/>
      <c r="D2356" s="15"/>
    </row>
    <row r="2357" spans="2:4" x14ac:dyDescent="0.25">
      <c r="B2357" s="68"/>
      <c r="C2357" s="50"/>
      <c r="D2357" s="15"/>
    </row>
    <row r="2358" spans="2:4" x14ac:dyDescent="0.25">
      <c r="B2358" s="68"/>
      <c r="C2358" s="50"/>
      <c r="D2358" s="15"/>
    </row>
    <row r="2359" spans="2:4" x14ac:dyDescent="0.25">
      <c r="B2359" s="68"/>
      <c r="C2359" s="50"/>
      <c r="D2359" s="15"/>
    </row>
    <row r="2360" spans="2:4" x14ac:dyDescent="0.25">
      <c r="B2360" s="68"/>
      <c r="C2360" s="50"/>
      <c r="D2360" s="15"/>
    </row>
    <row r="2361" spans="2:4" x14ac:dyDescent="0.25">
      <c r="B2361" s="68"/>
      <c r="C2361" s="50"/>
      <c r="D2361" s="15"/>
    </row>
    <row r="2362" spans="2:4" x14ac:dyDescent="0.25">
      <c r="B2362" s="68"/>
      <c r="C2362" s="50"/>
      <c r="D2362" s="15"/>
    </row>
    <row r="2363" spans="2:4" x14ac:dyDescent="0.25">
      <c r="B2363" s="68"/>
      <c r="C2363" s="50"/>
      <c r="D2363" s="15"/>
    </row>
    <row r="2364" spans="2:4" x14ac:dyDescent="0.25">
      <c r="B2364" s="68"/>
      <c r="C2364" s="50"/>
      <c r="D2364" s="15"/>
    </row>
    <row r="2365" spans="2:4" x14ac:dyDescent="0.25">
      <c r="B2365" s="68"/>
      <c r="C2365" s="50"/>
      <c r="D2365" s="15"/>
    </row>
    <row r="2366" spans="2:4" x14ac:dyDescent="0.25">
      <c r="B2366" s="68"/>
      <c r="C2366" s="50"/>
      <c r="D2366" s="15"/>
    </row>
    <row r="2367" spans="2:4" x14ac:dyDescent="0.25">
      <c r="B2367" s="68"/>
      <c r="C2367" s="50"/>
      <c r="D2367" s="15"/>
    </row>
    <row r="2368" spans="2:4" x14ac:dyDescent="0.25">
      <c r="B2368" s="68"/>
      <c r="C2368" s="50"/>
      <c r="D2368" s="15"/>
    </row>
    <row r="2369" spans="2:4" x14ac:dyDescent="0.25">
      <c r="B2369" s="68"/>
      <c r="C2369" s="50"/>
      <c r="D2369" s="15"/>
    </row>
    <row r="2370" spans="2:4" x14ac:dyDescent="0.25">
      <c r="B2370" s="68"/>
      <c r="C2370" s="50"/>
      <c r="D2370" s="15"/>
    </row>
    <row r="2371" spans="2:4" x14ac:dyDescent="0.25">
      <c r="B2371" s="68"/>
      <c r="C2371" s="50"/>
      <c r="D2371" s="15"/>
    </row>
    <row r="2372" spans="2:4" x14ac:dyDescent="0.25">
      <c r="B2372" s="68"/>
      <c r="C2372" s="50"/>
      <c r="D2372" s="15"/>
    </row>
    <row r="2373" spans="2:4" x14ac:dyDescent="0.25">
      <c r="B2373" s="68"/>
      <c r="C2373" s="50"/>
      <c r="D2373" s="15"/>
    </row>
    <row r="2374" spans="2:4" x14ac:dyDescent="0.25">
      <c r="B2374" s="68"/>
      <c r="C2374" s="50"/>
      <c r="D2374" s="15"/>
    </row>
    <row r="2375" spans="2:4" x14ac:dyDescent="0.25">
      <c r="B2375" s="68"/>
      <c r="C2375" s="50"/>
      <c r="D2375" s="15"/>
    </row>
    <row r="2376" spans="2:4" x14ac:dyDescent="0.25">
      <c r="B2376" s="68"/>
      <c r="C2376" s="50"/>
      <c r="D2376" s="15"/>
    </row>
    <row r="2377" spans="2:4" x14ac:dyDescent="0.25">
      <c r="B2377" s="68"/>
      <c r="C2377" s="50"/>
      <c r="D2377" s="15"/>
    </row>
    <row r="2378" spans="2:4" x14ac:dyDescent="0.25">
      <c r="B2378" s="68"/>
      <c r="C2378" s="50"/>
      <c r="D2378" s="15"/>
    </row>
    <row r="2379" spans="2:4" x14ac:dyDescent="0.25">
      <c r="B2379" s="68"/>
      <c r="C2379" s="50"/>
      <c r="D2379" s="15"/>
    </row>
    <row r="2380" spans="2:4" x14ac:dyDescent="0.25">
      <c r="B2380" s="68"/>
      <c r="C2380" s="50"/>
      <c r="D2380" s="15"/>
    </row>
    <row r="2381" spans="2:4" x14ac:dyDescent="0.25">
      <c r="B2381" s="68"/>
      <c r="C2381" s="50"/>
      <c r="D2381" s="15"/>
    </row>
    <row r="2382" spans="2:4" x14ac:dyDescent="0.25">
      <c r="B2382" s="68"/>
      <c r="C2382" s="50"/>
      <c r="D2382" s="15"/>
    </row>
    <row r="2383" spans="2:4" x14ac:dyDescent="0.25">
      <c r="B2383" s="68"/>
      <c r="C2383" s="50"/>
      <c r="D2383" s="15"/>
    </row>
    <row r="2384" spans="2:4" x14ac:dyDescent="0.25">
      <c r="B2384" s="68"/>
      <c r="C2384" s="50"/>
      <c r="D2384" s="15"/>
    </row>
    <row r="2385" spans="2:4" x14ac:dyDescent="0.25">
      <c r="B2385" s="68"/>
      <c r="C2385" s="50"/>
      <c r="D2385" s="15"/>
    </row>
    <row r="2386" spans="2:4" x14ac:dyDescent="0.25">
      <c r="B2386" s="68"/>
      <c r="C2386" s="50"/>
      <c r="D2386" s="15"/>
    </row>
    <row r="2387" spans="2:4" x14ac:dyDescent="0.25">
      <c r="B2387" s="68"/>
      <c r="C2387" s="50"/>
      <c r="D2387" s="15"/>
    </row>
    <row r="2388" spans="2:4" x14ac:dyDescent="0.25">
      <c r="B2388" s="68"/>
      <c r="C2388" s="50"/>
      <c r="D2388" s="15"/>
    </row>
    <row r="2389" spans="2:4" x14ac:dyDescent="0.25">
      <c r="B2389" s="68"/>
      <c r="C2389" s="50"/>
      <c r="D2389" s="15"/>
    </row>
    <row r="2390" spans="2:4" x14ac:dyDescent="0.25">
      <c r="B2390" s="68"/>
      <c r="C2390" s="50"/>
      <c r="D2390" s="15"/>
    </row>
    <row r="2391" spans="2:4" x14ac:dyDescent="0.25">
      <c r="B2391" s="68"/>
      <c r="C2391" s="50"/>
      <c r="D2391" s="15"/>
    </row>
    <row r="2392" spans="2:4" x14ac:dyDescent="0.25">
      <c r="B2392" s="68"/>
      <c r="C2392" s="50"/>
      <c r="D2392" s="15"/>
    </row>
    <row r="2393" spans="2:4" x14ac:dyDescent="0.25">
      <c r="B2393" s="68"/>
      <c r="C2393" s="50"/>
      <c r="D2393" s="15"/>
    </row>
    <row r="2394" spans="2:4" x14ac:dyDescent="0.25">
      <c r="B2394" s="68"/>
      <c r="C2394" s="50"/>
      <c r="D2394" s="15"/>
    </row>
    <row r="2395" spans="2:4" x14ac:dyDescent="0.25">
      <c r="B2395" s="68"/>
      <c r="C2395" s="50"/>
      <c r="D2395" s="15"/>
    </row>
    <row r="2396" spans="2:4" x14ac:dyDescent="0.25">
      <c r="B2396" s="68"/>
      <c r="C2396" s="50"/>
      <c r="D2396" s="15"/>
    </row>
    <row r="2397" spans="2:4" x14ac:dyDescent="0.25">
      <c r="B2397" s="68"/>
      <c r="C2397" s="50"/>
      <c r="D2397" s="15"/>
    </row>
    <row r="2398" spans="2:4" x14ac:dyDescent="0.25">
      <c r="B2398" s="68"/>
      <c r="C2398" s="50"/>
      <c r="D2398" s="15"/>
    </row>
    <row r="2399" spans="2:4" x14ac:dyDescent="0.25">
      <c r="B2399" s="68"/>
      <c r="C2399" s="50"/>
      <c r="D2399" s="15"/>
    </row>
    <row r="2400" spans="2:4" x14ac:dyDescent="0.25">
      <c r="B2400" s="68"/>
      <c r="C2400" s="50"/>
      <c r="D2400" s="15"/>
    </row>
    <row r="2401" spans="2:4" x14ac:dyDescent="0.25">
      <c r="B2401" s="68"/>
      <c r="C2401" s="50"/>
      <c r="D2401" s="15"/>
    </row>
    <row r="2402" spans="2:4" x14ac:dyDescent="0.25">
      <c r="B2402" s="68"/>
      <c r="C2402" s="50"/>
      <c r="D2402" s="15"/>
    </row>
    <row r="2403" spans="2:4" x14ac:dyDescent="0.25">
      <c r="B2403" s="68"/>
      <c r="C2403" s="50"/>
      <c r="D2403" s="15"/>
    </row>
    <row r="2404" spans="2:4" x14ac:dyDescent="0.25">
      <c r="B2404" s="68"/>
      <c r="C2404" s="50"/>
      <c r="D2404" s="15"/>
    </row>
    <row r="2405" spans="2:4" x14ac:dyDescent="0.25">
      <c r="B2405" s="68"/>
      <c r="C2405" s="50"/>
      <c r="D2405" s="15"/>
    </row>
    <row r="2406" spans="2:4" x14ac:dyDescent="0.25">
      <c r="B2406" s="68"/>
      <c r="C2406" s="50"/>
      <c r="D2406" s="15"/>
    </row>
    <row r="2407" spans="2:4" x14ac:dyDescent="0.25">
      <c r="B2407" s="68"/>
      <c r="C2407" s="50"/>
      <c r="D2407" s="15"/>
    </row>
    <row r="2408" spans="2:4" x14ac:dyDescent="0.25">
      <c r="B2408" s="68"/>
      <c r="C2408" s="50"/>
      <c r="D2408" s="15"/>
    </row>
    <row r="2409" spans="2:4" x14ac:dyDescent="0.25">
      <c r="B2409" s="68"/>
      <c r="C2409" s="50"/>
      <c r="D2409" s="15"/>
    </row>
    <row r="2410" spans="2:4" x14ac:dyDescent="0.25">
      <c r="B2410" s="68"/>
      <c r="C2410" s="50"/>
      <c r="D2410" s="15"/>
    </row>
    <row r="2411" spans="2:4" x14ac:dyDescent="0.25">
      <c r="B2411" s="68"/>
      <c r="C2411" s="50"/>
      <c r="D2411" s="15"/>
    </row>
    <row r="2412" spans="2:4" x14ac:dyDescent="0.25">
      <c r="B2412" s="68"/>
      <c r="C2412" s="50"/>
      <c r="D2412" s="15"/>
    </row>
    <row r="2413" spans="2:4" x14ac:dyDescent="0.25">
      <c r="B2413" s="68"/>
      <c r="C2413" s="50"/>
      <c r="D2413" s="15"/>
    </row>
    <row r="2414" spans="2:4" x14ac:dyDescent="0.25">
      <c r="B2414" s="68"/>
      <c r="C2414" s="50"/>
      <c r="D2414" s="15"/>
    </row>
    <row r="2415" spans="2:4" x14ac:dyDescent="0.25">
      <c r="B2415" s="68"/>
      <c r="C2415" s="50"/>
      <c r="D2415" s="15"/>
    </row>
    <row r="2416" spans="2:4" x14ac:dyDescent="0.25">
      <c r="B2416" s="68"/>
      <c r="C2416" s="50"/>
      <c r="D2416" s="15"/>
    </row>
    <row r="2417" spans="2:4" x14ac:dyDescent="0.25">
      <c r="B2417" s="68"/>
      <c r="C2417" s="50"/>
      <c r="D2417" s="15"/>
    </row>
    <row r="2418" spans="2:4" x14ac:dyDescent="0.25">
      <c r="B2418" s="68"/>
      <c r="C2418" s="50"/>
      <c r="D2418" s="15"/>
    </row>
    <row r="2419" spans="2:4" x14ac:dyDescent="0.25">
      <c r="B2419" s="68"/>
      <c r="C2419" s="50"/>
      <c r="D2419" s="15"/>
    </row>
    <row r="2420" spans="2:4" x14ac:dyDescent="0.25">
      <c r="B2420" s="68"/>
      <c r="C2420" s="50"/>
      <c r="D2420" s="15"/>
    </row>
    <row r="2421" spans="2:4" x14ac:dyDescent="0.25">
      <c r="B2421" s="68"/>
      <c r="C2421" s="50"/>
      <c r="D2421" s="15"/>
    </row>
    <row r="2422" spans="2:4" x14ac:dyDescent="0.25">
      <c r="B2422" s="68"/>
      <c r="C2422" s="50"/>
      <c r="D2422" s="15"/>
    </row>
    <row r="2423" spans="2:4" x14ac:dyDescent="0.25">
      <c r="B2423" s="68"/>
      <c r="C2423" s="50"/>
      <c r="D2423" s="15"/>
    </row>
    <row r="2424" spans="2:4" x14ac:dyDescent="0.25">
      <c r="B2424" s="68"/>
      <c r="C2424" s="50"/>
      <c r="D2424" s="15"/>
    </row>
    <row r="2425" spans="2:4" x14ac:dyDescent="0.25">
      <c r="B2425" s="68"/>
      <c r="C2425" s="50"/>
      <c r="D2425" s="15"/>
    </row>
    <row r="2426" spans="2:4" x14ac:dyDescent="0.25">
      <c r="B2426" s="68"/>
      <c r="C2426" s="50"/>
      <c r="D2426" s="15"/>
    </row>
    <row r="2427" spans="2:4" x14ac:dyDescent="0.25">
      <c r="B2427" s="68"/>
      <c r="C2427" s="50"/>
      <c r="D2427" s="15"/>
    </row>
    <row r="2428" spans="2:4" x14ac:dyDescent="0.25">
      <c r="B2428" s="68"/>
      <c r="C2428" s="50"/>
      <c r="D2428" s="15"/>
    </row>
    <row r="2429" spans="2:4" x14ac:dyDescent="0.25">
      <c r="B2429" s="68"/>
      <c r="C2429" s="50"/>
      <c r="D2429" s="15"/>
    </row>
    <row r="2430" spans="2:4" x14ac:dyDescent="0.25">
      <c r="B2430" s="68"/>
      <c r="C2430" s="50"/>
      <c r="D2430" s="15"/>
    </row>
    <row r="2431" spans="2:4" x14ac:dyDescent="0.25">
      <c r="B2431" s="68"/>
      <c r="C2431" s="50"/>
      <c r="D2431" s="15"/>
    </row>
    <row r="2432" spans="2:4" x14ac:dyDescent="0.25">
      <c r="B2432" s="68"/>
      <c r="C2432" s="50"/>
      <c r="D2432" s="15"/>
    </row>
    <row r="2433" spans="2:4" x14ac:dyDescent="0.25">
      <c r="B2433" s="68"/>
      <c r="C2433" s="50"/>
      <c r="D2433" s="15"/>
    </row>
    <row r="2434" spans="2:4" x14ac:dyDescent="0.25">
      <c r="B2434" s="68"/>
      <c r="C2434" s="50"/>
      <c r="D2434" s="15"/>
    </row>
    <row r="2435" spans="2:4" x14ac:dyDescent="0.25">
      <c r="B2435" s="68"/>
      <c r="C2435" s="50"/>
      <c r="D2435" s="15"/>
    </row>
    <row r="2436" spans="2:4" x14ac:dyDescent="0.25">
      <c r="B2436" s="68"/>
      <c r="C2436" s="50"/>
      <c r="D2436" s="15"/>
    </row>
    <row r="2437" spans="2:4" x14ac:dyDescent="0.25">
      <c r="B2437" s="68"/>
      <c r="C2437" s="50"/>
      <c r="D2437" s="15"/>
    </row>
    <row r="2438" spans="2:4" x14ac:dyDescent="0.25">
      <c r="B2438" s="68"/>
      <c r="C2438" s="50"/>
      <c r="D2438" s="15"/>
    </row>
    <row r="2439" spans="2:4" x14ac:dyDescent="0.25">
      <c r="B2439" s="68"/>
      <c r="C2439" s="50"/>
      <c r="D2439" s="15"/>
    </row>
    <row r="2440" spans="2:4" x14ac:dyDescent="0.25">
      <c r="B2440" s="68"/>
      <c r="C2440" s="50"/>
      <c r="D2440" s="15"/>
    </row>
    <row r="2441" spans="2:4" x14ac:dyDescent="0.25">
      <c r="B2441" s="68"/>
      <c r="C2441" s="50"/>
      <c r="D2441" s="15"/>
    </row>
    <row r="2442" spans="2:4" x14ac:dyDescent="0.25">
      <c r="B2442" s="68"/>
      <c r="C2442" s="50"/>
      <c r="D2442" s="15"/>
    </row>
    <row r="2443" spans="2:4" x14ac:dyDescent="0.25">
      <c r="B2443" s="68"/>
      <c r="C2443" s="50"/>
      <c r="D2443" s="15"/>
    </row>
    <row r="2444" spans="2:4" x14ac:dyDescent="0.25">
      <c r="B2444" s="68"/>
      <c r="C2444" s="50"/>
      <c r="D2444" s="15"/>
    </row>
    <row r="2445" spans="2:4" x14ac:dyDescent="0.25">
      <c r="B2445" s="68"/>
      <c r="C2445" s="50"/>
      <c r="D2445" s="15"/>
    </row>
    <row r="2446" spans="2:4" x14ac:dyDescent="0.25">
      <c r="B2446" s="68"/>
      <c r="C2446" s="50"/>
      <c r="D2446" s="15"/>
    </row>
    <row r="2447" spans="2:4" x14ac:dyDescent="0.25">
      <c r="B2447" s="68"/>
      <c r="C2447" s="50"/>
      <c r="D2447" s="15"/>
    </row>
    <row r="2448" spans="2:4" x14ac:dyDescent="0.25">
      <c r="B2448" s="68"/>
      <c r="C2448" s="50"/>
      <c r="D2448" s="15"/>
    </row>
    <row r="2449" spans="2:4" x14ac:dyDescent="0.25">
      <c r="B2449" s="68"/>
      <c r="C2449" s="50"/>
      <c r="D2449" s="15"/>
    </row>
    <row r="2450" spans="2:4" x14ac:dyDescent="0.25">
      <c r="B2450" s="68"/>
      <c r="C2450" s="50"/>
      <c r="D2450" s="15"/>
    </row>
    <row r="2451" spans="2:4" x14ac:dyDescent="0.25">
      <c r="B2451" s="68"/>
      <c r="C2451" s="50"/>
      <c r="D2451" s="15"/>
    </row>
    <row r="2452" spans="2:4" x14ac:dyDescent="0.25">
      <c r="B2452" s="68"/>
      <c r="C2452" s="50"/>
      <c r="D2452" s="15"/>
    </row>
    <row r="2453" spans="2:4" x14ac:dyDescent="0.25">
      <c r="B2453" s="68"/>
      <c r="C2453" s="50"/>
      <c r="D2453" s="15"/>
    </row>
    <row r="2454" spans="2:4" x14ac:dyDescent="0.25">
      <c r="B2454" s="68"/>
      <c r="C2454" s="50"/>
      <c r="D2454" s="15"/>
    </row>
    <row r="2455" spans="2:4" x14ac:dyDescent="0.25">
      <c r="B2455" s="68"/>
      <c r="C2455" s="50"/>
      <c r="D2455" s="15"/>
    </row>
    <row r="2456" spans="2:4" x14ac:dyDescent="0.25">
      <c r="B2456" s="68"/>
      <c r="C2456" s="50"/>
      <c r="D2456" s="15"/>
    </row>
    <row r="2457" spans="2:4" x14ac:dyDescent="0.25">
      <c r="B2457" s="68"/>
      <c r="C2457" s="50"/>
      <c r="D2457" s="15"/>
    </row>
    <row r="2458" spans="2:4" x14ac:dyDescent="0.25">
      <c r="B2458" s="68"/>
      <c r="C2458" s="50"/>
      <c r="D2458" s="15"/>
    </row>
    <row r="2459" spans="2:4" x14ac:dyDescent="0.25">
      <c r="B2459" s="68"/>
      <c r="C2459" s="50"/>
      <c r="D2459" s="15"/>
    </row>
    <row r="2460" spans="2:4" x14ac:dyDescent="0.25">
      <c r="B2460" s="68"/>
      <c r="C2460" s="50"/>
      <c r="D2460" s="15"/>
    </row>
    <row r="2461" spans="2:4" x14ac:dyDescent="0.25">
      <c r="B2461" s="68"/>
      <c r="C2461" s="50"/>
      <c r="D2461" s="15"/>
    </row>
    <row r="2462" spans="2:4" x14ac:dyDescent="0.25">
      <c r="B2462" s="68"/>
      <c r="C2462" s="50"/>
      <c r="D2462" s="15"/>
    </row>
    <row r="2463" spans="2:4" x14ac:dyDescent="0.25">
      <c r="B2463" s="68"/>
      <c r="C2463" s="50"/>
      <c r="D2463" s="15"/>
    </row>
    <row r="2464" spans="2:4" x14ac:dyDescent="0.25">
      <c r="B2464" s="68"/>
      <c r="C2464" s="50"/>
      <c r="D2464" s="15"/>
    </row>
    <row r="2465" spans="2:4" x14ac:dyDescent="0.25">
      <c r="B2465" s="68"/>
      <c r="C2465" s="50"/>
      <c r="D2465" s="15"/>
    </row>
    <row r="2466" spans="2:4" x14ac:dyDescent="0.25">
      <c r="B2466" s="68"/>
      <c r="C2466" s="50"/>
      <c r="D2466" s="15"/>
    </row>
    <row r="2467" spans="2:4" x14ac:dyDescent="0.25">
      <c r="B2467" s="68"/>
      <c r="C2467" s="50"/>
      <c r="D2467" s="15"/>
    </row>
    <row r="2468" spans="2:4" x14ac:dyDescent="0.25">
      <c r="B2468" s="68"/>
      <c r="C2468" s="50"/>
      <c r="D2468" s="15"/>
    </row>
    <row r="2469" spans="2:4" x14ac:dyDescent="0.25">
      <c r="B2469" s="68"/>
      <c r="C2469" s="50"/>
      <c r="D2469" s="15"/>
    </row>
    <row r="2470" spans="2:4" x14ac:dyDescent="0.25">
      <c r="B2470" s="68"/>
      <c r="C2470" s="50"/>
      <c r="D2470" s="15"/>
    </row>
    <row r="2471" spans="2:4" x14ac:dyDescent="0.25">
      <c r="B2471" s="68"/>
      <c r="C2471" s="50"/>
      <c r="D2471" s="15"/>
    </row>
    <row r="2472" spans="2:4" x14ac:dyDescent="0.25">
      <c r="B2472" s="68"/>
      <c r="C2472" s="50"/>
      <c r="D2472" s="15"/>
    </row>
    <row r="2473" spans="2:4" x14ac:dyDescent="0.25">
      <c r="B2473" s="68"/>
      <c r="C2473" s="50"/>
      <c r="D2473" s="15"/>
    </row>
    <row r="2474" spans="2:4" x14ac:dyDescent="0.25">
      <c r="B2474" s="68"/>
      <c r="C2474" s="50"/>
      <c r="D2474" s="15"/>
    </row>
    <row r="2475" spans="2:4" x14ac:dyDescent="0.25">
      <c r="B2475" s="68"/>
      <c r="C2475" s="50"/>
      <c r="D2475" s="15"/>
    </row>
    <row r="2476" spans="2:4" x14ac:dyDescent="0.25">
      <c r="B2476" s="68"/>
      <c r="C2476" s="50"/>
      <c r="D2476" s="15"/>
    </row>
    <row r="2477" spans="2:4" x14ac:dyDescent="0.25">
      <c r="B2477" s="68"/>
      <c r="C2477" s="50"/>
      <c r="D2477" s="15"/>
    </row>
    <row r="2478" spans="2:4" x14ac:dyDescent="0.25">
      <c r="B2478" s="68"/>
      <c r="C2478" s="50"/>
      <c r="D2478" s="15"/>
    </row>
    <row r="2479" spans="2:4" x14ac:dyDescent="0.25">
      <c r="B2479" s="68"/>
      <c r="C2479" s="50"/>
      <c r="D2479" s="15"/>
    </row>
    <row r="2480" spans="2:4" x14ac:dyDescent="0.25">
      <c r="B2480" s="68"/>
      <c r="C2480" s="50"/>
      <c r="D2480" s="15"/>
    </row>
    <row r="2481" spans="2:4" x14ac:dyDescent="0.25">
      <c r="B2481" s="68"/>
      <c r="C2481" s="50"/>
      <c r="D2481" s="15"/>
    </row>
    <row r="2482" spans="2:4" x14ac:dyDescent="0.25">
      <c r="B2482" s="68"/>
      <c r="C2482" s="50"/>
      <c r="D2482" s="15"/>
    </row>
    <row r="2483" spans="2:4" x14ac:dyDescent="0.25">
      <c r="B2483" s="68"/>
      <c r="C2483" s="50"/>
      <c r="D2483" s="15"/>
    </row>
    <row r="2484" spans="2:4" x14ac:dyDescent="0.25">
      <c r="B2484" s="68"/>
      <c r="C2484" s="50"/>
      <c r="D2484" s="15"/>
    </row>
    <row r="2485" spans="2:4" x14ac:dyDescent="0.25">
      <c r="B2485" s="68"/>
      <c r="C2485" s="50"/>
      <c r="D2485" s="15"/>
    </row>
    <row r="2486" spans="2:4" x14ac:dyDescent="0.25">
      <c r="B2486" s="68"/>
      <c r="C2486" s="50"/>
      <c r="D2486" s="15"/>
    </row>
    <row r="2487" spans="2:4" x14ac:dyDescent="0.25">
      <c r="B2487" s="68"/>
      <c r="C2487" s="50"/>
      <c r="D2487" s="15"/>
    </row>
    <row r="2488" spans="2:4" x14ac:dyDescent="0.25">
      <c r="B2488" s="68"/>
      <c r="C2488" s="50"/>
      <c r="D2488" s="15"/>
    </row>
    <row r="2489" spans="2:4" x14ac:dyDescent="0.25">
      <c r="B2489" s="68"/>
      <c r="C2489" s="50"/>
      <c r="D2489" s="15"/>
    </row>
    <row r="2490" spans="2:4" x14ac:dyDescent="0.25">
      <c r="B2490" s="68"/>
      <c r="C2490" s="50"/>
      <c r="D2490" s="15"/>
    </row>
    <row r="2491" spans="2:4" x14ac:dyDescent="0.25">
      <c r="B2491" s="68"/>
      <c r="C2491" s="50"/>
      <c r="D2491" s="15"/>
    </row>
    <row r="2492" spans="2:4" x14ac:dyDescent="0.25">
      <c r="B2492" s="68"/>
      <c r="C2492" s="50"/>
      <c r="D2492" s="15"/>
    </row>
    <row r="2493" spans="2:4" x14ac:dyDescent="0.25">
      <c r="B2493" s="68"/>
      <c r="C2493" s="50"/>
      <c r="D2493" s="15"/>
    </row>
    <row r="2494" spans="2:4" x14ac:dyDescent="0.25">
      <c r="B2494" s="68"/>
      <c r="C2494" s="50"/>
      <c r="D2494" s="15"/>
    </row>
    <row r="2495" spans="2:4" x14ac:dyDescent="0.25">
      <c r="B2495" s="68"/>
      <c r="C2495" s="50"/>
      <c r="D2495" s="15"/>
    </row>
    <row r="2496" spans="2:4" x14ac:dyDescent="0.25">
      <c r="B2496" s="68"/>
      <c r="C2496" s="50"/>
      <c r="D2496" s="15"/>
    </row>
    <row r="2497" spans="2:4" x14ac:dyDescent="0.25">
      <c r="B2497" s="68"/>
      <c r="C2497" s="50"/>
      <c r="D2497" s="15"/>
    </row>
    <row r="2498" spans="2:4" x14ac:dyDescent="0.25">
      <c r="B2498" s="68"/>
      <c r="C2498" s="50"/>
      <c r="D2498" s="15"/>
    </row>
    <row r="2499" spans="2:4" x14ac:dyDescent="0.25">
      <c r="B2499" s="68"/>
      <c r="C2499" s="50"/>
      <c r="D2499" s="15"/>
    </row>
    <row r="2500" spans="2:4" x14ac:dyDescent="0.25">
      <c r="B2500" s="68"/>
      <c r="C2500" s="50"/>
      <c r="D2500" s="15"/>
    </row>
    <row r="2501" spans="2:4" x14ac:dyDescent="0.25">
      <c r="B2501" s="68"/>
      <c r="C2501" s="50"/>
      <c r="D2501" s="15"/>
    </row>
    <row r="2502" spans="2:4" x14ac:dyDescent="0.25">
      <c r="B2502" s="68"/>
      <c r="C2502" s="50"/>
      <c r="D2502" s="15"/>
    </row>
    <row r="2503" spans="2:4" x14ac:dyDescent="0.25">
      <c r="B2503" s="68"/>
      <c r="C2503" s="50"/>
      <c r="D2503" s="15"/>
    </row>
    <row r="2504" spans="2:4" x14ac:dyDescent="0.25">
      <c r="B2504" s="68"/>
      <c r="C2504" s="50"/>
      <c r="D2504" s="15"/>
    </row>
    <row r="2505" spans="2:4" x14ac:dyDescent="0.25">
      <c r="B2505" s="68"/>
      <c r="C2505" s="50"/>
      <c r="D2505" s="15"/>
    </row>
    <row r="2506" spans="2:4" x14ac:dyDescent="0.25">
      <c r="B2506" s="68"/>
      <c r="C2506" s="50"/>
      <c r="D2506" s="15"/>
    </row>
    <row r="2507" spans="2:4" x14ac:dyDescent="0.25">
      <c r="B2507" s="68"/>
      <c r="C2507" s="50"/>
      <c r="D2507" s="15"/>
    </row>
    <row r="2508" spans="2:4" x14ac:dyDescent="0.25">
      <c r="B2508" s="68"/>
      <c r="C2508" s="50"/>
      <c r="D2508" s="15"/>
    </row>
    <row r="2509" spans="2:4" x14ac:dyDescent="0.25">
      <c r="B2509" s="68"/>
      <c r="C2509" s="50"/>
      <c r="D2509" s="15"/>
    </row>
    <row r="2510" spans="2:4" x14ac:dyDescent="0.25">
      <c r="B2510" s="68"/>
      <c r="C2510" s="50"/>
      <c r="D2510" s="15"/>
    </row>
    <row r="2511" spans="2:4" x14ac:dyDescent="0.25">
      <c r="B2511" s="68"/>
      <c r="C2511" s="50"/>
      <c r="D2511" s="15"/>
    </row>
    <row r="2512" spans="2:4" x14ac:dyDescent="0.25">
      <c r="B2512" s="68"/>
      <c r="C2512" s="50"/>
      <c r="D2512" s="15"/>
    </row>
    <row r="2513" spans="2:4" x14ac:dyDescent="0.25">
      <c r="B2513" s="68"/>
      <c r="C2513" s="50"/>
      <c r="D2513" s="15"/>
    </row>
    <row r="2514" spans="2:4" x14ac:dyDescent="0.25">
      <c r="B2514" s="68"/>
      <c r="C2514" s="50"/>
      <c r="D2514" s="15"/>
    </row>
    <row r="2515" spans="2:4" x14ac:dyDescent="0.25">
      <c r="B2515" s="68"/>
      <c r="C2515" s="50"/>
      <c r="D2515" s="15"/>
    </row>
    <row r="2516" spans="2:4" x14ac:dyDescent="0.25">
      <c r="B2516" s="68"/>
      <c r="C2516" s="50"/>
      <c r="D2516" s="15"/>
    </row>
    <row r="2517" spans="2:4" x14ac:dyDescent="0.25">
      <c r="B2517" s="68"/>
      <c r="C2517" s="50"/>
      <c r="D2517" s="15"/>
    </row>
    <row r="2518" spans="2:4" x14ac:dyDescent="0.25">
      <c r="B2518" s="68"/>
      <c r="C2518" s="50"/>
      <c r="D2518" s="15"/>
    </row>
    <row r="2519" spans="2:4" x14ac:dyDescent="0.25">
      <c r="B2519" s="68"/>
      <c r="C2519" s="50"/>
      <c r="D2519" s="15"/>
    </row>
    <row r="2520" spans="2:4" x14ac:dyDescent="0.25">
      <c r="B2520" s="68"/>
      <c r="C2520" s="50"/>
      <c r="D2520" s="15"/>
    </row>
    <row r="2521" spans="2:4" x14ac:dyDescent="0.25">
      <c r="B2521" s="68"/>
      <c r="C2521" s="50"/>
      <c r="D2521" s="15"/>
    </row>
    <row r="2522" spans="2:4" x14ac:dyDescent="0.25">
      <c r="B2522" s="68"/>
      <c r="C2522" s="50"/>
      <c r="D2522" s="15"/>
    </row>
    <row r="2523" spans="2:4" x14ac:dyDescent="0.25">
      <c r="B2523" s="68"/>
      <c r="C2523" s="50"/>
      <c r="D2523" s="15"/>
    </row>
    <row r="2524" spans="2:4" x14ac:dyDescent="0.25">
      <c r="B2524" s="68"/>
      <c r="C2524" s="50"/>
      <c r="D2524" s="15"/>
    </row>
    <row r="2525" spans="2:4" x14ac:dyDescent="0.25">
      <c r="B2525" s="68"/>
      <c r="C2525" s="50"/>
      <c r="D2525" s="15"/>
    </row>
    <row r="2526" spans="2:4" x14ac:dyDescent="0.25">
      <c r="B2526" s="68"/>
      <c r="C2526" s="50"/>
      <c r="D2526" s="15"/>
    </row>
    <row r="2527" spans="2:4" x14ac:dyDescent="0.25">
      <c r="B2527" s="68"/>
      <c r="C2527" s="50"/>
      <c r="D2527" s="15"/>
    </row>
    <row r="2528" spans="2:4" x14ac:dyDescent="0.25">
      <c r="B2528" s="68"/>
      <c r="C2528" s="50"/>
      <c r="D2528" s="15"/>
    </row>
    <row r="2529" spans="2:4" x14ac:dyDescent="0.25">
      <c r="B2529" s="68"/>
      <c r="C2529" s="50"/>
      <c r="D2529" s="15"/>
    </row>
    <row r="2530" spans="2:4" x14ac:dyDescent="0.25">
      <c r="B2530" s="68"/>
      <c r="C2530" s="50"/>
      <c r="D2530" s="15"/>
    </row>
    <row r="2531" spans="2:4" x14ac:dyDescent="0.25">
      <c r="B2531" s="68"/>
      <c r="C2531" s="50"/>
      <c r="D2531" s="15"/>
    </row>
    <row r="2532" spans="2:4" x14ac:dyDescent="0.25">
      <c r="B2532" s="68"/>
      <c r="C2532" s="50"/>
      <c r="D2532" s="15"/>
    </row>
    <row r="2533" spans="2:4" x14ac:dyDescent="0.25">
      <c r="B2533" s="68"/>
      <c r="C2533" s="50"/>
      <c r="D2533" s="15"/>
    </row>
    <row r="2534" spans="2:4" x14ac:dyDescent="0.25">
      <c r="B2534" s="68"/>
      <c r="C2534" s="50"/>
      <c r="D2534" s="15"/>
    </row>
    <row r="2535" spans="2:4" x14ac:dyDescent="0.25">
      <c r="B2535" s="68"/>
      <c r="C2535" s="50"/>
      <c r="D2535" s="15"/>
    </row>
    <row r="2536" spans="2:4" x14ac:dyDescent="0.25">
      <c r="B2536" s="68"/>
      <c r="C2536" s="50"/>
      <c r="D2536" s="15"/>
    </row>
    <row r="2537" spans="2:4" x14ac:dyDescent="0.25">
      <c r="B2537" s="68"/>
      <c r="C2537" s="50"/>
      <c r="D2537" s="15"/>
    </row>
    <row r="2538" spans="2:4" x14ac:dyDescent="0.25">
      <c r="B2538" s="68"/>
      <c r="C2538" s="50"/>
      <c r="D2538" s="15"/>
    </row>
    <row r="2539" spans="2:4" x14ac:dyDescent="0.25">
      <c r="B2539" s="68"/>
      <c r="C2539" s="50"/>
      <c r="D2539" s="15"/>
    </row>
    <row r="2540" spans="2:4" x14ac:dyDescent="0.25">
      <c r="B2540" s="68"/>
      <c r="C2540" s="50"/>
      <c r="D2540" s="15"/>
    </row>
    <row r="2541" spans="2:4" x14ac:dyDescent="0.25">
      <c r="B2541" s="68"/>
      <c r="C2541" s="50"/>
      <c r="D2541" s="15"/>
    </row>
    <row r="2542" spans="2:4" x14ac:dyDescent="0.25">
      <c r="B2542" s="68"/>
      <c r="C2542" s="50"/>
      <c r="D2542" s="15"/>
    </row>
    <row r="2543" spans="2:4" x14ac:dyDescent="0.25">
      <c r="B2543" s="68"/>
      <c r="C2543" s="50"/>
      <c r="D2543" s="15"/>
    </row>
    <row r="2544" spans="2:4" x14ac:dyDescent="0.25">
      <c r="B2544" s="68"/>
      <c r="C2544" s="50"/>
      <c r="D2544" s="15"/>
    </row>
    <row r="2545" spans="2:4" x14ac:dyDescent="0.25">
      <c r="B2545" s="68"/>
      <c r="C2545" s="50"/>
      <c r="D2545" s="15"/>
    </row>
    <row r="2546" spans="2:4" x14ac:dyDescent="0.25">
      <c r="B2546" s="68"/>
      <c r="C2546" s="50"/>
      <c r="D2546" s="15"/>
    </row>
    <row r="2547" spans="2:4" x14ac:dyDescent="0.25">
      <c r="B2547" s="68"/>
      <c r="C2547" s="50"/>
      <c r="D2547" s="15"/>
    </row>
    <row r="2548" spans="2:4" x14ac:dyDescent="0.25">
      <c r="B2548" s="68"/>
      <c r="C2548" s="50"/>
      <c r="D2548" s="15"/>
    </row>
    <row r="2549" spans="2:4" x14ac:dyDescent="0.25">
      <c r="B2549" s="68"/>
      <c r="C2549" s="50"/>
      <c r="D2549" s="15"/>
    </row>
    <row r="2550" spans="2:4" x14ac:dyDescent="0.25">
      <c r="B2550" s="68"/>
      <c r="C2550" s="50"/>
      <c r="D2550" s="15"/>
    </row>
    <row r="2551" spans="2:4" x14ac:dyDescent="0.25">
      <c r="B2551" s="68"/>
      <c r="C2551" s="50"/>
      <c r="D2551" s="15"/>
    </row>
    <row r="2552" spans="2:4" x14ac:dyDescent="0.25">
      <c r="B2552" s="68"/>
      <c r="C2552" s="50"/>
      <c r="D2552" s="15"/>
    </row>
    <row r="2553" spans="2:4" x14ac:dyDescent="0.25">
      <c r="B2553" s="68"/>
      <c r="C2553" s="50"/>
      <c r="D2553" s="15"/>
    </row>
    <row r="2554" spans="2:4" x14ac:dyDescent="0.25">
      <c r="B2554" s="68"/>
      <c r="C2554" s="50"/>
      <c r="D2554" s="15"/>
    </row>
    <row r="2555" spans="2:4" x14ac:dyDescent="0.25">
      <c r="B2555" s="68"/>
      <c r="C2555" s="50"/>
      <c r="D2555" s="15"/>
    </row>
    <row r="2556" spans="2:4" x14ac:dyDescent="0.25">
      <c r="B2556" s="68"/>
      <c r="C2556" s="50"/>
      <c r="D2556" s="15"/>
    </row>
    <row r="2557" spans="2:4" x14ac:dyDescent="0.25">
      <c r="B2557" s="68"/>
      <c r="C2557" s="50"/>
      <c r="D2557" s="15"/>
    </row>
    <row r="2558" spans="2:4" x14ac:dyDescent="0.25">
      <c r="B2558" s="68"/>
      <c r="C2558" s="50"/>
      <c r="D2558" s="15"/>
    </row>
    <row r="2559" spans="2:4" x14ac:dyDescent="0.25">
      <c r="B2559" s="68"/>
      <c r="C2559" s="50"/>
      <c r="D2559" s="15"/>
    </row>
    <row r="2560" spans="2:4" x14ac:dyDescent="0.25">
      <c r="B2560" s="68"/>
      <c r="C2560" s="50"/>
      <c r="D2560" s="15"/>
    </row>
    <row r="2561" spans="2:4" x14ac:dyDescent="0.25">
      <c r="B2561" s="68"/>
      <c r="C2561" s="50"/>
      <c r="D2561" s="15"/>
    </row>
    <row r="2562" spans="2:4" x14ac:dyDescent="0.25">
      <c r="B2562" s="68"/>
      <c r="C2562" s="50"/>
      <c r="D2562" s="15"/>
    </row>
    <row r="2563" spans="2:4" x14ac:dyDescent="0.25">
      <c r="B2563" s="68"/>
      <c r="C2563" s="50"/>
      <c r="D2563" s="15"/>
    </row>
    <row r="2564" spans="2:4" x14ac:dyDescent="0.25">
      <c r="B2564" s="68"/>
      <c r="C2564" s="50"/>
      <c r="D2564" s="15"/>
    </row>
    <row r="2565" spans="2:4" x14ac:dyDescent="0.25">
      <c r="B2565" s="68"/>
      <c r="C2565" s="50"/>
      <c r="D2565" s="15"/>
    </row>
    <row r="2566" spans="2:4" x14ac:dyDescent="0.25">
      <c r="B2566" s="68"/>
      <c r="C2566" s="50"/>
      <c r="D2566" s="15"/>
    </row>
    <row r="2567" spans="2:4" x14ac:dyDescent="0.25">
      <c r="B2567" s="68"/>
      <c r="C2567" s="50"/>
      <c r="D2567" s="15"/>
    </row>
    <row r="2568" spans="2:4" x14ac:dyDescent="0.25">
      <c r="B2568" s="68"/>
      <c r="C2568" s="50"/>
      <c r="D2568" s="15"/>
    </row>
    <row r="2569" spans="2:4" x14ac:dyDescent="0.25">
      <c r="B2569" s="68"/>
      <c r="C2569" s="50"/>
      <c r="D2569" s="15"/>
    </row>
    <row r="2570" spans="2:4" x14ac:dyDescent="0.25">
      <c r="B2570" s="68"/>
      <c r="C2570" s="50"/>
      <c r="D2570" s="15"/>
    </row>
    <row r="2571" spans="2:4" x14ac:dyDescent="0.25">
      <c r="B2571" s="68"/>
      <c r="C2571" s="50"/>
      <c r="D2571" s="15"/>
    </row>
    <row r="2572" spans="2:4" x14ac:dyDescent="0.25">
      <c r="B2572" s="68"/>
      <c r="C2572" s="50"/>
      <c r="D2572" s="15"/>
    </row>
    <row r="2573" spans="2:4" x14ac:dyDescent="0.25">
      <c r="B2573" s="68"/>
      <c r="C2573" s="50"/>
      <c r="D2573" s="15"/>
    </row>
    <row r="2574" spans="2:4" x14ac:dyDescent="0.25">
      <c r="B2574" s="68"/>
      <c r="C2574" s="50"/>
      <c r="D2574" s="15"/>
    </row>
    <row r="2575" spans="2:4" x14ac:dyDescent="0.25">
      <c r="B2575" s="68"/>
      <c r="C2575" s="50"/>
      <c r="D2575" s="15"/>
    </row>
    <row r="2576" spans="2:4" x14ac:dyDescent="0.25">
      <c r="B2576" s="68"/>
      <c r="C2576" s="50"/>
      <c r="D2576" s="15"/>
    </row>
    <row r="2577" spans="2:4" x14ac:dyDescent="0.25">
      <c r="B2577" s="68"/>
      <c r="C2577" s="50"/>
      <c r="D2577" s="15"/>
    </row>
    <row r="2578" spans="2:4" x14ac:dyDescent="0.25">
      <c r="B2578" s="68"/>
      <c r="C2578" s="50"/>
      <c r="D2578" s="15"/>
    </row>
    <row r="2579" spans="2:4" x14ac:dyDescent="0.25">
      <c r="B2579" s="68"/>
      <c r="C2579" s="50"/>
      <c r="D2579" s="15"/>
    </row>
    <row r="2580" spans="2:4" x14ac:dyDescent="0.25">
      <c r="B2580" s="68"/>
      <c r="C2580" s="50"/>
      <c r="D2580" s="15"/>
    </row>
    <row r="2581" spans="2:4" x14ac:dyDescent="0.25">
      <c r="B2581" s="68"/>
      <c r="C2581" s="50"/>
      <c r="D2581" s="15"/>
    </row>
    <row r="2582" spans="2:4" x14ac:dyDescent="0.25">
      <c r="B2582" s="68"/>
      <c r="C2582" s="50"/>
      <c r="D2582" s="15"/>
    </row>
    <row r="2583" spans="2:4" x14ac:dyDescent="0.25">
      <c r="B2583" s="68"/>
      <c r="C2583" s="50"/>
      <c r="D2583" s="15"/>
    </row>
    <row r="2584" spans="2:4" x14ac:dyDescent="0.25">
      <c r="B2584" s="68"/>
      <c r="C2584" s="50"/>
      <c r="D2584" s="15"/>
    </row>
    <row r="2585" spans="2:4" x14ac:dyDescent="0.25">
      <c r="B2585" s="68"/>
      <c r="C2585" s="50"/>
      <c r="D2585" s="15"/>
    </row>
    <row r="2586" spans="2:4" x14ac:dyDescent="0.25">
      <c r="B2586" s="68"/>
      <c r="C2586" s="50"/>
      <c r="D2586" s="15"/>
    </row>
    <row r="2587" spans="2:4" x14ac:dyDescent="0.25">
      <c r="B2587" s="68"/>
      <c r="C2587" s="50"/>
      <c r="D2587" s="15"/>
    </row>
    <row r="2588" spans="2:4" x14ac:dyDescent="0.25">
      <c r="B2588" s="68"/>
      <c r="C2588" s="50"/>
      <c r="D2588" s="15"/>
    </row>
    <row r="2589" spans="2:4" x14ac:dyDescent="0.25">
      <c r="B2589" s="68"/>
      <c r="C2589" s="50"/>
      <c r="D2589" s="15"/>
    </row>
    <row r="2590" spans="2:4" x14ac:dyDescent="0.25">
      <c r="B2590" s="68"/>
      <c r="C2590" s="50"/>
      <c r="D2590" s="15"/>
    </row>
    <row r="2591" spans="2:4" x14ac:dyDescent="0.25">
      <c r="B2591" s="68"/>
      <c r="C2591" s="50"/>
      <c r="D2591" s="15"/>
    </row>
    <row r="2592" spans="2:4" x14ac:dyDescent="0.25">
      <c r="B2592" s="68"/>
      <c r="C2592" s="50"/>
      <c r="D2592" s="15"/>
    </row>
    <row r="2593" spans="2:4" x14ac:dyDescent="0.25">
      <c r="B2593" s="68"/>
      <c r="C2593" s="50"/>
      <c r="D2593" s="15"/>
    </row>
    <row r="2594" spans="2:4" x14ac:dyDescent="0.25">
      <c r="B2594" s="68"/>
      <c r="C2594" s="50"/>
      <c r="D2594" s="15"/>
    </row>
    <row r="2595" spans="2:4" x14ac:dyDescent="0.25">
      <c r="B2595" s="68"/>
      <c r="C2595" s="50"/>
      <c r="D2595" s="15"/>
    </row>
    <row r="2596" spans="2:4" x14ac:dyDescent="0.25">
      <c r="B2596" s="68"/>
      <c r="C2596" s="50"/>
      <c r="D2596" s="15"/>
    </row>
    <row r="2597" spans="2:4" x14ac:dyDescent="0.25">
      <c r="B2597" s="68"/>
      <c r="C2597" s="50"/>
      <c r="D2597" s="15"/>
    </row>
    <row r="2598" spans="2:4" x14ac:dyDescent="0.25">
      <c r="B2598" s="68"/>
      <c r="C2598" s="50"/>
      <c r="D2598" s="15"/>
    </row>
    <row r="2599" spans="2:4" x14ac:dyDescent="0.25">
      <c r="B2599" s="68"/>
      <c r="C2599" s="50"/>
      <c r="D2599" s="15"/>
    </row>
    <row r="2600" spans="2:4" x14ac:dyDescent="0.25">
      <c r="B2600" s="68"/>
      <c r="C2600" s="50"/>
      <c r="D2600" s="15"/>
    </row>
    <row r="2601" spans="2:4" x14ac:dyDescent="0.25">
      <c r="B2601" s="68"/>
      <c r="C2601" s="50"/>
      <c r="D2601" s="15"/>
    </row>
    <row r="2602" spans="2:4" x14ac:dyDescent="0.25">
      <c r="B2602" s="68"/>
      <c r="C2602" s="50"/>
      <c r="D2602" s="15"/>
    </row>
    <row r="2603" spans="2:4" x14ac:dyDescent="0.25">
      <c r="B2603" s="68"/>
      <c r="C2603" s="50"/>
      <c r="D2603" s="15"/>
    </row>
    <row r="2604" spans="2:4" x14ac:dyDescent="0.25">
      <c r="B2604" s="68"/>
      <c r="C2604" s="50"/>
      <c r="D2604" s="15"/>
    </row>
    <row r="2605" spans="2:4" x14ac:dyDescent="0.25">
      <c r="B2605" s="68"/>
      <c r="C2605" s="50"/>
      <c r="D2605" s="15"/>
    </row>
    <row r="2606" spans="2:4" x14ac:dyDescent="0.25">
      <c r="B2606" s="68"/>
      <c r="C2606" s="50"/>
      <c r="D2606" s="15"/>
    </row>
    <row r="2607" spans="2:4" x14ac:dyDescent="0.25">
      <c r="B2607" s="68"/>
      <c r="C2607" s="50"/>
      <c r="D2607" s="15"/>
    </row>
    <row r="2608" spans="2:4" x14ac:dyDescent="0.25">
      <c r="B2608" s="68"/>
      <c r="C2608" s="50"/>
      <c r="D2608" s="15"/>
    </row>
    <row r="2609" spans="2:4" x14ac:dyDescent="0.25">
      <c r="B2609" s="68"/>
      <c r="C2609" s="50"/>
      <c r="D2609" s="15"/>
    </row>
    <row r="2610" spans="2:4" x14ac:dyDescent="0.25">
      <c r="B2610" s="68"/>
      <c r="C2610" s="50"/>
      <c r="D2610" s="15"/>
    </row>
    <row r="2611" spans="2:4" x14ac:dyDescent="0.25">
      <c r="B2611" s="68"/>
      <c r="C2611" s="50"/>
      <c r="D2611" s="15"/>
    </row>
    <row r="2612" spans="2:4" x14ac:dyDescent="0.25">
      <c r="B2612" s="68"/>
      <c r="C2612" s="50"/>
      <c r="D2612" s="15"/>
    </row>
    <row r="2613" spans="2:4" x14ac:dyDescent="0.25">
      <c r="B2613" s="68"/>
      <c r="C2613" s="50"/>
      <c r="D2613" s="15"/>
    </row>
    <row r="2614" spans="2:4" x14ac:dyDescent="0.25">
      <c r="B2614" s="68"/>
      <c r="C2614" s="50"/>
      <c r="D2614" s="15"/>
    </row>
    <row r="2615" spans="2:4" x14ac:dyDescent="0.25">
      <c r="B2615" s="68"/>
      <c r="C2615" s="50"/>
      <c r="D2615" s="15"/>
    </row>
    <row r="2616" spans="2:4" x14ac:dyDescent="0.25">
      <c r="B2616" s="68"/>
      <c r="C2616" s="50"/>
      <c r="D2616" s="15"/>
    </row>
    <row r="2617" spans="2:4" x14ac:dyDescent="0.25">
      <c r="B2617" s="68"/>
      <c r="C2617" s="50"/>
      <c r="D2617" s="15"/>
    </row>
    <row r="2618" spans="2:4" x14ac:dyDescent="0.25">
      <c r="B2618" s="68"/>
      <c r="C2618" s="50"/>
      <c r="D2618" s="15"/>
    </row>
    <row r="2619" spans="2:4" x14ac:dyDescent="0.25">
      <c r="B2619" s="68"/>
      <c r="C2619" s="50"/>
      <c r="D2619" s="15"/>
    </row>
    <row r="2620" spans="2:4" x14ac:dyDescent="0.25">
      <c r="B2620" s="68"/>
      <c r="C2620" s="50"/>
      <c r="D2620" s="15"/>
    </row>
    <row r="2621" spans="2:4" x14ac:dyDescent="0.25">
      <c r="B2621" s="68"/>
      <c r="C2621" s="50"/>
      <c r="D2621" s="15"/>
    </row>
    <row r="2622" spans="2:4" x14ac:dyDescent="0.25">
      <c r="B2622" s="68"/>
      <c r="C2622" s="50"/>
      <c r="D2622" s="15"/>
    </row>
    <row r="2623" spans="2:4" x14ac:dyDescent="0.25">
      <c r="B2623" s="68"/>
      <c r="C2623" s="50"/>
      <c r="D2623" s="15"/>
    </row>
    <row r="2624" spans="2:4" x14ac:dyDescent="0.25">
      <c r="B2624" s="68"/>
      <c r="C2624" s="50"/>
      <c r="D2624" s="15"/>
    </row>
    <row r="2625" spans="2:4" x14ac:dyDescent="0.25">
      <c r="B2625" s="68"/>
      <c r="C2625" s="50"/>
      <c r="D2625" s="15"/>
    </row>
    <row r="2626" spans="2:4" x14ac:dyDescent="0.25">
      <c r="B2626" s="68"/>
      <c r="C2626" s="50"/>
      <c r="D2626" s="15"/>
    </row>
    <row r="2627" spans="2:4" x14ac:dyDescent="0.25">
      <c r="B2627" s="68"/>
      <c r="C2627" s="50"/>
      <c r="D2627" s="15"/>
    </row>
    <row r="2628" spans="2:4" x14ac:dyDescent="0.25">
      <c r="B2628" s="68"/>
      <c r="C2628" s="50"/>
      <c r="D2628" s="15"/>
    </row>
    <row r="2629" spans="2:4" x14ac:dyDescent="0.25">
      <c r="B2629" s="68"/>
      <c r="C2629" s="50"/>
      <c r="D2629" s="15"/>
    </row>
    <row r="2630" spans="2:4" x14ac:dyDescent="0.25">
      <c r="B2630" s="68"/>
      <c r="C2630" s="50"/>
      <c r="D2630" s="15"/>
    </row>
    <row r="2631" spans="2:4" x14ac:dyDescent="0.25">
      <c r="B2631" s="68"/>
      <c r="C2631" s="50"/>
      <c r="D2631" s="15"/>
    </row>
    <row r="2632" spans="2:4" x14ac:dyDescent="0.25">
      <c r="B2632" s="68"/>
      <c r="C2632" s="50"/>
      <c r="D2632" s="15"/>
    </row>
    <row r="2633" spans="2:4" x14ac:dyDescent="0.25">
      <c r="B2633" s="68"/>
      <c r="C2633" s="50"/>
      <c r="D2633" s="15"/>
    </row>
    <row r="2634" spans="2:4" x14ac:dyDescent="0.25">
      <c r="B2634" s="68"/>
      <c r="C2634" s="50"/>
      <c r="D2634" s="15"/>
    </row>
    <row r="2635" spans="2:4" x14ac:dyDescent="0.25">
      <c r="B2635" s="68"/>
      <c r="C2635" s="50"/>
      <c r="D2635" s="15"/>
    </row>
    <row r="2636" spans="2:4" x14ac:dyDescent="0.25">
      <c r="B2636" s="68"/>
      <c r="C2636" s="50"/>
      <c r="D2636" s="15"/>
    </row>
    <row r="2637" spans="2:4" x14ac:dyDescent="0.25">
      <c r="B2637" s="68"/>
      <c r="C2637" s="50"/>
      <c r="D2637" s="15"/>
    </row>
    <row r="2638" spans="2:4" x14ac:dyDescent="0.25">
      <c r="B2638" s="68"/>
      <c r="C2638" s="50"/>
      <c r="D2638" s="15"/>
    </row>
    <row r="2639" spans="2:4" x14ac:dyDescent="0.25">
      <c r="B2639" s="68"/>
      <c r="C2639" s="50"/>
      <c r="D2639" s="15"/>
    </row>
    <row r="2640" spans="2:4" x14ac:dyDescent="0.25">
      <c r="B2640" s="68"/>
      <c r="C2640" s="50"/>
      <c r="D2640" s="15"/>
    </row>
    <row r="2641" spans="2:4" x14ac:dyDescent="0.25">
      <c r="B2641" s="68"/>
      <c r="C2641" s="50"/>
      <c r="D2641" s="15"/>
    </row>
    <row r="2642" spans="2:4" x14ac:dyDescent="0.25">
      <c r="B2642" s="68"/>
      <c r="C2642" s="50"/>
      <c r="D2642" s="15"/>
    </row>
    <row r="2643" spans="2:4" x14ac:dyDescent="0.25">
      <c r="B2643" s="68"/>
      <c r="C2643" s="50"/>
      <c r="D2643" s="15"/>
    </row>
    <row r="2644" spans="2:4" x14ac:dyDescent="0.25">
      <c r="B2644" s="68"/>
      <c r="C2644" s="50"/>
      <c r="D2644" s="15"/>
    </row>
    <row r="2645" spans="2:4" x14ac:dyDescent="0.25">
      <c r="B2645" s="68"/>
      <c r="C2645" s="50"/>
      <c r="D2645" s="15"/>
    </row>
    <row r="2646" spans="2:4" x14ac:dyDescent="0.25">
      <c r="B2646" s="68"/>
      <c r="C2646" s="50"/>
      <c r="D2646" s="15"/>
    </row>
    <row r="2647" spans="2:4" x14ac:dyDescent="0.25">
      <c r="B2647" s="68"/>
      <c r="C2647" s="50"/>
      <c r="D2647" s="15"/>
    </row>
    <row r="2648" spans="2:4" x14ac:dyDescent="0.25">
      <c r="B2648" s="68"/>
      <c r="C2648" s="50"/>
      <c r="D2648" s="15"/>
    </row>
    <row r="2649" spans="2:4" x14ac:dyDescent="0.25">
      <c r="B2649" s="68"/>
      <c r="C2649" s="50"/>
      <c r="D2649" s="15"/>
    </row>
    <row r="2650" spans="2:4" x14ac:dyDescent="0.25">
      <c r="B2650" s="68"/>
      <c r="C2650" s="50"/>
      <c r="D2650" s="15"/>
    </row>
    <row r="2651" spans="2:4" x14ac:dyDescent="0.25">
      <c r="B2651" s="68"/>
      <c r="C2651" s="50"/>
      <c r="D2651" s="15"/>
    </row>
    <row r="2652" spans="2:4" x14ac:dyDescent="0.25">
      <c r="B2652" s="68"/>
      <c r="C2652" s="50"/>
      <c r="D2652" s="15"/>
    </row>
    <row r="2653" spans="2:4" x14ac:dyDescent="0.25">
      <c r="B2653" s="68"/>
      <c r="C2653" s="50"/>
      <c r="D2653" s="15"/>
    </row>
    <row r="2654" spans="2:4" x14ac:dyDescent="0.25">
      <c r="B2654" s="68"/>
      <c r="C2654" s="50"/>
      <c r="D2654" s="15"/>
    </row>
    <row r="2655" spans="2:4" x14ac:dyDescent="0.25">
      <c r="B2655" s="68"/>
      <c r="C2655" s="50"/>
      <c r="D2655" s="15"/>
    </row>
    <row r="2656" spans="2:4" x14ac:dyDescent="0.25">
      <c r="B2656" s="68"/>
      <c r="C2656" s="50"/>
      <c r="D2656" s="15"/>
    </row>
    <row r="2657" spans="2:4" x14ac:dyDescent="0.25">
      <c r="B2657" s="68"/>
      <c r="C2657" s="50"/>
      <c r="D2657" s="15"/>
    </row>
    <row r="2658" spans="2:4" x14ac:dyDescent="0.25">
      <c r="B2658" s="68"/>
      <c r="C2658" s="50"/>
      <c r="D2658" s="15"/>
    </row>
    <row r="2659" spans="2:4" x14ac:dyDescent="0.25">
      <c r="B2659" s="68"/>
      <c r="C2659" s="50"/>
      <c r="D2659" s="15"/>
    </row>
    <row r="2660" spans="2:4" x14ac:dyDescent="0.25">
      <c r="B2660" s="68"/>
      <c r="C2660" s="50"/>
      <c r="D2660" s="15"/>
    </row>
    <row r="2661" spans="2:4" x14ac:dyDescent="0.25">
      <c r="B2661" s="68"/>
      <c r="C2661" s="50"/>
      <c r="D2661" s="15"/>
    </row>
    <row r="2662" spans="2:4" x14ac:dyDescent="0.25">
      <c r="B2662" s="68"/>
      <c r="C2662" s="50"/>
      <c r="D2662" s="15"/>
    </row>
    <row r="2663" spans="2:4" x14ac:dyDescent="0.25">
      <c r="B2663" s="68"/>
      <c r="C2663" s="50"/>
      <c r="D2663" s="15"/>
    </row>
    <row r="2664" spans="2:4" x14ac:dyDescent="0.25">
      <c r="B2664" s="68"/>
      <c r="C2664" s="50"/>
      <c r="D2664" s="15"/>
    </row>
    <row r="2665" spans="2:4" x14ac:dyDescent="0.25">
      <c r="B2665" s="68"/>
      <c r="C2665" s="50"/>
      <c r="D2665" s="15"/>
    </row>
    <row r="2666" spans="2:4" x14ac:dyDescent="0.25">
      <c r="B2666" s="68"/>
      <c r="C2666" s="50"/>
      <c r="D2666" s="15"/>
    </row>
    <row r="2667" spans="2:4" x14ac:dyDescent="0.25">
      <c r="B2667" s="68"/>
      <c r="C2667" s="50"/>
      <c r="D2667" s="15"/>
    </row>
    <row r="2668" spans="2:4" x14ac:dyDescent="0.25">
      <c r="B2668" s="68"/>
      <c r="C2668" s="50"/>
      <c r="D2668" s="15"/>
    </row>
    <row r="2669" spans="2:4" x14ac:dyDescent="0.25">
      <c r="B2669" s="68"/>
      <c r="C2669" s="50"/>
      <c r="D2669" s="15"/>
    </row>
    <row r="2670" spans="2:4" x14ac:dyDescent="0.25">
      <c r="B2670" s="68"/>
      <c r="C2670" s="50"/>
      <c r="D2670" s="15"/>
    </row>
    <row r="2671" spans="2:4" x14ac:dyDescent="0.25">
      <c r="B2671" s="68"/>
      <c r="C2671" s="50"/>
      <c r="D2671" s="15"/>
    </row>
    <row r="2672" spans="2:4" x14ac:dyDescent="0.25">
      <c r="B2672" s="68"/>
      <c r="C2672" s="50"/>
      <c r="D2672" s="15"/>
    </row>
    <row r="2673" spans="2:4" x14ac:dyDescent="0.25">
      <c r="B2673" s="68"/>
      <c r="C2673" s="50"/>
      <c r="D2673" s="15"/>
    </row>
    <row r="2674" spans="2:4" x14ac:dyDescent="0.25">
      <c r="B2674" s="68"/>
      <c r="C2674" s="50"/>
      <c r="D2674" s="15"/>
    </row>
    <row r="2675" spans="2:4" x14ac:dyDescent="0.25">
      <c r="B2675" s="68"/>
      <c r="C2675" s="50"/>
      <c r="D2675" s="15"/>
    </row>
    <row r="2676" spans="2:4" x14ac:dyDescent="0.25">
      <c r="B2676" s="68"/>
      <c r="C2676" s="50"/>
      <c r="D2676" s="15"/>
    </row>
    <row r="2677" spans="2:4" x14ac:dyDescent="0.25">
      <c r="B2677" s="68"/>
      <c r="C2677" s="50"/>
      <c r="D2677" s="15"/>
    </row>
    <row r="2678" spans="2:4" x14ac:dyDescent="0.25">
      <c r="B2678" s="68"/>
      <c r="C2678" s="50"/>
      <c r="D2678" s="15"/>
    </row>
    <row r="2679" spans="2:4" x14ac:dyDescent="0.25">
      <c r="B2679" s="68"/>
      <c r="C2679" s="50"/>
      <c r="D2679" s="15"/>
    </row>
    <row r="2680" spans="2:4" x14ac:dyDescent="0.25">
      <c r="B2680" s="68"/>
      <c r="C2680" s="50"/>
      <c r="D2680" s="15"/>
    </row>
    <row r="2681" spans="2:4" x14ac:dyDescent="0.25">
      <c r="B2681" s="68"/>
      <c r="C2681" s="50"/>
      <c r="D2681" s="15"/>
    </row>
    <row r="2682" spans="2:4" x14ac:dyDescent="0.25">
      <c r="B2682" s="68"/>
      <c r="C2682" s="50"/>
      <c r="D2682" s="15"/>
    </row>
    <row r="2683" spans="2:4" x14ac:dyDescent="0.25">
      <c r="B2683" s="68"/>
      <c r="C2683" s="50"/>
      <c r="D2683" s="15"/>
    </row>
    <row r="2684" spans="2:4" x14ac:dyDescent="0.25">
      <c r="B2684" s="68"/>
      <c r="C2684" s="50"/>
      <c r="D2684" s="15"/>
    </row>
    <row r="2685" spans="2:4" x14ac:dyDescent="0.25">
      <c r="B2685" s="68"/>
      <c r="C2685" s="50"/>
      <c r="D2685" s="15"/>
    </row>
    <row r="2686" spans="2:4" x14ac:dyDescent="0.25">
      <c r="B2686" s="68"/>
      <c r="C2686" s="50"/>
      <c r="D2686" s="15"/>
    </row>
    <row r="2687" spans="2:4" x14ac:dyDescent="0.25">
      <c r="B2687" s="68"/>
      <c r="C2687" s="50"/>
      <c r="D2687" s="15"/>
    </row>
    <row r="2688" spans="2:4" x14ac:dyDescent="0.25">
      <c r="B2688" s="68"/>
      <c r="C2688" s="50"/>
      <c r="D2688" s="15"/>
    </row>
    <row r="2689" spans="2:4" x14ac:dyDescent="0.25">
      <c r="B2689" s="68"/>
      <c r="C2689" s="50"/>
      <c r="D2689" s="15"/>
    </row>
    <row r="2690" spans="2:4" x14ac:dyDescent="0.25">
      <c r="B2690" s="68"/>
      <c r="C2690" s="50"/>
      <c r="D2690" s="15"/>
    </row>
    <row r="2691" spans="2:4" x14ac:dyDescent="0.25">
      <c r="B2691" s="68"/>
      <c r="C2691" s="50"/>
      <c r="D2691" s="15"/>
    </row>
    <row r="2692" spans="2:4" x14ac:dyDescent="0.25">
      <c r="B2692" s="68"/>
      <c r="C2692" s="50"/>
      <c r="D2692" s="15"/>
    </row>
    <row r="2693" spans="2:4" x14ac:dyDescent="0.25">
      <c r="B2693" s="68"/>
      <c r="C2693" s="50"/>
      <c r="D2693" s="15"/>
    </row>
    <row r="2694" spans="2:4" x14ac:dyDescent="0.25">
      <c r="B2694" s="68"/>
      <c r="C2694" s="50"/>
      <c r="D2694" s="15"/>
    </row>
    <row r="2695" spans="2:4" x14ac:dyDescent="0.25">
      <c r="B2695" s="68"/>
      <c r="C2695" s="50"/>
      <c r="D2695" s="15"/>
    </row>
    <row r="2696" spans="2:4" x14ac:dyDescent="0.25">
      <c r="B2696" s="68"/>
      <c r="C2696" s="50"/>
      <c r="D2696" s="15"/>
    </row>
    <row r="2697" spans="2:4" x14ac:dyDescent="0.25">
      <c r="B2697" s="68"/>
      <c r="C2697" s="50"/>
      <c r="D2697" s="15"/>
    </row>
    <row r="2698" spans="2:4" x14ac:dyDescent="0.25">
      <c r="B2698" s="68"/>
      <c r="C2698" s="50"/>
      <c r="D2698" s="15"/>
    </row>
    <row r="2699" spans="2:4" x14ac:dyDescent="0.25">
      <c r="B2699" s="68"/>
      <c r="C2699" s="50"/>
      <c r="D2699" s="15"/>
    </row>
    <row r="2700" spans="2:4" x14ac:dyDescent="0.25">
      <c r="B2700" s="68"/>
      <c r="C2700" s="50"/>
      <c r="D2700" s="15"/>
    </row>
    <row r="2701" spans="2:4" x14ac:dyDescent="0.25">
      <c r="B2701" s="68"/>
      <c r="C2701" s="50"/>
      <c r="D2701" s="15"/>
    </row>
    <row r="2702" spans="2:4" x14ac:dyDescent="0.25">
      <c r="B2702" s="68"/>
      <c r="C2702" s="50"/>
      <c r="D2702" s="15"/>
    </row>
    <row r="2703" spans="2:4" x14ac:dyDescent="0.25">
      <c r="B2703" s="68"/>
      <c r="C2703" s="50"/>
      <c r="D2703" s="15"/>
    </row>
    <row r="2704" spans="2:4" x14ac:dyDescent="0.25">
      <c r="B2704" s="68"/>
      <c r="C2704" s="50"/>
      <c r="D2704" s="15"/>
    </row>
    <row r="2705" spans="2:4" x14ac:dyDescent="0.25">
      <c r="B2705" s="68"/>
      <c r="C2705" s="50"/>
      <c r="D2705" s="15"/>
    </row>
    <row r="2706" spans="2:4" x14ac:dyDescent="0.25">
      <c r="B2706" s="68"/>
      <c r="C2706" s="50"/>
      <c r="D2706" s="15"/>
    </row>
    <row r="2707" spans="2:4" x14ac:dyDescent="0.25">
      <c r="B2707" s="68"/>
      <c r="C2707" s="50"/>
      <c r="D2707" s="15"/>
    </row>
    <row r="2708" spans="2:4" x14ac:dyDescent="0.25">
      <c r="B2708" s="68"/>
      <c r="C2708" s="50"/>
      <c r="D2708" s="15"/>
    </row>
    <row r="2709" spans="2:4" x14ac:dyDescent="0.25">
      <c r="B2709" s="68"/>
      <c r="C2709" s="50"/>
      <c r="D2709" s="15"/>
    </row>
    <row r="2710" spans="2:4" x14ac:dyDescent="0.25">
      <c r="B2710" s="68"/>
      <c r="C2710" s="50"/>
      <c r="D2710" s="15"/>
    </row>
    <row r="2711" spans="2:4" x14ac:dyDescent="0.25">
      <c r="B2711" s="68"/>
      <c r="C2711" s="50"/>
      <c r="D2711" s="15"/>
    </row>
    <row r="2712" spans="2:4" x14ac:dyDescent="0.25">
      <c r="B2712" s="68"/>
      <c r="C2712" s="50"/>
      <c r="D2712" s="15"/>
    </row>
    <row r="2713" spans="2:4" x14ac:dyDescent="0.25">
      <c r="B2713" s="68"/>
      <c r="C2713" s="50"/>
      <c r="D2713" s="15"/>
    </row>
    <row r="2714" spans="2:4" x14ac:dyDescent="0.25">
      <c r="B2714" s="68"/>
      <c r="C2714" s="50"/>
      <c r="D2714" s="15"/>
    </row>
    <row r="2715" spans="2:4" x14ac:dyDescent="0.25">
      <c r="B2715" s="68"/>
      <c r="C2715" s="50"/>
      <c r="D2715" s="15"/>
    </row>
    <row r="2716" spans="2:4" x14ac:dyDescent="0.25">
      <c r="B2716" s="68"/>
      <c r="C2716" s="50"/>
      <c r="D2716" s="15"/>
    </row>
    <row r="2717" spans="2:4" x14ac:dyDescent="0.25">
      <c r="B2717" s="68"/>
      <c r="C2717" s="50"/>
      <c r="D2717" s="15"/>
    </row>
    <row r="2718" spans="2:4" x14ac:dyDescent="0.25">
      <c r="B2718" s="68"/>
      <c r="C2718" s="50"/>
      <c r="D2718" s="15"/>
    </row>
    <row r="2719" spans="2:4" x14ac:dyDescent="0.25">
      <c r="B2719" s="68"/>
      <c r="C2719" s="50"/>
      <c r="D2719" s="15"/>
    </row>
    <row r="2720" spans="2:4" x14ac:dyDescent="0.25">
      <c r="B2720" s="68"/>
      <c r="C2720" s="50"/>
      <c r="D2720" s="15"/>
    </row>
    <row r="2721" spans="2:4" x14ac:dyDescent="0.25">
      <c r="B2721" s="68"/>
      <c r="C2721" s="50"/>
      <c r="D2721" s="15"/>
    </row>
    <row r="2722" spans="2:4" x14ac:dyDescent="0.25">
      <c r="B2722" s="68"/>
      <c r="C2722" s="50"/>
      <c r="D2722" s="15"/>
    </row>
    <row r="2723" spans="2:4" x14ac:dyDescent="0.25">
      <c r="B2723" s="68"/>
      <c r="C2723" s="50"/>
      <c r="D2723" s="15"/>
    </row>
    <row r="2724" spans="2:4" x14ac:dyDescent="0.25">
      <c r="B2724" s="68"/>
      <c r="C2724" s="50"/>
      <c r="D2724" s="15"/>
    </row>
    <row r="2725" spans="2:4" x14ac:dyDescent="0.25">
      <c r="B2725" s="68"/>
      <c r="C2725" s="50"/>
      <c r="D2725" s="15"/>
    </row>
    <row r="2726" spans="2:4" x14ac:dyDescent="0.25">
      <c r="B2726" s="68"/>
      <c r="C2726" s="50"/>
      <c r="D2726" s="15"/>
    </row>
    <row r="2727" spans="2:4" x14ac:dyDescent="0.25">
      <c r="B2727" s="68"/>
      <c r="C2727" s="50"/>
      <c r="D2727" s="15"/>
    </row>
    <row r="2728" spans="2:4" x14ac:dyDescent="0.25">
      <c r="B2728" s="68"/>
      <c r="C2728" s="50"/>
      <c r="D2728" s="15"/>
    </row>
    <row r="2729" spans="2:4" x14ac:dyDescent="0.25">
      <c r="B2729" s="68"/>
      <c r="C2729" s="50"/>
      <c r="D2729" s="15"/>
    </row>
    <row r="2730" spans="2:4" x14ac:dyDescent="0.25">
      <c r="B2730" s="68"/>
      <c r="C2730" s="50"/>
      <c r="D2730" s="15"/>
    </row>
    <row r="2731" spans="2:4" x14ac:dyDescent="0.25">
      <c r="B2731" s="68"/>
      <c r="C2731" s="50"/>
      <c r="D2731" s="15"/>
    </row>
    <row r="2732" spans="2:4" x14ac:dyDescent="0.25">
      <c r="B2732" s="68"/>
      <c r="C2732" s="50"/>
      <c r="D2732" s="15"/>
    </row>
    <row r="2733" spans="2:4" x14ac:dyDescent="0.25">
      <c r="B2733" s="68"/>
      <c r="C2733" s="50"/>
      <c r="D2733" s="15"/>
    </row>
    <row r="2734" spans="2:4" x14ac:dyDescent="0.25">
      <c r="B2734" s="68"/>
      <c r="C2734" s="50"/>
      <c r="D2734" s="15"/>
    </row>
    <row r="2735" spans="2:4" x14ac:dyDescent="0.25">
      <c r="B2735" s="68"/>
      <c r="C2735" s="50"/>
      <c r="D2735" s="15"/>
    </row>
    <row r="2736" spans="2:4" x14ac:dyDescent="0.25">
      <c r="B2736" s="68"/>
      <c r="C2736" s="50"/>
      <c r="D2736" s="15"/>
    </row>
    <row r="2737" spans="2:4" x14ac:dyDescent="0.25">
      <c r="B2737" s="68"/>
      <c r="C2737" s="50"/>
      <c r="D2737" s="15"/>
    </row>
    <row r="2738" spans="2:4" x14ac:dyDescent="0.25">
      <c r="B2738" s="68"/>
      <c r="C2738" s="50"/>
      <c r="D2738" s="15"/>
    </row>
    <row r="2739" spans="2:4" x14ac:dyDescent="0.25">
      <c r="B2739" s="68"/>
      <c r="C2739" s="50"/>
      <c r="D2739" s="15"/>
    </row>
    <row r="2740" spans="2:4" x14ac:dyDescent="0.25">
      <c r="B2740" s="68"/>
      <c r="C2740" s="50"/>
      <c r="D2740" s="15"/>
    </row>
    <row r="2741" spans="2:4" x14ac:dyDescent="0.25">
      <c r="B2741" s="68"/>
      <c r="C2741" s="50"/>
      <c r="D2741" s="15"/>
    </row>
    <row r="2742" spans="2:4" x14ac:dyDescent="0.25">
      <c r="B2742" s="68"/>
      <c r="C2742" s="50"/>
      <c r="D2742" s="15"/>
    </row>
    <row r="2743" spans="2:4" x14ac:dyDescent="0.25">
      <c r="B2743" s="68"/>
      <c r="C2743" s="50"/>
      <c r="D2743" s="15"/>
    </row>
    <row r="2744" spans="2:4" x14ac:dyDescent="0.25">
      <c r="B2744" s="68"/>
      <c r="C2744" s="50"/>
      <c r="D2744" s="15"/>
    </row>
    <row r="2745" spans="2:4" x14ac:dyDescent="0.25">
      <c r="B2745" s="68"/>
      <c r="C2745" s="50"/>
      <c r="D2745" s="15"/>
    </row>
    <row r="2746" spans="2:4" x14ac:dyDescent="0.25">
      <c r="B2746" s="68"/>
      <c r="C2746" s="50"/>
      <c r="D2746" s="15"/>
    </row>
    <row r="2747" spans="2:4" x14ac:dyDescent="0.25">
      <c r="B2747" s="68"/>
      <c r="C2747" s="50"/>
      <c r="D2747" s="15"/>
    </row>
    <row r="2748" spans="2:4" x14ac:dyDescent="0.25">
      <c r="B2748" s="68"/>
      <c r="C2748" s="50"/>
      <c r="D2748" s="15"/>
    </row>
    <row r="2749" spans="2:4" x14ac:dyDescent="0.25">
      <c r="B2749" s="68"/>
      <c r="C2749" s="50"/>
      <c r="D2749" s="15"/>
    </row>
    <row r="2750" spans="2:4" x14ac:dyDescent="0.25">
      <c r="B2750" s="68"/>
      <c r="C2750" s="50"/>
      <c r="D2750" s="15"/>
    </row>
    <row r="2751" spans="2:4" x14ac:dyDescent="0.25">
      <c r="B2751" s="68"/>
      <c r="C2751" s="50"/>
      <c r="D2751" s="15"/>
    </row>
    <row r="2752" spans="2:4" x14ac:dyDescent="0.25">
      <c r="B2752" s="68"/>
      <c r="C2752" s="50"/>
      <c r="D2752" s="15"/>
    </row>
    <row r="2753" spans="2:4" x14ac:dyDescent="0.25">
      <c r="B2753" s="68"/>
      <c r="C2753" s="50"/>
      <c r="D2753" s="15"/>
    </row>
    <row r="2754" spans="2:4" x14ac:dyDescent="0.25">
      <c r="B2754" s="68"/>
      <c r="C2754" s="50"/>
      <c r="D2754" s="15"/>
    </row>
    <row r="2755" spans="2:4" x14ac:dyDescent="0.25">
      <c r="B2755" s="68"/>
      <c r="C2755" s="50"/>
      <c r="D2755" s="15"/>
    </row>
    <row r="2756" spans="2:4" x14ac:dyDescent="0.25">
      <c r="B2756" s="68"/>
      <c r="C2756" s="50"/>
      <c r="D2756" s="15"/>
    </row>
    <row r="2757" spans="2:4" x14ac:dyDescent="0.25">
      <c r="B2757" s="68"/>
      <c r="C2757" s="50"/>
      <c r="D2757" s="15"/>
    </row>
    <row r="2758" spans="2:4" x14ac:dyDescent="0.25">
      <c r="B2758" s="68"/>
      <c r="C2758" s="50"/>
      <c r="D2758" s="15"/>
    </row>
    <row r="2759" spans="2:4" x14ac:dyDescent="0.25">
      <c r="B2759" s="68"/>
      <c r="C2759" s="50"/>
      <c r="D2759" s="15"/>
    </row>
    <row r="2760" spans="2:4" x14ac:dyDescent="0.25">
      <c r="B2760" s="68"/>
      <c r="C2760" s="50"/>
      <c r="D2760" s="15"/>
    </row>
    <row r="2761" spans="2:4" x14ac:dyDescent="0.25">
      <c r="B2761" s="68"/>
      <c r="C2761" s="50"/>
      <c r="D2761" s="15"/>
    </row>
    <row r="2762" spans="2:4" x14ac:dyDescent="0.25">
      <c r="B2762" s="68"/>
      <c r="C2762" s="50"/>
      <c r="D2762" s="15"/>
    </row>
    <row r="2763" spans="2:4" x14ac:dyDescent="0.25">
      <c r="B2763" s="68"/>
      <c r="C2763" s="50"/>
      <c r="D2763" s="15"/>
    </row>
    <row r="2764" spans="2:4" x14ac:dyDescent="0.25">
      <c r="B2764" s="68"/>
      <c r="C2764" s="50"/>
      <c r="D2764" s="15"/>
    </row>
    <row r="2765" spans="2:4" x14ac:dyDescent="0.25">
      <c r="B2765" s="68"/>
      <c r="C2765" s="50"/>
      <c r="D2765" s="15"/>
    </row>
    <row r="2766" spans="2:4" x14ac:dyDescent="0.25">
      <c r="B2766" s="68"/>
      <c r="C2766" s="50"/>
      <c r="D2766" s="15"/>
    </row>
    <row r="2767" spans="2:4" x14ac:dyDescent="0.25">
      <c r="B2767" s="68"/>
      <c r="C2767" s="50"/>
      <c r="D2767" s="15"/>
    </row>
    <row r="2768" spans="2:4" x14ac:dyDescent="0.25">
      <c r="B2768" s="68"/>
      <c r="C2768" s="50"/>
      <c r="D2768" s="15"/>
    </row>
    <row r="2769" spans="2:4" x14ac:dyDescent="0.25">
      <c r="B2769" s="68"/>
      <c r="C2769" s="50"/>
      <c r="D2769" s="15"/>
    </row>
    <row r="2770" spans="2:4" x14ac:dyDescent="0.25">
      <c r="B2770" s="68"/>
      <c r="C2770" s="50"/>
      <c r="D2770" s="15"/>
    </row>
    <row r="2771" spans="2:4" x14ac:dyDescent="0.25">
      <c r="B2771" s="68"/>
      <c r="C2771" s="50"/>
      <c r="D2771" s="15"/>
    </row>
    <row r="2772" spans="2:4" x14ac:dyDescent="0.25">
      <c r="B2772" s="68"/>
      <c r="C2772" s="50"/>
      <c r="D2772" s="15"/>
    </row>
    <row r="2773" spans="2:4" x14ac:dyDescent="0.25">
      <c r="B2773" s="68"/>
      <c r="C2773" s="50"/>
      <c r="D2773" s="15"/>
    </row>
    <row r="2774" spans="2:4" x14ac:dyDescent="0.25">
      <c r="B2774" s="68"/>
      <c r="C2774" s="50"/>
      <c r="D2774" s="15"/>
    </row>
    <row r="2775" spans="2:4" x14ac:dyDescent="0.25">
      <c r="B2775" s="68"/>
      <c r="C2775" s="50"/>
      <c r="D2775" s="15"/>
    </row>
    <row r="2776" spans="2:4" x14ac:dyDescent="0.25">
      <c r="B2776" s="68"/>
      <c r="C2776" s="50"/>
      <c r="D2776" s="15"/>
    </row>
    <row r="2777" spans="2:4" x14ac:dyDescent="0.25">
      <c r="B2777" s="68"/>
      <c r="C2777" s="50"/>
      <c r="D2777" s="15"/>
    </row>
    <row r="2778" spans="2:4" x14ac:dyDescent="0.25">
      <c r="B2778" s="68"/>
      <c r="C2778" s="50"/>
      <c r="D2778" s="15"/>
    </row>
    <row r="2779" spans="2:4" x14ac:dyDescent="0.25">
      <c r="B2779" s="68"/>
      <c r="C2779" s="50"/>
      <c r="D2779" s="15"/>
    </row>
    <row r="2780" spans="2:4" x14ac:dyDescent="0.25">
      <c r="B2780" s="68"/>
      <c r="C2780" s="50"/>
      <c r="D2780" s="15"/>
    </row>
    <row r="2781" spans="2:4" x14ac:dyDescent="0.25">
      <c r="B2781" s="68"/>
      <c r="C2781" s="50"/>
      <c r="D2781" s="15"/>
    </row>
    <row r="2782" spans="2:4" x14ac:dyDescent="0.25">
      <c r="B2782" s="68"/>
      <c r="C2782" s="50"/>
      <c r="D2782" s="15"/>
    </row>
    <row r="2783" spans="2:4" x14ac:dyDescent="0.25">
      <c r="B2783" s="68"/>
      <c r="C2783" s="50"/>
      <c r="D2783" s="15"/>
    </row>
    <row r="2784" spans="2:4" x14ac:dyDescent="0.25">
      <c r="B2784" s="68"/>
      <c r="C2784" s="50"/>
      <c r="D2784" s="15"/>
    </row>
    <row r="2785" spans="2:4" x14ac:dyDescent="0.25">
      <c r="B2785" s="68"/>
      <c r="C2785" s="50"/>
      <c r="D2785" s="15"/>
    </row>
    <row r="2786" spans="2:4" x14ac:dyDescent="0.25">
      <c r="B2786" s="68"/>
      <c r="C2786" s="50"/>
      <c r="D2786" s="15"/>
    </row>
    <row r="2787" spans="2:4" x14ac:dyDescent="0.25">
      <c r="B2787" s="68"/>
      <c r="C2787" s="50"/>
      <c r="D2787" s="15"/>
    </row>
    <row r="2788" spans="2:4" x14ac:dyDescent="0.25">
      <c r="B2788" s="68"/>
      <c r="C2788" s="50"/>
      <c r="D2788" s="15"/>
    </row>
    <row r="2789" spans="2:4" x14ac:dyDescent="0.25">
      <c r="B2789" s="68"/>
      <c r="C2789" s="50"/>
      <c r="D2789" s="15"/>
    </row>
    <row r="2790" spans="2:4" x14ac:dyDescent="0.25">
      <c r="B2790" s="68"/>
      <c r="C2790" s="50"/>
      <c r="D2790" s="15"/>
    </row>
    <row r="2791" spans="2:4" x14ac:dyDescent="0.25">
      <c r="B2791" s="68"/>
      <c r="C2791" s="50"/>
      <c r="D2791" s="15"/>
    </row>
    <row r="2792" spans="2:4" x14ac:dyDescent="0.25">
      <c r="B2792" s="68"/>
      <c r="C2792" s="50"/>
      <c r="D2792" s="15"/>
    </row>
    <row r="2793" spans="2:4" x14ac:dyDescent="0.25">
      <c r="B2793" s="68"/>
      <c r="C2793" s="50"/>
      <c r="D2793" s="15"/>
    </row>
    <row r="2794" spans="2:4" x14ac:dyDescent="0.25">
      <c r="B2794" s="68"/>
      <c r="C2794" s="50"/>
      <c r="D2794" s="15"/>
    </row>
    <row r="2795" spans="2:4" x14ac:dyDescent="0.25">
      <c r="B2795" s="68"/>
      <c r="C2795" s="50"/>
      <c r="D2795" s="15"/>
    </row>
    <row r="2796" spans="2:4" x14ac:dyDescent="0.25">
      <c r="B2796" s="68"/>
      <c r="C2796" s="50"/>
      <c r="D2796" s="15"/>
    </row>
    <row r="2797" spans="2:4" x14ac:dyDescent="0.25">
      <c r="B2797" s="68"/>
      <c r="C2797" s="50"/>
      <c r="D2797" s="15"/>
    </row>
    <row r="2798" spans="2:4" x14ac:dyDescent="0.25">
      <c r="B2798" s="68"/>
      <c r="C2798" s="50"/>
      <c r="D2798" s="15"/>
    </row>
    <row r="2799" spans="2:4" x14ac:dyDescent="0.25">
      <c r="B2799" s="68"/>
      <c r="C2799" s="50"/>
      <c r="D2799" s="15"/>
    </row>
    <row r="2800" spans="2:4" x14ac:dyDescent="0.25">
      <c r="B2800" s="68"/>
      <c r="C2800" s="50"/>
      <c r="D2800" s="15"/>
    </row>
    <row r="2801" spans="2:4" x14ac:dyDescent="0.25">
      <c r="B2801" s="68"/>
      <c r="C2801" s="50"/>
      <c r="D2801" s="15"/>
    </row>
    <row r="2802" spans="2:4" x14ac:dyDescent="0.25">
      <c r="B2802" s="68"/>
      <c r="C2802" s="50"/>
      <c r="D2802" s="15"/>
    </row>
    <row r="2803" spans="2:4" x14ac:dyDescent="0.25">
      <c r="B2803" s="68"/>
      <c r="C2803" s="50"/>
      <c r="D2803" s="15"/>
    </row>
    <row r="2804" spans="2:4" x14ac:dyDescent="0.25">
      <c r="B2804" s="68"/>
      <c r="C2804" s="50"/>
      <c r="D2804" s="15"/>
    </row>
    <row r="2805" spans="2:4" x14ac:dyDescent="0.25">
      <c r="B2805" s="68"/>
      <c r="C2805" s="50"/>
      <c r="D2805" s="15"/>
    </row>
    <row r="2806" spans="2:4" x14ac:dyDescent="0.25">
      <c r="B2806" s="68"/>
      <c r="C2806" s="50"/>
      <c r="D2806" s="15"/>
    </row>
    <row r="2807" spans="2:4" x14ac:dyDescent="0.25">
      <c r="B2807" s="68"/>
      <c r="C2807" s="50"/>
      <c r="D2807" s="15"/>
    </row>
    <row r="2808" spans="2:4" x14ac:dyDescent="0.25">
      <c r="B2808" s="68"/>
      <c r="C2808" s="50"/>
      <c r="D2808" s="15"/>
    </row>
    <row r="2809" spans="2:4" x14ac:dyDescent="0.25">
      <c r="B2809" s="68"/>
      <c r="C2809" s="50"/>
      <c r="D2809" s="15"/>
    </row>
    <row r="2810" spans="2:4" x14ac:dyDescent="0.25">
      <c r="B2810" s="68"/>
      <c r="C2810" s="50"/>
      <c r="D2810" s="15"/>
    </row>
    <row r="2811" spans="2:4" x14ac:dyDescent="0.25">
      <c r="B2811" s="68"/>
      <c r="C2811" s="50"/>
      <c r="D2811" s="15"/>
    </row>
    <row r="2812" spans="2:4" x14ac:dyDescent="0.25">
      <c r="B2812" s="68"/>
      <c r="C2812" s="50"/>
      <c r="D2812" s="15"/>
    </row>
    <row r="2813" spans="2:4" x14ac:dyDescent="0.25">
      <c r="B2813" s="68"/>
      <c r="C2813" s="50"/>
      <c r="D2813" s="15"/>
    </row>
    <row r="2814" spans="2:4" x14ac:dyDescent="0.25">
      <c r="B2814" s="68"/>
      <c r="C2814" s="50"/>
      <c r="D2814" s="15"/>
    </row>
    <row r="2815" spans="2:4" x14ac:dyDescent="0.25">
      <c r="B2815" s="68"/>
      <c r="C2815" s="50"/>
      <c r="D2815" s="15"/>
    </row>
    <row r="2816" spans="2:4" x14ac:dyDescent="0.25">
      <c r="B2816" s="68"/>
      <c r="C2816" s="50"/>
      <c r="D2816" s="15"/>
    </row>
    <row r="2817" spans="2:4" x14ac:dyDescent="0.25">
      <c r="B2817" s="68"/>
      <c r="C2817" s="50"/>
      <c r="D2817" s="15"/>
    </row>
    <row r="2818" spans="2:4" x14ac:dyDescent="0.25">
      <c r="B2818" s="68"/>
      <c r="C2818" s="50"/>
      <c r="D2818" s="15"/>
    </row>
    <row r="2819" spans="2:4" x14ac:dyDescent="0.25">
      <c r="B2819" s="68"/>
      <c r="C2819" s="50"/>
      <c r="D2819" s="15"/>
    </row>
    <row r="2820" spans="2:4" x14ac:dyDescent="0.25">
      <c r="B2820" s="68"/>
      <c r="C2820" s="50"/>
      <c r="D2820" s="15"/>
    </row>
    <row r="2821" spans="2:4" x14ac:dyDescent="0.25">
      <c r="B2821" s="68"/>
      <c r="C2821" s="50"/>
      <c r="D2821" s="15"/>
    </row>
    <row r="2822" spans="2:4" x14ac:dyDescent="0.25">
      <c r="B2822" s="68"/>
      <c r="C2822" s="50"/>
      <c r="D2822" s="15"/>
    </row>
    <row r="2823" spans="2:4" x14ac:dyDescent="0.25">
      <c r="B2823" s="68"/>
      <c r="C2823" s="50"/>
      <c r="D2823" s="15"/>
    </row>
    <row r="2824" spans="2:4" x14ac:dyDescent="0.25">
      <c r="B2824" s="68"/>
      <c r="C2824" s="50"/>
      <c r="D2824" s="15"/>
    </row>
    <row r="2825" spans="2:4" x14ac:dyDescent="0.25">
      <c r="B2825" s="68"/>
      <c r="C2825" s="50"/>
      <c r="D2825" s="15"/>
    </row>
    <row r="2826" spans="2:4" x14ac:dyDescent="0.25">
      <c r="B2826" s="68"/>
      <c r="C2826" s="50"/>
      <c r="D2826" s="15"/>
    </row>
    <row r="2827" spans="2:4" x14ac:dyDescent="0.25">
      <c r="B2827" s="68"/>
      <c r="C2827" s="50"/>
      <c r="D2827" s="15"/>
    </row>
    <row r="2828" spans="2:4" x14ac:dyDescent="0.25">
      <c r="B2828" s="68"/>
      <c r="C2828" s="50"/>
      <c r="D2828" s="15"/>
    </row>
    <row r="2829" spans="2:4" x14ac:dyDescent="0.25">
      <c r="B2829" s="68"/>
      <c r="C2829" s="50"/>
      <c r="D2829" s="15"/>
    </row>
    <row r="2830" spans="2:4" x14ac:dyDescent="0.25">
      <c r="B2830" s="68"/>
      <c r="C2830" s="50"/>
      <c r="D2830" s="15"/>
    </row>
    <row r="2831" spans="2:4" x14ac:dyDescent="0.25">
      <c r="B2831" s="68"/>
      <c r="C2831" s="50"/>
      <c r="D2831" s="15"/>
    </row>
    <row r="2832" spans="2:4" x14ac:dyDescent="0.25">
      <c r="B2832" s="68"/>
      <c r="C2832" s="50"/>
      <c r="D2832" s="15"/>
    </row>
    <row r="2833" spans="2:4" x14ac:dyDescent="0.25">
      <c r="B2833" s="68"/>
      <c r="C2833" s="50"/>
      <c r="D2833" s="15"/>
    </row>
    <row r="2834" spans="2:4" x14ac:dyDescent="0.25">
      <c r="B2834" s="68"/>
      <c r="C2834" s="50"/>
      <c r="D2834" s="15"/>
    </row>
    <row r="2835" spans="2:4" x14ac:dyDescent="0.25">
      <c r="B2835" s="68"/>
      <c r="C2835" s="50"/>
      <c r="D2835" s="15"/>
    </row>
    <row r="2836" spans="2:4" x14ac:dyDescent="0.25">
      <c r="B2836" s="68"/>
      <c r="C2836" s="50"/>
      <c r="D2836" s="15"/>
    </row>
    <row r="2837" spans="2:4" x14ac:dyDescent="0.25">
      <c r="B2837" s="68"/>
      <c r="C2837" s="50"/>
      <c r="D2837" s="15"/>
    </row>
    <row r="2838" spans="2:4" x14ac:dyDescent="0.25">
      <c r="B2838" s="68"/>
      <c r="C2838" s="50"/>
      <c r="D2838" s="15"/>
    </row>
    <row r="2839" spans="2:4" x14ac:dyDescent="0.25">
      <c r="B2839" s="68"/>
      <c r="C2839" s="50"/>
      <c r="D2839" s="15"/>
    </row>
    <row r="2840" spans="2:4" x14ac:dyDescent="0.25">
      <c r="B2840" s="68"/>
      <c r="C2840" s="50"/>
      <c r="D2840" s="15"/>
    </row>
    <row r="2841" spans="2:4" x14ac:dyDescent="0.25">
      <c r="B2841" s="68"/>
      <c r="C2841" s="50"/>
      <c r="D2841" s="15"/>
    </row>
    <row r="2842" spans="2:4" x14ac:dyDescent="0.25">
      <c r="B2842" s="68"/>
      <c r="C2842" s="50"/>
      <c r="D2842" s="15"/>
    </row>
    <row r="2843" spans="2:4" x14ac:dyDescent="0.25">
      <c r="B2843" s="68"/>
      <c r="C2843" s="50"/>
      <c r="D2843" s="15"/>
    </row>
    <row r="2844" spans="2:4" x14ac:dyDescent="0.25">
      <c r="B2844" s="68"/>
      <c r="C2844" s="50"/>
      <c r="D2844" s="15"/>
    </row>
    <row r="2845" spans="2:4" x14ac:dyDescent="0.25">
      <c r="B2845" s="68"/>
      <c r="C2845" s="50"/>
      <c r="D2845" s="15"/>
    </row>
    <row r="2846" spans="2:4" x14ac:dyDescent="0.25">
      <c r="B2846" s="68"/>
      <c r="C2846" s="50"/>
      <c r="D2846" s="15"/>
    </row>
    <row r="2847" spans="2:4" x14ac:dyDescent="0.25">
      <c r="B2847" s="68"/>
      <c r="C2847" s="50"/>
      <c r="D2847" s="15"/>
    </row>
    <row r="2848" spans="2:4" x14ac:dyDescent="0.25">
      <c r="B2848" s="68"/>
      <c r="C2848" s="50"/>
      <c r="D2848" s="15"/>
    </row>
    <row r="2849" spans="2:4" x14ac:dyDescent="0.25">
      <c r="B2849" s="68"/>
      <c r="C2849" s="50"/>
      <c r="D2849" s="15"/>
    </row>
    <row r="2850" spans="2:4" x14ac:dyDescent="0.25">
      <c r="B2850" s="68"/>
      <c r="C2850" s="50"/>
      <c r="D2850" s="15"/>
    </row>
    <row r="2851" spans="2:4" x14ac:dyDescent="0.25">
      <c r="B2851" s="68"/>
      <c r="C2851" s="50"/>
      <c r="D2851" s="15"/>
    </row>
    <row r="2852" spans="2:4" x14ac:dyDescent="0.25">
      <c r="B2852" s="68"/>
      <c r="C2852" s="50"/>
      <c r="D2852" s="15"/>
    </row>
    <row r="2853" spans="2:4" x14ac:dyDescent="0.25">
      <c r="B2853" s="68"/>
      <c r="C2853" s="50"/>
      <c r="D2853" s="15"/>
    </row>
    <row r="2854" spans="2:4" x14ac:dyDescent="0.25">
      <c r="B2854" s="68"/>
      <c r="C2854" s="50"/>
      <c r="D2854" s="15"/>
    </row>
    <row r="2855" spans="2:4" x14ac:dyDescent="0.25">
      <c r="B2855" s="68"/>
      <c r="C2855" s="50"/>
      <c r="D2855" s="15"/>
    </row>
    <row r="2856" spans="2:4" x14ac:dyDescent="0.25">
      <c r="B2856" s="68"/>
      <c r="C2856" s="50"/>
      <c r="D2856" s="15"/>
    </row>
    <row r="2857" spans="2:4" x14ac:dyDescent="0.25">
      <c r="B2857" s="68"/>
      <c r="C2857" s="50"/>
      <c r="D2857" s="15"/>
    </row>
    <row r="2858" spans="2:4" x14ac:dyDescent="0.25">
      <c r="B2858" s="68"/>
      <c r="C2858" s="50"/>
      <c r="D2858" s="15"/>
    </row>
    <row r="2859" spans="2:4" x14ac:dyDescent="0.25">
      <c r="B2859" s="68"/>
      <c r="C2859" s="50"/>
      <c r="D2859" s="15"/>
    </row>
    <row r="2860" spans="2:4" x14ac:dyDescent="0.25">
      <c r="B2860" s="68"/>
      <c r="C2860" s="50"/>
      <c r="D2860" s="15"/>
    </row>
    <row r="2861" spans="2:4" x14ac:dyDescent="0.25">
      <c r="B2861" s="68"/>
      <c r="C2861" s="50"/>
      <c r="D2861" s="15"/>
    </row>
    <row r="2862" spans="2:4" x14ac:dyDescent="0.25">
      <c r="B2862" s="68"/>
      <c r="C2862" s="50"/>
      <c r="D2862" s="15"/>
    </row>
    <row r="2863" spans="2:4" x14ac:dyDescent="0.25">
      <c r="B2863" s="68"/>
      <c r="C2863" s="50"/>
      <c r="D2863" s="15"/>
    </row>
    <row r="2864" spans="2:4" x14ac:dyDescent="0.25">
      <c r="B2864" s="68"/>
      <c r="C2864" s="50"/>
      <c r="D2864" s="15"/>
    </row>
    <row r="2865" spans="2:4" x14ac:dyDescent="0.25">
      <c r="B2865" s="68"/>
      <c r="C2865" s="50"/>
      <c r="D2865" s="15"/>
    </row>
    <row r="2866" spans="2:4" x14ac:dyDescent="0.25">
      <c r="B2866" s="68"/>
      <c r="C2866" s="50"/>
      <c r="D2866" s="15"/>
    </row>
    <row r="2867" spans="2:4" x14ac:dyDescent="0.25">
      <c r="B2867" s="68"/>
      <c r="C2867" s="50"/>
      <c r="D2867" s="15"/>
    </row>
    <row r="2868" spans="2:4" x14ac:dyDescent="0.25">
      <c r="B2868" s="68"/>
      <c r="C2868" s="50"/>
      <c r="D2868" s="15"/>
    </row>
    <row r="2869" spans="2:4" x14ac:dyDescent="0.25">
      <c r="B2869" s="68"/>
      <c r="C2869" s="50"/>
      <c r="D2869" s="15"/>
    </row>
    <row r="2870" spans="2:4" x14ac:dyDescent="0.25">
      <c r="B2870" s="68"/>
      <c r="C2870" s="50"/>
      <c r="D2870" s="15"/>
    </row>
    <row r="2871" spans="2:4" x14ac:dyDescent="0.25">
      <c r="B2871" s="68"/>
      <c r="C2871" s="50"/>
      <c r="D2871" s="15"/>
    </row>
    <row r="2872" spans="2:4" x14ac:dyDescent="0.25">
      <c r="B2872" s="68"/>
      <c r="C2872" s="50"/>
      <c r="D2872" s="15"/>
    </row>
    <row r="2873" spans="2:4" x14ac:dyDescent="0.25">
      <c r="B2873" s="68"/>
      <c r="C2873" s="50"/>
      <c r="D2873" s="15"/>
    </row>
    <row r="2874" spans="2:4" x14ac:dyDescent="0.25">
      <c r="B2874" s="68"/>
      <c r="C2874" s="50"/>
      <c r="D2874" s="15"/>
    </row>
    <row r="2875" spans="2:4" x14ac:dyDescent="0.25">
      <c r="B2875" s="68"/>
      <c r="C2875" s="50"/>
      <c r="D2875" s="15"/>
    </row>
    <row r="2876" spans="2:4" x14ac:dyDescent="0.25">
      <c r="B2876" s="68"/>
      <c r="C2876" s="50"/>
      <c r="D2876" s="15"/>
    </row>
    <row r="2877" spans="2:4" x14ac:dyDescent="0.25">
      <c r="B2877" s="68"/>
      <c r="C2877" s="50"/>
      <c r="D2877" s="15"/>
    </row>
    <row r="2878" spans="2:4" x14ac:dyDescent="0.25">
      <c r="B2878" s="68"/>
      <c r="C2878" s="50"/>
      <c r="D2878" s="15"/>
    </row>
    <row r="2879" spans="2:4" x14ac:dyDescent="0.25">
      <c r="B2879" s="68"/>
      <c r="C2879" s="50"/>
      <c r="D2879" s="15"/>
    </row>
    <row r="2880" spans="2:4" x14ac:dyDescent="0.25">
      <c r="B2880" s="68"/>
      <c r="C2880" s="50"/>
      <c r="D2880" s="15"/>
    </row>
    <row r="2881" spans="2:4" x14ac:dyDescent="0.25">
      <c r="B2881" s="68"/>
      <c r="C2881" s="50"/>
      <c r="D2881" s="15"/>
    </row>
    <row r="2882" spans="2:4" x14ac:dyDescent="0.25">
      <c r="B2882" s="68"/>
      <c r="C2882" s="50"/>
      <c r="D2882" s="15"/>
    </row>
    <row r="2883" spans="2:4" x14ac:dyDescent="0.25">
      <c r="B2883" s="68"/>
      <c r="C2883" s="50"/>
      <c r="D2883" s="15"/>
    </row>
    <row r="2884" spans="2:4" x14ac:dyDescent="0.25">
      <c r="B2884" s="68"/>
      <c r="C2884" s="50"/>
      <c r="D2884" s="15"/>
    </row>
    <row r="2885" spans="2:4" x14ac:dyDescent="0.25">
      <c r="B2885" s="68"/>
      <c r="C2885" s="50"/>
      <c r="D2885" s="15"/>
    </row>
    <row r="2886" spans="2:4" x14ac:dyDescent="0.25">
      <c r="B2886" s="68"/>
      <c r="C2886" s="50"/>
      <c r="D2886" s="15"/>
    </row>
    <row r="2887" spans="2:4" x14ac:dyDescent="0.25">
      <c r="B2887" s="68"/>
      <c r="C2887" s="50"/>
      <c r="D2887" s="15"/>
    </row>
    <row r="2888" spans="2:4" x14ac:dyDescent="0.25">
      <c r="B2888" s="68"/>
      <c r="C2888" s="50"/>
      <c r="D2888" s="15"/>
    </row>
    <row r="2889" spans="2:4" x14ac:dyDescent="0.25">
      <c r="B2889" s="68"/>
      <c r="C2889" s="50"/>
      <c r="D2889" s="15"/>
    </row>
    <row r="2890" spans="2:4" x14ac:dyDescent="0.25">
      <c r="B2890" s="68"/>
      <c r="C2890" s="50"/>
      <c r="D2890" s="15"/>
    </row>
    <row r="2891" spans="2:4" x14ac:dyDescent="0.25">
      <c r="B2891" s="68"/>
      <c r="C2891" s="50"/>
      <c r="D2891" s="15"/>
    </row>
    <row r="2892" spans="2:4" x14ac:dyDescent="0.25">
      <c r="B2892" s="68"/>
      <c r="C2892" s="50"/>
      <c r="D2892" s="15"/>
    </row>
    <row r="2893" spans="2:4" x14ac:dyDescent="0.25">
      <c r="B2893" s="68"/>
      <c r="C2893" s="50"/>
      <c r="D2893" s="15"/>
    </row>
    <row r="2894" spans="2:4" x14ac:dyDescent="0.25">
      <c r="B2894" s="68"/>
      <c r="C2894" s="50"/>
      <c r="D2894" s="15"/>
    </row>
    <row r="2895" spans="2:4" x14ac:dyDescent="0.25">
      <c r="B2895" s="68"/>
      <c r="C2895" s="50"/>
      <c r="D2895" s="15"/>
    </row>
    <row r="2896" spans="2:4" x14ac:dyDescent="0.25">
      <c r="B2896" s="68"/>
      <c r="C2896" s="50"/>
      <c r="D2896" s="15"/>
    </row>
    <row r="2897" spans="2:4" x14ac:dyDescent="0.25">
      <c r="B2897" s="68"/>
      <c r="C2897" s="50"/>
      <c r="D2897" s="15"/>
    </row>
    <row r="2898" spans="2:4" x14ac:dyDescent="0.25">
      <c r="B2898" s="68"/>
      <c r="C2898" s="50"/>
      <c r="D2898" s="15"/>
    </row>
    <row r="2899" spans="2:4" x14ac:dyDescent="0.25">
      <c r="B2899" s="68"/>
      <c r="C2899" s="50"/>
      <c r="D2899" s="15"/>
    </row>
    <row r="2900" spans="2:4" x14ac:dyDescent="0.25">
      <c r="B2900" s="68"/>
      <c r="C2900" s="50"/>
      <c r="D2900" s="15"/>
    </row>
    <row r="2901" spans="2:4" x14ac:dyDescent="0.25">
      <c r="B2901" s="68"/>
      <c r="C2901" s="50"/>
      <c r="D2901" s="15"/>
    </row>
    <row r="2902" spans="2:4" x14ac:dyDescent="0.25">
      <c r="B2902" s="68"/>
      <c r="C2902" s="50"/>
      <c r="D2902" s="15"/>
    </row>
    <row r="2903" spans="2:4" x14ac:dyDescent="0.25">
      <c r="B2903" s="68"/>
      <c r="C2903" s="50"/>
      <c r="D2903" s="15"/>
    </row>
    <row r="2904" spans="2:4" x14ac:dyDescent="0.25">
      <c r="B2904" s="68"/>
      <c r="C2904" s="50"/>
      <c r="D2904" s="15"/>
    </row>
    <row r="2905" spans="2:4" x14ac:dyDescent="0.25">
      <c r="B2905" s="68"/>
      <c r="C2905" s="50"/>
      <c r="D2905" s="15"/>
    </row>
    <row r="2906" spans="2:4" x14ac:dyDescent="0.25">
      <c r="B2906" s="68"/>
      <c r="C2906" s="50"/>
      <c r="D2906" s="15"/>
    </row>
    <row r="2907" spans="2:4" x14ac:dyDescent="0.25">
      <c r="B2907" s="68"/>
      <c r="C2907" s="50"/>
      <c r="D2907" s="15"/>
    </row>
    <row r="2908" spans="2:4" x14ac:dyDescent="0.25">
      <c r="B2908" s="68"/>
      <c r="C2908" s="50"/>
      <c r="D2908" s="15"/>
    </row>
    <row r="2909" spans="2:4" x14ac:dyDescent="0.25">
      <c r="B2909" s="68"/>
      <c r="C2909" s="50"/>
      <c r="D2909" s="15"/>
    </row>
    <row r="2910" spans="2:4" x14ac:dyDescent="0.25">
      <c r="B2910" s="68"/>
      <c r="C2910" s="50"/>
      <c r="D2910" s="15"/>
    </row>
    <row r="2911" spans="2:4" x14ac:dyDescent="0.25">
      <c r="B2911" s="68"/>
      <c r="C2911" s="50"/>
      <c r="D2911" s="15"/>
    </row>
    <row r="2912" spans="2:4" x14ac:dyDescent="0.25">
      <c r="B2912" s="68"/>
      <c r="C2912" s="50"/>
      <c r="D2912" s="15"/>
    </row>
    <row r="2913" spans="2:4" x14ac:dyDescent="0.25">
      <c r="B2913" s="68"/>
      <c r="C2913" s="50"/>
      <c r="D2913" s="15"/>
    </row>
    <row r="2914" spans="2:4" x14ac:dyDescent="0.25">
      <c r="B2914" s="68"/>
      <c r="C2914" s="50"/>
      <c r="D2914" s="15"/>
    </row>
    <row r="2915" spans="2:4" x14ac:dyDescent="0.25">
      <c r="B2915" s="68"/>
      <c r="C2915" s="50"/>
      <c r="D2915" s="15"/>
    </row>
    <row r="2916" spans="2:4" x14ac:dyDescent="0.25">
      <c r="B2916" s="68"/>
      <c r="C2916" s="50"/>
      <c r="D2916" s="15"/>
    </row>
    <row r="2917" spans="2:4" x14ac:dyDescent="0.25">
      <c r="B2917" s="68"/>
      <c r="C2917" s="50"/>
      <c r="D2917" s="15"/>
    </row>
    <row r="2918" spans="2:4" x14ac:dyDescent="0.25">
      <c r="B2918" s="68"/>
      <c r="C2918" s="50"/>
      <c r="D2918" s="15"/>
    </row>
    <row r="2919" spans="2:4" x14ac:dyDescent="0.25">
      <c r="B2919" s="68"/>
      <c r="C2919" s="50"/>
      <c r="D2919" s="15"/>
    </row>
    <row r="2920" spans="2:4" x14ac:dyDescent="0.25">
      <c r="B2920" s="68"/>
      <c r="C2920" s="50"/>
      <c r="D2920" s="15"/>
    </row>
    <row r="2921" spans="2:4" x14ac:dyDescent="0.25">
      <c r="B2921" s="68"/>
      <c r="C2921" s="50"/>
      <c r="D2921" s="15"/>
    </row>
    <row r="2922" spans="2:4" x14ac:dyDescent="0.25">
      <c r="B2922" s="68"/>
      <c r="C2922" s="50"/>
      <c r="D2922" s="15"/>
    </row>
    <row r="2923" spans="2:4" x14ac:dyDescent="0.25">
      <c r="B2923" s="68"/>
      <c r="C2923" s="50"/>
      <c r="D2923" s="15"/>
    </row>
    <row r="2924" spans="2:4" x14ac:dyDescent="0.25">
      <c r="B2924" s="68"/>
      <c r="C2924" s="50"/>
      <c r="D2924" s="15"/>
    </row>
    <row r="2925" spans="2:4" x14ac:dyDescent="0.25">
      <c r="B2925" s="68"/>
      <c r="C2925" s="50"/>
      <c r="D2925" s="15"/>
    </row>
    <row r="2926" spans="2:4" x14ac:dyDescent="0.25">
      <c r="B2926" s="68"/>
      <c r="C2926" s="50"/>
      <c r="D2926" s="15"/>
    </row>
    <row r="2927" spans="2:4" x14ac:dyDescent="0.25">
      <c r="B2927" s="68"/>
      <c r="C2927" s="50"/>
      <c r="D2927" s="15"/>
    </row>
    <row r="2928" spans="2:4" x14ac:dyDescent="0.25">
      <c r="B2928" s="68"/>
      <c r="C2928" s="50"/>
      <c r="D2928" s="15"/>
    </row>
    <row r="2929" spans="2:4" x14ac:dyDescent="0.25">
      <c r="B2929" s="68"/>
      <c r="C2929" s="50"/>
      <c r="D2929" s="15"/>
    </row>
    <row r="2930" spans="2:4" x14ac:dyDescent="0.25">
      <c r="B2930" s="68"/>
      <c r="C2930" s="50"/>
      <c r="D2930" s="15"/>
    </row>
    <row r="2931" spans="2:4" x14ac:dyDescent="0.25">
      <c r="B2931" s="68"/>
      <c r="C2931" s="50"/>
      <c r="D2931" s="15"/>
    </row>
    <row r="2932" spans="2:4" x14ac:dyDescent="0.25">
      <c r="B2932" s="68"/>
      <c r="C2932" s="50"/>
      <c r="D2932" s="15"/>
    </row>
    <row r="2933" spans="2:4" x14ac:dyDescent="0.25">
      <c r="B2933" s="68"/>
      <c r="C2933" s="50"/>
      <c r="D2933" s="15"/>
    </row>
    <row r="2934" spans="2:4" x14ac:dyDescent="0.25">
      <c r="B2934" s="68"/>
      <c r="C2934" s="50"/>
      <c r="D2934" s="15"/>
    </row>
    <row r="2935" spans="2:4" x14ac:dyDescent="0.25">
      <c r="B2935" s="68"/>
      <c r="C2935" s="50"/>
      <c r="D2935" s="15"/>
    </row>
    <row r="2936" spans="2:4" x14ac:dyDescent="0.25">
      <c r="B2936" s="68"/>
      <c r="C2936" s="50"/>
      <c r="D2936" s="15"/>
    </row>
    <row r="2937" spans="2:4" x14ac:dyDescent="0.25">
      <c r="B2937" s="68"/>
      <c r="C2937" s="50"/>
      <c r="D2937" s="15"/>
    </row>
    <row r="2938" spans="2:4" x14ac:dyDescent="0.25">
      <c r="B2938" s="68"/>
      <c r="C2938" s="50"/>
      <c r="D2938" s="15"/>
    </row>
    <row r="2939" spans="2:4" x14ac:dyDescent="0.25">
      <c r="B2939" s="68"/>
      <c r="C2939" s="50"/>
      <c r="D2939" s="15"/>
    </row>
    <row r="2940" spans="2:4" x14ac:dyDescent="0.25">
      <c r="B2940" s="68"/>
      <c r="C2940" s="50"/>
      <c r="D2940" s="15"/>
    </row>
    <row r="2941" spans="2:4" x14ac:dyDescent="0.25">
      <c r="B2941" s="68"/>
      <c r="C2941" s="50"/>
      <c r="D2941" s="15"/>
    </row>
    <row r="2942" spans="2:4" x14ac:dyDescent="0.25">
      <c r="B2942" s="68"/>
      <c r="C2942" s="50"/>
      <c r="D2942" s="15"/>
    </row>
    <row r="2943" spans="2:4" x14ac:dyDescent="0.25">
      <c r="B2943" s="68"/>
      <c r="C2943" s="50"/>
      <c r="D2943" s="15"/>
    </row>
    <row r="2944" spans="2:4" x14ac:dyDescent="0.25">
      <c r="B2944" s="68"/>
      <c r="C2944" s="50"/>
      <c r="D2944" s="15"/>
    </row>
    <row r="2945" spans="2:4" x14ac:dyDescent="0.25">
      <c r="B2945" s="68"/>
      <c r="C2945" s="50"/>
      <c r="D2945" s="15"/>
    </row>
    <row r="2946" spans="2:4" x14ac:dyDescent="0.25">
      <c r="B2946" s="68"/>
      <c r="C2946" s="50"/>
      <c r="D2946" s="15"/>
    </row>
    <row r="2947" spans="2:4" x14ac:dyDescent="0.25">
      <c r="B2947" s="68"/>
      <c r="C2947" s="50"/>
      <c r="D2947" s="15"/>
    </row>
    <row r="2948" spans="2:4" x14ac:dyDescent="0.25">
      <c r="B2948" s="68"/>
      <c r="C2948" s="50"/>
      <c r="D2948" s="15"/>
    </row>
    <row r="2949" spans="2:4" x14ac:dyDescent="0.25">
      <c r="B2949" s="68"/>
      <c r="C2949" s="50"/>
      <c r="D2949" s="15"/>
    </row>
    <row r="2950" spans="2:4" x14ac:dyDescent="0.25">
      <c r="B2950" s="68"/>
      <c r="C2950" s="50"/>
      <c r="D2950" s="15"/>
    </row>
    <row r="2951" spans="2:4" x14ac:dyDescent="0.25">
      <c r="B2951" s="68"/>
      <c r="C2951" s="50"/>
      <c r="D2951" s="15"/>
    </row>
    <row r="2952" spans="2:4" x14ac:dyDescent="0.25">
      <c r="B2952" s="68"/>
      <c r="C2952" s="50"/>
      <c r="D2952" s="15"/>
    </row>
    <row r="2953" spans="2:4" x14ac:dyDescent="0.25">
      <c r="B2953" s="68"/>
      <c r="C2953" s="50"/>
      <c r="D2953" s="15"/>
    </row>
    <row r="2954" spans="2:4" x14ac:dyDescent="0.25">
      <c r="B2954" s="68"/>
      <c r="C2954" s="50"/>
      <c r="D2954" s="15"/>
    </row>
    <row r="2955" spans="2:4" x14ac:dyDescent="0.25">
      <c r="B2955" s="68"/>
      <c r="C2955" s="50"/>
      <c r="D2955" s="15"/>
    </row>
    <row r="2956" spans="2:4" x14ac:dyDescent="0.25">
      <c r="B2956" s="68"/>
      <c r="C2956" s="50"/>
      <c r="D2956" s="15"/>
    </row>
    <row r="2957" spans="2:4" x14ac:dyDescent="0.25">
      <c r="B2957" s="68"/>
      <c r="C2957" s="50"/>
      <c r="D2957" s="15"/>
    </row>
    <row r="2958" spans="2:4" x14ac:dyDescent="0.25">
      <c r="B2958" s="68"/>
      <c r="C2958" s="50"/>
      <c r="D2958" s="15"/>
    </row>
    <row r="2959" spans="2:4" x14ac:dyDescent="0.25">
      <c r="B2959" s="68"/>
      <c r="C2959" s="50"/>
      <c r="D2959" s="15"/>
    </row>
    <row r="2960" spans="2:4" x14ac:dyDescent="0.25">
      <c r="B2960" s="68"/>
      <c r="C2960" s="50"/>
      <c r="D2960" s="15"/>
    </row>
    <row r="2961" spans="2:4" x14ac:dyDescent="0.25">
      <c r="B2961" s="68"/>
      <c r="C2961" s="50"/>
      <c r="D2961" s="15"/>
    </row>
    <row r="2962" spans="2:4" x14ac:dyDescent="0.25">
      <c r="B2962" s="68"/>
      <c r="C2962" s="50"/>
      <c r="D2962" s="15"/>
    </row>
    <row r="2963" spans="2:4" x14ac:dyDescent="0.25">
      <c r="B2963" s="68"/>
      <c r="C2963" s="50"/>
      <c r="D2963" s="15"/>
    </row>
    <row r="2964" spans="2:4" x14ac:dyDescent="0.25">
      <c r="B2964" s="68"/>
      <c r="C2964" s="50"/>
      <c r="D2964" s="15"/>
    </row>
    <row r="2965" spans="2:4" x14ac:dyDescent="0.25">
      <c r="B2965" s="68"/>
      <c r="C2965" s="50"/>
      <c r="D2965" s="15"/>
    </row>
    <row r="2966" spans="2:4" x14ac:dyDescent="0.25">
      <c r="B2966" s="68"/>
      <c r="C2966" s="50"/>
      <c r="D2966" s="15"/>
    </row>
    <row r="2967" spans="2:4" x14ac:dyDescent="0.25">
      <c r="B2967" s="68"/>
      <c r="C2967" s="50"/>
      <c r="D2967" s="15"/>
    </row>
    <row r="2968" spans="2:4" x14ac:dyDescent="0.25">
      <c r="B2968" s="68"/>
      <c r="C2968" s="50"/>
      <c r="D2968" s="15"/>
    </row>
    <row r="2969" spans="2:4" x14ac:dyDescent="0.25">
      <c r="B2969" s="68"/>
      <c r="C2969" s="50"/>
      <c r="D2969" s="15"/>
    </row>
    <row r="2970" spans="2:4" x14ac:dyDescent="0.25">
      <c r="B2970" s="68"/>
      <c r="C2970" s="50"/>
      <c r="D2970" s="15"/>
    </row>
    <row r="2971" spans="2:4" x14ac:dyDescent="0.25">
      <c r="B2971" s="68"/>
      <c r="C2971" s="50"/>
      <c r="D2971" s="15"/>
    </row>
    <row r="2972" spans="2:4" x14ac:dyDescent="0.25">
      <c r="B2972" s="68"/>
      <c r="C2972" s="50"/>
      <c r="D2972" s="15"/>
    </row>
    <row r="2973" spans="2:4" x14ac:dyDescent="0.25">
      <c r="B2973" s="68"/>
      <c r="C2973" s="50"/>
      <c r="D2973" s="15"/>
    </row>
    <row r="2974" spans="2:4" x14ac:dyDescent="0.25">
      <c r="B2974" s="68"/>
      <c r="C2974" s="50"/>
      <c r="D2974" s="15"/>
    </row>
    <row r="2975" spans="2:4" x14ac:dyDescent="0.25">
      <c r="B2975" s="68"/>
      <c r="C2975" s="50"/>
      <c r="D2975" s="15"/>
    </row>
    <row r="2976" spans="2:4" x14ac:dyDescent="0.25">
      <c r="B2976" s="68"/>
      <c r="C2976" s="50"/>
      <c r="D2976" s="15"/>
    </row>
    <row r="2977" spans="2:4" x14ac:dyDescent="0.25">
      <c r="B2977" s="68"/>
      <c r="C2977" s="50"/>
      <c r="D2977" s="15"/>
    </row>
    <row r="2978" spans="2:4" x14ac:dyDescent="0.25">
      <c r="B2978" s="68"/>
      <c r="C2978" s="50"/>
      <c r="D2978" s="15"/>
    </row>
    <row r="2979" spans="2:4" x14ac:dyDescent="0.25">
      <c r="B2979" s="68"/>
      <c r="C2979" s="50"/>
      <c r="D2979" s="15"/>
    </row>
    <row r="2980" spans="2:4" x14ac:dyDescent="0.25">
      <c r="B2980" s="68"/>
      <c r="C2980" s="50"/>
      <c r="D2980" s="15"/>
    </row>
    <row r="2981" spans="2:4" x14ac:dyDescent="0.25">
      <c r="B2981" s="68"/>
      <c r="C2981" s="50"/>
      <c r="D2981" s="15"/>
    </row>
    <row r="2982" spans="2:4" x14ac:dyDescent="0.25">
      <c r="B2982" s="68"/>
      <c r="C2982" s="50"/>
      <c r="D2982" s="15"/>
    </row>
    <row r="2983" spans="2:4" x14ac:dyDescent="0.25">
      <c r="B2983" s="68"/>
      <c r="C2983" s="50"/>
      <c r="D2983" s="15"/>
    </row>
    <row r="2984" spans="2:4" x14ac:dyDescent="0.25">
      <c r="B2984" s="68"/>
      <c r="C2984" s="50"/>
      <c r="D2984" s="15"/>
    </row>
    <row r="2985" spans="2:4" x14ac:dyDescent="0.25">
      <c r="B2985" s="68"/>
      <c r="C2985" s="50"/>
      <c r="D2985" s="15"/>
    </row>
    <row r="2986" spans="2:4" x14ac:dyDescent="0.25">
      <c r="B2986" s="68"/>
      <c r="C2986" s="50"/>
      <c r="D2986" s="15"/>
    </row>
    <row r="2987" spans="2:4" x14ac:dyDescent="0.25">
      <c r="B2987" s="68"/>
      <c r="C2987" s="50"/>
      <c r="D2987" s="15"/>
    </row>
    <row r="2988" spans="2:4" x14ac:dyDescent="0.25">
      <c r="B2988" s="68"/>
      <c r="C2988" s="50"/>
      <c r="D2988" s="15"/>
    </row>
    <row r="2989" spans="2:4" x14ac:dyDescent="0.25">
      <c r="B2989" s="68"/>
      <c r="C2989" s="50"/>
      <c r="D2989" s="15"/>
    </row>
    <row r="2990" spans="2:4" x14ac:dyDescent="0.25">
      <c r="B2990" s="68"/>
      <c r="C2990" s="50"/>
      <c r="D2990" s="15"/>
    </row>
    <row r="2991" spans="2:4" x14ac:dyDescent="0.25">
      <c r="B2991" s="68"/>
      <c r="C2991" s="50"/>
      <c r="D2991" s="15"/>
    </row>
    <row r="2992" spans="2:4" x14ac:dyDescent="0.25">
      <c r="B2992" s="68"/>
      <c r="C2992" s="50"/>
      <c r="D2992" s="15"/>
    </row>
    <row r="2993" spans="2:4" x14ac:dyDescent="0.25">
      <c r="B2993" s="68"/>
      <c r="C2993" s="50"/>
      <c r="D2993" s="15"/>
    </row>
    <row r="2994" spans="2:4" x14ac:dyDescent="0.25">
      <c r="B2994" s="68"/>
      <c r="C2994" s="50"/>
      <c r="D2994" s="15"/>
    </row>
    <row r="2995" spans="2:4" x14ac:dyDescent="0.25">
      <c r="B2995" s="68"/>
      <c r="C2995" s="50"/>
      <c r="D2995" s="15"/>
    </row>
    <row r="2996" spans="2:4" x14ac:dyDescent="0.25">
      <c r="B2996" s="68"/>
      <c r="C2996" s="50"/>
      <c r="D2996" s="15"/>
    </row>
    <row r="2997" spans="2:4" x14ac:dyDescent="0.25">
      <c r="B2997" s="68"/>
      <c r="C2997" s="50"/>
      <c r="D2997" s="15"/>
    </row>
    <row r="2998" spans="2:4" x14ac:dyDescent="0.25">
      <c r="B2998" s="68"/>
      <c r="C2998" s="50"/>
      <c r="D2998" s="15"/>
    </row>
    <row r="2999" spans="2:4" x14ac:dyDescent="0.25">
      <c r="B2999" s="68"/>
      <c r="C2999" s="50"/>
      <c r="D2999" s="15"/>
    </row>
    <row r="3000" spans="2:4" x14ac:dyDescent="0.25">
      <c r="B3000" s="68"/>
      <c r="C3000" s="50"/>
      <c r="D3000" s="15"/>
    </row>
    <row r="3001" spans="2:4" x14ac:dyDescent="0.25">
      <c r="B3001" s="68"/>
      <c r="C3001" s="50"/>
      <c r="D3001" s="15"/>
    </row>
    <row r="3002" spans="2:4" x14ac:dyDescent="0.25">
      <c r="B3002" s="68"/>
      <c r="C3002" s="50"/>
      <c r="D3002" s="15"/>
    </row>
    <row r="3003" spans="2:4" x14ac:dyDescent="0.25">
      <c r="B3003" s="68"/>
      <c r="C3003" s="50"/>
      <c r="D3003" s="15"/>
    </row>
    <row r="3004" spans="2:4" x14ac:dyDescent="0.25">
      <c r="B3004" s="68"/>
      <c r="C3004" s="50"/>
      <c r="D3004" s="15"/>
    </row>
    <row r="3005" spans="2:4" x14ac:dyDescent="0.25">
      <c r="B3005" s="68"/>
      <c r="C3005" s="50"/>
      <c r="D3005" s="15"/>
    </row>
    <row r="3006" spans="2:4" x14ac:dyDescent="0.25">
      <c r="B3006" s="68"/>
      <c r="C3006" s="50"/>
      <c r="D3006" s="15"/>
    </row>
    <row r="3007" spans="2:4" x14ac:dyDescent="0.25">
      <c r="B3007" s="68"/>
      <c r="C3007" s="50"/>
      <c r="D3007" s="15"/>
    </row>
    <row r="3008" spans="2:4" x14ac:dyDescent="0.25">
      <c r="B3008" s="68"/>
      <c r="C3008" s="50"/>
      <c r="D3008" s="15"/>
    </row>
    <row r="3009" spans="2:4" x14ac:dyDescent="0.25">
      <c r="B3009" s="68"/>
      <c r="C3009" s="50"/>
      <c r="D3009" s="15"/>
    </row>
    <row r="3010" spans="2:4" x14ac:dyDescent="0.25">
      <c r="B3010" s="68"/>
      <c r="C3010" s="50"/>
      <c r="D3010" s="15"/>
    </row>
    <row r="3011" spans="2:4" x14ac:dyDescent="0.25">
      <c r="B3011" s="68"/>
      <c r="C3011" s="50"/>
      <c r="D3011" s="15"/>
    </row>
    <row r="3012" spans="2:4" x14ac:dyDescent="0.25">
      <c r="B3012" s="68"/>
      <c r="C3012" s="50"/>
      <c r="D3012" s="15"/>
    </row>
    <row r="3013" spans="2:4" x14ac:dyDescent="0.25">
      <c r="B3013" s="68"/>
      <c r="C3013" s="50"/>
      <c r="D3013" s="15"/>
    </row>
    <row r="3014" spans="2:4" x14ac:dyDescent="0.25">
      <c r="B3014" s="68"/>
      <c r="C3014" s="50"/>
      <c r="D3014" s="15"/>
    </row>
    <row r="3015" spans="2:4" x14ac:dyDescent="0.25">
      <c r="B3015" s="68"/>
      <c r="C3015" s="50"/>
      <c r="D3015" s="15"/>
    </row>
    <row r="3016" spans="2:4" x14ac:dyDescent="0.25">
      <c r="B3016" s="68"/>
      <c r="C3016" s="50"/>
      <c r="D3016" s="15"/>
    </row>
    <row r="3017" spans="2:4" x14ac:dyDescent="0.25">
      <c r="B3017" s="68"/>
      <c r="C3017" s="50"/>
      <c r="D3017" s="15"/>
    </row>
    <row r="3018" spans="2:4" x14ac:dyDescent="0.25">
      <c r="B3018" s="68"/>
      <c r="C3018" s="50"/>
      <c r="D3018" s="15"/>
    </row>
    <row r="3019" spans="2:4" x14ac:dyDescent="0.25">
      <c r="B3019" s="68"/>
      <c r="C3019" s="50"/>
      <c r="D3019" s="15"/>
    </row>
    <row r="3020" spans="2:4" x14ac:dyDescent="0.25">
      <c r="B3020" s="68"/>
      <c r="C3020" s="50"/>
      <c r="D3020" s="15"/>
    </row>
    <row r="3021" spans="2:4" x14ac:dyDescent="0.25">
      <c r="B3021" s="68"/>
      <c r="C3021" s="50"/>
      <c r="D3021" s="15"/>
    </row>
    <row r="3022" spans="2:4" x14ac:dyDescent="0.25">
      <c r="B3022" s="68"/>
      <c r="C3022" s="50"/>
      <c r="D3022" s="15"/>
    </row>
    <row r="3023" spans="2:4" x14ac:dyDescent="0.25">
      <c r="B3023" s="68"/>
      <c r="C3023" s="50"/>
      <c r="D3023" s="15"/>
    </row>
    <row r="3024" spans="2:4" x14ac:dyDescent="0.25">
      <c r="B3024" s="68"/>
      <c r="C3024" s="50"/>
      <c r="D3024" s="15"/>
    </row>
    <row r="3025" spans="2:4" x14ac:dyDescent="0.25">
      <c r="B3025" s="68"/>
      <c r="C3025" s="50"/>
      <c r="D3025" s="15"/>
    </row>
    <row r="3026" spans="2:4" x14ac:dyDescent="0.25">
      <c r="B3026" s="68"/>
      <c r="C3026" s="50"/>
      <c r="D3026" s="15"/>
    </row>
    <row r="3027" spans="2:4" x14ac:dyDescent="0.25">
      <c r="B3027" s="68"/>
      <c r="C3027" s="50"/>
      <c r="D3027" s="15"/>
    </row>
    <row r="3028" spans="2:4" x14ac:dyDescent="0.25">
      <c r="B3028" s="68"/>
      <c r="C3028" s="50"/>
      <c r="D3028" s="15"/>
    </row>
    <row r="3029" spans="2:4" x14ac:dyDescent="0.25">
      <c r="B3029" s="68"/>
      <c r="C3029" s="50"/>
      <c r="D3029" s="15"/>
    </row>
    <row r="3030" spans="2:4" x14ac:dyDescent="0.25">
      <c r="B3030" s="68"/>
      <c r="C3030" s="50"/>
      <c r="D3030" s="15"/>
    </row>
    <row r="3031" spans="2:4" x14ac:dyDescent="0.25">
      <c r="B3031" s="68"/>
      <c r="C3031" s="50"/>
      <c r="D3031" s="15"/>
    </row>
    <row r="3032" spans="2:4" x14ac:dyDescent="0.25">
      <c r="B3032" s="68"/>
      <c r="C3032" s="50"/>
      <c r="D3032" s="15"/>
    </row>
    <row r="3033" spans="2:4" x14ac:dyDescent="0.25">
      <c r="B3033" s="68"/>
      <c r="C3033" s="50"/>
      <c r="D3033" s="15"/>
    </row>
    <row r="3034" spans="2:4" x14ac:dyDescent="0.25">
      <c r="B3034" s="68"/>
      <c r="C3034" s="50"/>
      <c r="D3034" s="15"/>
    </row>
    <row r="3035" spans="2:4" x14ac:dyDescent="0.25">
      <c r="B3035" s="68"/>
      <c r="C3035" s="50"/>
      <c r="D3035" s="15"/>
    </row>
    <row r="3036" spans="2:4" x14ac:dyDescent="0.25">
      <c r="B3036" s="68"/>
      <c r="C3036" s="50"/>
      <c r="D3036" s="15"/>
    </row>
    <row r="3037" spans="2:4" x14ac:dyDescent="0.25">
      <c r="B3037" s="68"/>
      <c r="C3037" s="50"/>
      <c r="D3037" s="15"/>
    </row>
    <row r="3038" spans="2:4" x14ac:dyDescent="0.25">
      <c r="B3038" s="68"/>
      <c r="C3038" s="50"/>
      <c r="D3038" s="15"/>
    </row>
    <row r="3039" spans="2:4" x14ac:dyDescent="0.25">
      <c r="B3039" s="68"/>
      <c r="C3039" s="50"/>
      <c r="D3039" s="15"/>
    </row>
    <row r="3040" spans="2:4" x14ac:dyDescent="0.25">
      <c r="B3040" s="68"/>
      <c r="C3040" s="50"/>
      <c r="D3040" s="15"/>
    </row>
    <row r="3041" spans="2:4" x14ac:dyDescent="0.25">
      <c r="B3041" s="68"/>
      <c r="C3041" s="50"/>
      <c r="D3041" s="15"/>
    </row>
    <row r="3042" spans="2:4" x14ac:dyDescent="0.25">
      <c r="B3042" s="68"/>
      <c r="C3042" s="50"/>
      <c r="D3042" s="15"/>
    </row>
    <row r="3043" spans="2:4" x14ac:dyDescent="0.25">
      <c r="B3043" s="68"/>
      <c r="C3043" s="50"/>
      <c r="D3043" s="15"/>
    </row>
    <row r="3044" spans="2:4" x14ac:dyDescent="0.25">
      <c r="B3044" s="68"/>
      <c r="C3044" s="50"/>
      <c r="D3044" s="15"/>
    </row>
    <row r="3045" spans="2:4" x14ac:dyDescent="0.25">
      <c r="B3045" s="68"/>
      <c r="C3045" s="50"/>
      <c r="D3045" s="15"/>
    </row>
    <row r="3046" spans="2:4" x14ac:dyDescent="0.25">
      <c r="B3046" s="68"/>
      <c r="C3046" s="50"/>
      <c r="D3046" s="15"/>
    </row>
    <row r="3047" spans="2:4" x14ac:dyDescent="0.25">
      <c r="B3047" s="68"/>
      <c r="C3047" s="50"/>
      <c r="D3047" s="15"/>
    </row>
    <row r="3048" spans="2:4" x14ac:dyDescent="0.25">
      <c r="B3048" s="68"/>
      <c r="C3048" s="50"/>
      <c r="D3048" s="15"/>
    </row>
    <row r="3049" spans="2:4" x14ac:dyDescent="0.25">
      <c r="B3049" s="68"/>
      <c r="C3049" s="50"/>
      <c r="D3049" s="15"/>
    </row>
    <row r="3050" spans="2:4" x14ac:dyDescent="0.25">
      <c r="B3050" s="68"/>
      <c r="C3050" s="50"/>
      <c r="D3050" s="15"/>
    </row>
    <row r="3051" spans="2:4" x14ac:dyDescent="0.25">
      <c r="B3051" s="68"/>
      <c r="C3051" s="50"/>
      <c r="D3051" s="15"/>
    </row>
    <row r="3052" spans="2:4" x14ac:dyDescent="0.25">
      <c r="B3052" s="68"/>
      <c r="C3052" s="50"/>
      <c r="D3052" s="15"/>
    </row>
    <row r="3053" spans="2:4" x14ac:dyDescent="0.25">
      <c r="B3053" s="68"/>
      <c r="C3053" s="50"/>
      <c r="D3053" s="15"/>
    </row>
    <row r="3054" spans="2:4" x14ac:dyDescent="0.25">
      <c r="B3054" s="68"/>
      <c r="C3054" s="50"/>
      <c r="D3054" s="15"/>
    </row>
    <row r="3055" spans="2:4" x14ac:dyDescent="0.25">
      <c r="B3055" s="68"/>
      <c r="C3055" s="50"/>
      <c r="D3055" s="15"/>
    </row>
    <row r="3056" spans="2:4" x14ac:dyDescent="0.25">
      <c r="B3056" s="68"/>
      <c r="C3056" s="50"/>
      <c r="D3056" s="15"/>
    </row>
    <row r="3057" spans="2:4" x14ac:dyDescent="0.25">
      <c r="B3057" s="68"/>
      <c r="C3057" s="50"/>
      <c r="D3057" s="15"/>
    </row>
    <row r="3058" spans="2:4" x14ac:dyDescent="0.25">
      <c r="B3058" s="68"/>
      <c r="C3058" s="50"/>
      <c r="D3058" s="15"/>
    </row>
    <row r="3059" spans="2:4" x14ac:dyDescent="0.25">
      <c r="B3059" s="68"/>
      <c r="C3059" s="50"/>
      <c r="D3059" s="15"/>
    </row>
    <row r="3060" spans="2:4" x14ac:dyDescent="0.25">
      <c r="B3060" s="68"/>
      <c r="C3060" s="50"/>
      <c r="D3060" s="15"/>
    </row>
    <row r="3061" spans="2:4" x14ac:dyDescent="0.25">
      <c r="B3061" s="68"/>
      <c r="C3061" s="50"/>
      <c r="D3061" s="15"/>
    </row>
    <row r="3062" spans="2:4" x14ac:dyDescent="0.25">
      <c r="B3062" s="68"/>
      <c r="C3062" s="50"/>
      <c r="D3062" s="15"/>
    </row>
    <row r="3063" spans="2:4" x14ac:dyDescent="0.25">
      <c r="B3063" s="68"/>
      <c r="C3063" s="50"/>
      <c r="D3063" s="15"/>
    </row>
    <row r="3064" spans="2:4" x14ac:dyDescent="0.25">
      <c r="B3064" s="68"/>
      <c r="C3064" s="50"/>
      <c r="D3064" s="15"/>
    </row>
    <row r="3065" spans="2:4" x14ac:dyDescent="0.25">
      <c r="B3065" s="68"/>
      <c r="C3065" s="50"/>
      <c r="D3065" s="15"/>
    </row>
    <row r="3066" spans="2:4" x14ac:dyDescent="0.25">
      <c r="B3066" s="68"/>
      <c r="C3066" s="50"/>
      <c r="D3066" s="15"/>
    </row>
    <row r="3067" spans="2:4" x14ac:dyDescent="0.25">
      <c r="B3067" s="68"/>
      <c r="C3067" s="50"/>
      <c r="D3067" s="15"/>
    </row>
    <row r="3068" spans="2:4" x14ac:dyDescent="0.25">
      <c r="B3068" s="68"/>
      <c r="C3068" s="50"/>
      <c r="D3068" s="15"/>
    </row>
    <row r="3069" spans="2:4" x14ac:dyDescent="0.25">
      <c r="B3069" s="68"/>
      <c r="C3069" s="50"/>
      <c r="D3069" s="15"/>
    </row>
    <row r="3070" spans="2:4" x14ac:dyDescent="0.25">
      <c r="B3070" s="68"/>
      <c r="C3070" s="50"/>
      <c r="D3070" s="15"/>
    </row>
    <row r="3071" spans="2:4" x14ac:dyDescent="0.25">
      <c r="B3071" s="68"/>
      <c r="C3071" s="50"/>
      <c r="D3071" s="15"/>
    </row>
    <row r="3072" spans="2:4" x14ac:dyDescent="0.25">
      <c r="B3072" s="68"/>
      <c r="C3072" s="50"/>
      <c r="D3072" s="15"/>
    </row>
    <row r="3073" spans="2:4" x14ac:dyDescent="0.25">
      <c r="B3073" s="68"/>
      <c r="C3073" s="50"/>
      <c r="D3073" s="15"/>
    </row>
    <row r="3074" spans="2:4" x14ac:dyDescent="0.25">
      <c r="B3074" s="68"/>
      <c r="C3074" s="50"/>
      <c r="D3074" s="15"/>
    </row>
    <row r="3075" spans="2:4" x14ac:dyDescent="0.25">
      <c r="B3075" s="68"/>
      <c r="C3075" s="50"/>
      <c r="D3075" s="15"/>
    </row>
    <row r="3076" spans="2:4" x14ac:dyDescent="0.25">
      <c r="B3076" s="68"/>
      <c r="C3076" s="50"/>
      <c r="D3076" s="15"/>
    </row>
    <row r="3077" spans="2:4" x14ac:dyDescent="0.25">
      <c r="B3077" s="68"/>
      <c r="C3077" s="50"/>
      <c r="D3077" s="15"/>
    </row>
    <row r="3078" spans="2:4" x14ac:dyDescent="0.25">
      <c r="B3078" s="68"/>
      <c r="C3078" s="50"/>
      <c r="D3078" s="15"/>
    </row>
    <row r="3079" spans="2:4" x14ac:dyDescent="0.25">
      <c r="B3079" s="68"/>
      <c r="C3079" s="50"/>
      <c r="D3079" s="15"/>
    </row>
    <row r="3080" spans="2:4" x14ac:dyDescent="0.25">
      <c r="B3080" s="68"/>
      <c r="C3080" s="50"/>
      <c r="D3080" s="15"/>
    </row>
    <row r="3081" spans="2:4" x14ac:dyDescent="0.25">
      <c r="B3081" s="68"/>
      <c r="C3081" s="50"/>
      <c r="D3081" s="15"/>
    </row>
    <row r="3082" spans="2:4" x14ac:dyDescent="0.25">
      <c r="B3082" s="68"/>
      <c r="C3082" s="50"/>
      <c r="D3082" s="15"/>
    </row>
    <row r="3083" spans="2:4" x14ac:dyDescent="0.25">
      <c r="B3083" s="68"/>
      <c r="C3083" s="50"/>
      <c r="D3083" s="15"/>
    </row>
    <row r="3084" spans="2:4" x14ac:dyDescent="0.25">
      <c r="B3084" s="68"/>
      <c r="C3084" s="50"/>
      <c r="D3084" s="15"/>
    </row>
    <row r="3085" spans="2:4" x14ac:dyDescent="0.25">
      <c r="B3085" s="68"/>
      <c r="C3085" s="50"/>
      <c r="D3085" s="15"/>
    </row>
    <row r="3086" spans="2:4" x14ac:dyDescent="0.25">
      <c r="B3086" s="68"/>
      <c r="C3086" s="50"/>
      <c r="D3086" s="15"/>
    </row>
    <row r="3087" spans="2:4" x14ac:dyDescent="0.25">
      <c r="B3087" s="68"/>
      <c r="C3087" s="50"/>
      <c r="D3087" s="15"/>
    </row>
    <row r="3088" spans="2:4" x14ac:dyDescent="0.25">
      <c r="B3088" s="68"/>
      <c r="C3088" s="50"/>
      <c r="D3088" s="15"/>
    </row>
    <row r="3089" spans="2:4" x14ac:dyDescent="0.25">
      <c r="B3089" s="68"/>
      <c r="C3089" s="50"/>
      <c r="D3089" s="15"/>
    </row>
    <row r="3090" spans="2:4" x14ac:dyDescent="0.25">
      <c r="B3090" s="68"/>
      <c r="C3090" s="50"/>
      <c r="D3090" s="15"/>
    </row>
    <row r="3091" spans="2:4" x14ac:dyDescent="0.25">
      <c r="B3091" s="68"/>
      <c r="C3091" s="50"/>
      <c r="D3091" s="15"/>
    </row>
    <row r="3092" spans="2:4" x14ac:dyDescent="0.25">
      <c r="B3092" s="68"/>
      <c r="C3092" s="50"/>
      <c r="D3092" s="15"/>
    </row>
    <row r="3093" spans="2:4" x14ac:dyDescent="0.25">
      <c r="B3093" s="68"/>
      <c r="C3093" s="50"/>
      <c r="D3093" s="15"/>
    </row>
    <row r="3094" spans="2:4" x14ac:dyDescent="0.25">
      <c r="B3094" s="68"/>
      <c r="C3094" s="50"/>
      <c r="D3094" s="15"/>
    </row>
    <row r="3095" spans="2:4" x14ac:dyDescent="0.25">
      <c r="B3095" s="68"/>
      <c r="C3095" s="50"/>
      <c r="D3095" s="15"/>
    </row>
    <row r="3096" spans="2:4" x14ac:dyDescent="0.25">
      <c r="B3096" s="68"/>
      <c r="C3096" s="50"/>
      <c r="D3096" s="15"/>
    </row>
    <row r="3097" spans="2:4" x14ac:dyDescent="0.25">
      <c r="B3097" s="68"/>
      <c r="C3097" s="50"/>
      <c r="D3097" s="15"/>
    </row>
    <row r="3098" spans="2:4" x14ac:dyDescent="0.25">
      <c r="B3098" s="68"/>
      <c r="C3098" s="50"/>
      <c r="D3098" s="15"/>
    </row>
    <row r="3099" spans="2:4" x14ac:dyDescent="0.25">
      <c r="B3099" s="68"/>
      <c r="C3099" s="50"/>
      <c r="D3099" s="15"/>
    </row>
    <row r="3100" spans="2:4" x14ac:dyDescent="0.25">
      <c r="B3100" s="68"/>
      <c r="C3100" s="50"/>
      <c r="D3100" s="15"/>
    </row>
    <row r="3101" spans="2:4" x14ac:dyDescent="0.25">
      <c r="B3101" s="68"/>
      <c r="C3101" s="50"/>
      <c r="D3101" s="15"/>
    </row>
    <row r="3102" spans="2:4" x14ac:dyDescent="0.25">
      <c r="B3102" s="68"/>
      <c r="C3102" s="50"/>
      <c r="D3102" s="15"/>
    </row>
    <row r="3103" spans="2:4" x14ac:dyDescent="0.25">
      <c r="B3103" s="68"/>
      <c r="C3103" s="50"/>
      <c r="D3103" s="15"/>
    </row>
    <row r="3104" spans="2:4" x14ac:dyDescent="0.25">
      <c r="B3104" s="68"/>
      <c r="C3104" s="50"/>
      <c r="D3104" s="15"/>
    </row>
    <row r="3105" spans="2:4" x14ac:dyDescent="0.25">
      <c r="B3105" s="68"/>
      <c r="C3105" s="50"/>
      <c r="D3105" s="15"/>
    </row>
    <row r="3106" spans="2:4" x14ac:dyDescent="0.25">
      <c r="B3106" s="68"/>
      <c r="C3106" s="50"/>
      <c r="D3106" s="15"/>
    </row>
    <row r="3107" spans="2:4" x14ac:dyDescent="0.25">
      <c r="B3107" s="68"/>
      <c r="C3107" s="50"/>
      <c r="D3107" s="15"/>
    </row>
    <row r="3108" spans="2:4" x14ac:dyDescent="0.25">
      <c r="B3108" s="68"/>
      <c r="C3108" s="50"/>
      <c r="D3108" s="15"/>
    </row>
    <row r="3109" spans="2:4" x14ac:dyDescent="0.25">
      <c r="B3109" s="68"/>
      <c r="C3109" s="50"/>
      <c r="D3109" s="15"/>
    </row>
    <row r="3110" spans="2:4" x14ac:dyDescent="0.25">
      <c r="B3110" s="68"/>
      <c r="C3110" s="50"/>
      <c r="D3110" s="15"/>
    </row>
    <row r="3111" spans="2:4" x14ac:dyDescent="0.25">
      <c r="B3111" s="68"/>
      <c r="C3111" s="50"/>
      <c r="D3111" s="15"/>
    </row>
    <row r="3112" spans="2:4" x14ac:dyDescent="0.25">
      <c r="B3112" s="68"/>
      <c r="C3112" s="50"/>
      <c r="D3112" s="15"/>
    </row>
    <row r="3113" spans="2:4" x14ac:dyDescent="0.25">
      <c r="B3113" s="68"/>
      <c r="C3113" s="50"/>
      <c r="D3113" s="15"/>
    </row>
    <row r="3114" spans="2:4" x14ac:dyDescent="0.25">
      <c r="B3114" s="68"/>
      <c r="C3114" s="50"/>
      <c r="D3114" s="15"/>
    </row>
    <row r="3115" spans="2:4" x14ac:dyDescent="0.25">
      <c r="B3115" s="68"/>
      <c r="C3115" s="50"/>
      <c r="D3115" s="15"/>
    </row>
    <row r="3116" spans="2:4" x14ac:dyDescent="0.25">
      <c r="B3116" s="68"/>
      <c r="C3116" s="50"/>
      <c r="D3116" s="15"/>
    </row>
    <row r="3117" spans="2:4" x14ac:dyDescent="0.25">
      <c r="B3117" s="68"/>
      <c r="C3117" s="50"/>
      <c r="D3117" s="15"/>
    </row>
    <row r="3118" spans="2:4" x14ac:dyDescent="0.25">
      <c r="B3118" s="68"/>
      <c r="C3118" s="50"/>
      <c r="D3118" s="15"/>
    </row>
    <row r="3119" spans="2:4" x14ac:dyDescent="0.25">
      <c r="B3119" s="68"/>
      <c r="C3119" s="50"/>
      <c r="D3119" s="15"/>
    </row>
    <row r="3120" spans="2:4" x14ac:dyDescent="0.25">
      <c r="B3120" s="68"/>
      <c r="C3120" s="50"/>
      <c r="D3120" s="15"/>
    </row>
    <row r="3121" spans="2:4" x14ac:dyDescent="0.25">
      <c r="B3121" s="68"/>
      <c r="C3121" s="50"/>
      <c r="D3121" s="15"/>
    </row>
    <row r="3122" spans="2:4" x14ac:dyDescent="0.25">
      <c r="B3122" s="68"/>
      <c r="C3122" s="50"/>
      <c r="D3122" s="15"/>
    </row>
    <row r="3123" spans="2:4" x14ac:dyDescent="0.25">
      <c r="B3123" s="68"/>
      <c r="C3123" s="50"/>
      <c r="D3123" s="15"/>
    </row>
    <row r="3124" spans="2:4" x14ac:dyDescent="0.25">
      <c r="B3124" s="68"/>
      <c r="C3124" s="50"/>
      <c r="D3124" s="15"/>
    </row>
    <row r="3125" spans="2:4" x14ac:dyDescent="0.25">
      <c r="B3125" s="68"/>
      <c r="C3125" s="50"/>
      <c r="D3125" s="15"/>
    </row>
    <row r="3126" spans="2:4" x14ac:dyDescent="0.25">
      <c r="B3126" s="68"/>
      <c r="C3126" s="50"/>
      <c r="D3126" s="15"/>
    </row>
    <row r="3127" spans="2:4" x14ac:dyDescent="0.25">
      <c r="B3127" s="68"/>
      <c r="C3127" s="50"/>
      <c r="D3127" s="15"/>
    </row>
    <row r="3128" spans="2:4" x14ac:dyDescent="0.25">
      <c r="B3128" s="68"/>
      <c r="C3128" s="50"/>
      <c r="D3128" s="15"/>
    </row>
    <row r="3129" spans="2:4" x14ac:dyDescent="0.25">
      <c r="B3129" s="68"/>
      <c r="C3129" s="50"/>
      <c r="D3129" s="15"/>
    </row>
    <row r="3130" spans="2:4" x14ac:dyDescent="0.25">
      <c r="B3130" s="68"/>
      <c r="C3130" s="50"/>
      <c r="D3130" s="15"/>
    </row>
    <row r="3131" spans="2:4" x14ac:dyDescent="0.25">
      <c r="B3131" s="68"/>
      <c r="C3131" s="50"/>
      <c r="D3131" s="15"/>
    </row>
    <row r="3132" spans="2:4" x14ac:dyDescent="0.25">
      <c r="B3132" s="68"/>
      <c r="C3132" s="50"/>
      <c r="D3132" s="15"/>
    </row>
    <row r="3133" spans="2:4" x14ac:dyDescent="0.25">
      <c r="B3133" s="68"/>
      <c r="C3133" s="50"/>
      <c r="D3133" s="15"/>
    </row>
    <row r="3134" spans="2:4" x14ac:dyDescent="0.25">
      <c r="B3134" s="68"/>
      <c r="C3134" s="50"/>
      <c r="D3134" s="15"/>
    </row>
    <row r="3135" spans="2:4" x14ac:dyDescent="0.25">
      <c r="B3135" s="68"/>
      <c r="C3135" s="50"/>
      <c r="D3135" s="15"/>
    </row>
    <row r="3136" spans="2:4" x14ac:dyDescent="0.25">
      <c r="B3136" s="68"/>
      <c r="C3136" s="50"/>
      <c r="D3136" s="15"/>
    </row>
    <row r="3137" spans="2:4" x14ac:dyDescent="0.25">
      <c r="B3137" s="68"/>
      <c r="C3137" s="50"/>
      <c r="D3137" s="15"/>
    </row>
    <row r="3138" spans="2:4" x14ac:dyDescent="0.25">
      <c r="B3138" s="68"/>
      <c r="C3138" s="50"/>
      <c r="D3138" s="15"/>
    </row>
    <row r="3139" spans="2:4" x14ac:dyDescent="0.25">
      <c r="B3139" s="68"/>
      <c r="C3139" s="50"/>
      <c r="D3139" s="15"/>
    </row>
    <row r="3140" spans="2:4" x14ac:dyDescent="0.25">
      <c r="B3140" s="68"/>
      <c r="C3140" s="50"/>
      <c r="D3140" s="15"/>
    </row>
    <row r="3141" spans="2:4" x14ac:dyDescent="0.25">
      <c r="B3141" s="68"/>
      <c r="C3141" s="50"/>
      <c r="D3141" s="15"/>
    </row>
    <row r="3142" spans="2:4" x14ac:dyDescent="0.25">
      <c r="B3142" s="68"/>
      <c r="C3142" s="50"/>
      <c r="D3142" s="15"/>
    </row>
    <row r="3143" spans="2:4" x14ac:dyDescent="0.25">
      <c r="B3143" s="68"/>
      <c r="C3143" s="50"/>
      <c r="D3143" s="15"/>
    </row>
    <row r="3144" spans="2:4" x14ac:dyDescent="0.25">
      <c r="B3144" s="68"/>
      <c r="C3144" s="50"/>
      <c r="D3144" s="15"/>
    </row>
    <row r="3145" spans="2:4" x14ac:dyDescent="0.25">
      <c r="B3145" s="68"/>
      <c r="C3145" s="50"/>
      <c r="D3145" s="15"/>
    </row>
    <row r="3146" spans="2:4" x14ac:dyDescent="0.25">
      <c r="B3146" s="68"/>
      <c r="C3146" s="50"/>
      <c r="D3146" s="15"/>
    </row>
    <row r="3147" spans="2:4" x14ac:dyDescent="0.25">
      <c r="B3147" s="68"/>
      <c r="C3147" s="50"/>
      <c r="D3147" s="15"/>
    </row>
    <row r="3148" spans="2:4" x14ac:dyDescent="0.25">
      <c r="B3148" s="68"/>
      <c r="C3148" s="50"/>
      <c r="D3148" s="15"/>
    </row>
    <row r="3149" spans="2:4" x14ac:dyDescent="0.25">
      <c r="B3149" s="68"/>
      <c r="C3149" s="50"/>
      <c r="D3149" s="15"/>
    </row>
    <row r="3150" spans="2:4" x14ac:dyDescent="0.25">
      <c r="B3150" s="68"/>
      <c r="C3150" s="50"/>
      <c r="D3150" s="15"/>
    </row>
    <row r="3151" spans="2:4" x14ac:dyDescent="0.25">
      <c r="B3151" s="68"/>
      <c r="C3151" s="50"/>
      <c r="D3151" s="15"/>
    </row>
    <row r="3152" spans="2:4" x14ac:dyDescent="0.25">
      <c r="B3152" s="68"/>
      <c r="C3152" s="50"/>
      <c r="D3152" s="15"/>
    </row>
    <row r="3153" spans="2:4" x14ac:dyDescent="0.25">
      <c r="B3153" s="68"/>
      <c r="C3153" s="50"/>
      <c r="D3153" s="15"/>
    </row>
    <row r="3154" spans="2:4" x14ac:dyDescent="0.25">
      <c r="B3154" s="68"/>
      <c r="C3154" s="50"/>
      <c r="D3154" s="15"/>
    </row>
    <row r="3155" spans="2:4" x14ac:dyDescent="0.25">
      <c r="B3155" s="68"/>
      <c r="C3155" s="50"/>
      <c r="D3155" s="15"/>
    </row>
    <row r="3156" spans="2:4" x14ac:dyDescent="0.25">
      <c r="B3156" s="68"/>
      <c r="C3156" s="50"/>
      <c r="D3156" s="15"/>
    </row>
    <row r="3157" spans="2:4" x14ac:dyDescent="0.25">
      <c r="B3157" s="68"/>
      <c r="C3157" s="50"/>
      <c r="D3157" s="15"/>
    </row>
    <row r="3158" spans="2:4" x14ac:dyDescent="0.25">
      <c r="B3158" s="68"/>
      <c r="C3158" s="50"/>
      <c r="D3158" s="15"/>
    </row>
    <row r="3159" spans="2:4" x14ac:dyDescent="0.25">
      <c r="B3159" s="68"/>
      <c r="C3159" s="50"/>
      <c r="D3159" s="15"/>
    </row>
    <row r="3160" spans="2:4" x14ac:dyDescent="0.25">
      <c r="B3160" s="68"/>
      <c r="C3160" s="50"/>
      <c r="D3160" s="15"/>
    </row>
    <row r="3161" spans="2:4" x14ac:dyDescent="0.25">
      <c r="B3161" s="68"/>
      <c r="C3161" s="50"/>
      <c r="D3161" s="15"/>
    </row>
    <row r="3162" spans="2:4" x14ac:dyDescent="0.25">
      <c r="B3162" s="68"/>
      <c r="C3162" s="50"/>
      <c r="D3162" s="15"/>
    </row>
    <row r="3163" spans="2:4" x14ac:dyDescent="0.25">
      <c r="B3163" s="68"/>
      <c r="C3163" s="50"/>
      <c r="D3163" s="15"/>
    </row>
    <row r="3164" spans="2:4" x14ac:dyDescent="0.25">
      <c r="B3164" s="68"/>
      <c r="C3164" s="50"/>
      <c r="D3164" s="15"/>
    </row>
    <row r="3165" spans="2:4" x14ac:dyDescent="0.25">
      <c r="B3165" s="68"/>
      <c r="C3165" s="50"/>
      <c r="D3165" s="15"/>
    </row>
    <row r="3166" spans="2:4" x14ac:dyDescent="0.25">
      <c r="B3166" s="68"/>
      <c r="C3166" s="50"/>
      <c r="D3166" s="15"/>
    </row>
    <row r="3167" spans="2:4" x14ac:dyDescent="0.25">
      <c r="B3167" s="68"/>
      <c r="C3167" s="50"/>
      <c r="D3167" s="15"/>
    </row>
    <row r="3168" spans="2:4" x14ac:dyDescent="0.25">
      <c r="B3168" s="68"/>
      <c r="C3168" s="50"/>
      <c r="D3168" s="15"/>
    </row>
    <row r="3169" spans="2:4" x14ac:dyDescent="0.25">
      <c r="B3169" s="68"/>
      <c r="C3169" s="50"/>
      <c r="D3169" s="15"/>
    </row>
    <row r="3170" spans="2:4" x14ac:dyDescent="0.25">
      <c r="B3170" s="68"/>
      <c r="C3170" s="50"/>
      <c r="D3170" s="15"/>
    </row>
    <row r="3171" spans="2:4" x14ac:dyDescent="0.25">
      <c r="B3171" s="68"/>
      <c r="C3171" s="50"/>
      <c r="D3171" s="15"/>
    </row>
    <row r="3172" spans="2:4" x14ac:dyDescent="0.25">
      <c r="B3172" s="68"/>
      <c r="C3172" s="50"/>
      <c r="D3172" s="15"/>
    </row>
    <row r="3173" spans="2:4" x14ac:dyDescent="0.25">
      <c r="B3173" s="68"/>
      <c r="C3173" s="50"/>
      <c r="D3173" s="15"/>
    </row>
    <row r="3174" spans="2:4" x14ac:dyDescent="0.25">
      <c r="B3174" s="68"/>
      <c r="C3174" s="50"/>
      <c r="D3174" s="15"/>
    </row>
    <row r="3175" spans="2:4" x14ac:dyDescent="0.25">
      <c r="B3175" s="68"/>
      <c r="C3175" s="50"/>
      <c r="D3175" s="15"/>
    </row>
    <row r="3176" spans="2:4" x14ac:dyDescent="0.25">
      <c r="B3176" s="68"/>
      <c r="C3176" s="50"/>
      <c r="D3176" s="15"/>
    </row>
    <row r="3177" spans="2:4" x14ac:dyDescent="0.25">
      <c r="B3177" s="68"/>
      <c r="C3177" s="50"/>
      <c r="D3177" s="15"/>
    </row>
    <row r="3178" spans="2:4" x14ac:dyDescent="0.25">
      <c r="B3178" s="68"/>
      <c r="C3178" s="50"/>
      <c r="D3178" s="15"/>
    </row>
    <row r="3179" spans="2:4" x14ac:dyDescent="0.25">
      <c r="B3179" s="68"/>
      <c r="C3179" s="50"/>
      <c r="D3179" s="15"/>
    </row>
    <row r="3180" spans="2:4" x14ac:dyDescent="0.25">
      <c r="B3180" s="68"/>
      <c r="C3180" s="50"/>
      <c r="D3180" s="15"/>
    </row>
    <row r="3181" spans="2:4" x14ac:dyDescent="0.25">
      <c r="B3181" s="68"/>
      <c r="C3181" s="50"/>
      <c r="D3181" s="15"/>
    </row>
    <row r="3182" spans="2:4" x14ac:dyDescent="0.25">
      <c r="B3182" s="68"/>
      <c r="C3182" s="50"/>
      <c r="D3182" s="15"/>
    </row>
    <row r="3183" spans="2:4" x14ac:dyDescent="0.25">
      <c r="B3183" s="68"/>
      <c r="C3183" s="50"/>
      <c r="D3183" s="15"/>
    </row>
    <row r="3184" spans="2:4" x14ac:dyDescent="0.25">
      <c r="B3184" s="68"/>
      <c r="C3184" s="50"/>
      <c r="D3184" s="15"/>
    </row>
    <row r="3185" spans="2:4" x14ac:dyDescent="0.25">
      <c r="B3185" s="68"/>
      <c r="C3185" s="50"/>
      <c r="D3185" s="15"/>
    </row>
    <row r="3186" spans="2:4" x14ac:dyDescent="0.25">
      <c r="B3186" s="68"/>
      <c r="C3186" s="50"/>
      <c r="D3186" s="15"/>
    </row>
    <row r="3187" spans="2:4" x14ac:dyDescent="0.25">
      <c r="B3187" s="68"/>
      <c r="C3187" s="50"/>
      <c r="D3187" s="15"/>
    </row>
    <row r="3188" spans="2:4" x14ac:dyDescent="0.25">
      <c r="B3188" s="68"/>
      <c r="C3188" s="50"/>
      <c r="D3188" s="15"/>
    </row>
    <row r="3189" spans="2:4" x14ac:dyDescent="0.25">
      <c r="B3189" s="68"/>
      <c r="C3189" s="50"/>
      <c r="D3189" s="15"/>
    </row>
    <row r="3190" spans="2:4" x14ac:dyDescent="0.25">
      <c r="B3190" s="68"/>
      <c r="C3190" s="50"/>
      <c r="D3190" s="15"/>
    </row>
    <row r="3191" spans="2:4" x14ac:dyDescent="0.25">
      <c r="B3191" s="68"/>
      <c r="C3191" s="50"/>
      <c r="D3191" s="15"/>
    </row>
    <row r="3192" spans="2:4" x14ac:dyDescent="0.25">
      <c r="B3192" s="68"/>
      <c r="C3192" s="50"/>
      <c r="D3192" s="15"/>
    </row>
    <row r="3193" spans="2:4" x14ac:dyDescent="0.25">
      <c r="B3193" s="68"/>
      <c r="C3193" s="50"/>
      <c r="D3193" s="15"/>
    </row>
    <row r="3194" spans="2:4" x14ac:dyDescent="0.25">
      <c r="B3194" s="68"/>
      <c r="C3194" s="50"/>
      <c r="D3194" s="15"/>
    </row>
    <row r="3195" spans="2:4" x14ac:dyDescent="0.25">
      <c r="B3195" s="68"/>
      <c r="C3195" s="50"/>
      <c r="D3195" s="15"/>
    </row>
    <row r="3196" spans="2:4" x14ac:dyDescent="0.25">
      <c r="B3196" s="68"/>
      <c r="C3196" s="50"/>
      <c r="D3196" s="15"/>
    </row>
    <row r="3197" spans="2:4" x14ac:dyDescent="0.25">
      <c r="B3197" s="68"/>
      <c r="C3197" s="50"/>
      <c r="D3197" s="15"/>
    </row>
    <row r="3198" spans="2:4" x14ac:dyDescent="0.25">
      <c r="B3198" s="68"/>
      <c r="C3198" s="50"/>
      <c r="D3198" s="15"/>
    </row>
    <row r="3199" spans="2:4" x14ac:dyDescent="0.25">
      <c r="B3199" s="68"/>
      <c r="C3199" s="50"/>
      <c r="D3199" s="15"/>
    </row>
    <row r="3200" spans="2:4" x14ac:dyDescent="0.25">
      <c r="B3200" s="68"/>
      <c r="C3200" s="50"/>
      <c r="D3200" s="15"/>
    </row>
    <row r="3201" spans="2:4" x14ac:dyDescent="0.25">
      <c r="B3201" s="68"/>
      <c r="C3201" s="50"/>
      <c r="D3201" s="15"/>
    </row>
    <row r="3202" spans="2:4" x14ac:dyDescent="0.25">
      <c r="B3202" s="68"/>
      <c r="C3202" s="50"/>
      <c r="D3202" s="15"/>
    </row>
    <row r="3203" spans="2:4" x14ac:dyDescent="0.25">
      <c r="B3203" s="68"/>
      <c r="C3203" s="50"/>
      <c r="D3203" s="15"/>
    </row>
    <row r="3204" spans="2:4" x14ac:dyDescent="0.25">
      <c r="B3204" s="68"/>
      <c r="C3204" s="50"/>
      <c r="D3204" s="15"/>
    </row>
    <row r="3205" spans="2:4" x14ac:dyDescent="0.25">
      <c r="B3205" s="68"/>
      <c r="C3205" s="50"/>
      <c r="D3205" s="15"/>
    </row>
    <row r="3206" spans="2:4" x14ac:dyDescent="0.25">
      <c r="B3206" s="68"/>
      <c r="C3206" s="50"/>
      <c r="D3206" s="15"/>
    </row>
    <row r="3207" spans="2:4" x14ac:dyDescent="0.25">
      <c r="B3207" s="68"/>
      <c r="C3207" s="50"/>
      <c r="D3207" s="15"/>
    </row>
    <row r="3208" spans="2:4" x14ac:dyDescent="0.25">
      <c r="B3208" s="68"/>
      <c r="C3208" s="50"/>
      <c r="D3208" s="15"/>
    </row>
    <row r="3209" spans="2:4" x14ac:dyDescent="0.25">
      <c r="B3209" s="68"/>
      <c r="C3209" s="50"/>
      <c r="D3209" s="15"/>
    </row>
    <row r="3210" spans="2:4" x14ac:dyDescent="0.25">
      <c r="B3210" s="68"/>
      <c r="C3210" s="50"/>
      <c r="D3210" s="15"/>
    </row>
    <row r="3211" spans="2:4" x14ac:dyDescent="0.25">
      <c r="B3211" s="68"/>
      <c r="C3211" s="50"/>
      <c r="D3211" s="15"/>
    </row>
    <row r="3212" spans="2:4" x14ac:dyDescent="0.25">
      <c r="B3212" s="68"/>
      <c r="C3212" s="50"/>
      <c r="D3212" s="15"/>
    </row>
    <row r="3213" spans="2:4" x14ac:dyDescent="0.25">
      <c r="B3213" s="68"/>
      <c r="C3213" s="50"/>
      <c r="D3213" s="15"/>
    </row>
    <row r="3214" spans="2:4" x14ac:dyDescent="0.25">
      <c r="B3214" s="68"/>
      <c r="C3214" s="50"/>
      <c r="D3214" s="15"/>
    </row>
    <row r="3215" spans="2:4" x14ac:dyDescent="0.25">
      <c r="B3215" s="68"/>
      <c r="C3215" s="50"/>
      <c r="D3215" s="15"/>
    </row>
    <row r="3216" spans="2:4" x14ac:dyDescent="0.25">
      <c r="B3216" s="68"/>
      <c r="C3216" s="50"/>
      <c r="D3216" s="15"/>
    </row>
    <row r="3217" spans="2:4" x14ac:dyDescent="0.25">
      <c r="B3217" s="68"/>
      <c r="C3217" s="50"/>
      <c r="D3217" s="15"/>
    </row>
    <row r="3218" spans="2:4" x14ac:dyDescent="0.25">
      <c r="B3218" s="68"/>
      <c r="C3218" s="50"/>
      <c r="D3218" s="15"/>
    </row>
    <row r="3219" spans="2:4" x14ac:dyDescent="0.25">
      <c r="B3219" s="68"/>
      <c r="C3219" s="50"/>
      <c r="D3219" s="15"/>
    </row>
    <row r="3220" spans="2:4" x14ac:dyDescent="0.25">
      <c r="B3220" s="68"/>
      <c r="C3220" s="50"/>
      <c r="D3220" s="15"/>
    </row>
    <row r="3221" spans="2:4" x14ac:dyDescent="0.25">
      <c r="B3221" s="68"/>
      <c r="C3221" s="50"/>
      <c r="D3221" s="15"/>
    </row>
    <row r="3222" spans="2:4" x14ac:dyDescent="0.25">
      <c r="B3222" s="68"/>
      <c r="C3222" s="50"/>
      <c r="D3222" s="15"/>
    </row>
    <row r="3223" spans="2:4" x14ac:dyDescent="0.25">
      <c r="B3223" s="68"/>
      <c r="C3223" s="50"/>
      <c r="D3223" s="15"/>
    </row>
    <row r="3224" spans="2:4" x14ac:dyDescent="0.25">
      <c r="B3224" s="68"/>
      <c r="C3224" s="50"/>
      <c r="D3224" s="15"/>
    </row>
    <row r="3225" spans="2:4" x14ac:dyDescent="0.25">
      <c r="B3225" s="68"/>
      <c r="C3225" s="50"/>
      <c r="D3225" s="15"/>
    </row>
    <row r="3226" spans="2:4" x14ac:dyDescent="0.25">
      <c r="B3226" s="68"/>
      <c r="C3226" s="50"/>
      <c r="D3226" s="15"/>
    </row>
    <row r="3227" spans="2:4" x14ac:dyDescent="0.25">
      <c r="B3227" s="68"/>
      <c r="C3227" s="50"/>
      <c r="D3227" s="15"/>
    </row>
    <row r="3228" spans="2:4" x14ac:dyDescent="0.25">
      <c r="B3228" s="68"/>
      <c r="C3228" s="50"/>
      <c r="D3228" s="15"/>
    </row>
    <row r="3229" spans="2:4" x14ac:dyDescent="0.25">
      <c r="B3229" s="68"/>
      <c r="C3229" s="50"/>
      <c r="D3229" s="15"/>
    </row>
    <row r="3230" spans="2:4" x14ac:dyDescent="0.25">
      <c r="B3230" s="68"/>
      <c r="C3230" s="50"/>
      <c r="D3230" s="15"/>
    </row>
    <row r="3231" spans="2:4" x14ac:dyDescent="0.25">
      <c r="B3231" s="68"/>
      <c r="C3231" s="50"/>
      <c r="D3231" s="15"/>
    </row>
    <row r="3232" spans="2:4" x14ac:dyDescent="0.25">
      <c r="B3232" s="68"/>
      <c r="C3232" s="50"/>
      <c r="D3232" s="15"/>
    </row>
    <row r="3233" spans="2:4" x14ac:dyDescent="0.25">
      <c r="B3233" s="68"/>
      <c r="C3233" s="50"/>
      <c r="D3233" s="15"/>
    </row>
    <row r="3234" spans="2:4" x14ac:dyDescent="0.25">
      <c r="B3234" s="68"/>
      <c r="C3234" s="50"/>
      <c r="D3234" s="15"/>
    </row>
    <row r="3235" spans="2:4" x14ac:dyDescent="0.25">
      <c r="B3235" s="68"/>
      <c r="C3235" s="50"/>
      <c r="D3235" s="15"/>
    </row>
    <row r="3236" spans="2:4" x14ac:dyDescent="0.25">
      <c r="B3236" s="68"/>
      <c r="C3236" s="50"/>
      <c r="D3236" s="15"/>
    </row>
    <row r="3237" spans="2:4" x14ac:dyDescent="0.25">
      <c r="B3237" s="68"/>
      <c r="C3237" s="50"/>
      <c r="D3237" s="15"/>
    </row>
    <row r="3238" spans="2:4" x14ac:dyDescent="0.25">
      <c r="B3238" s="68"/>
      <c r="C3238" s="50"/>
      <c r="D3238" s="15"/>
    </row>
    <row r="3239" spans="2:4" x14ac:dyDescent="0.25">
      <c r="B3239" s="68"/>
      <c r="C3239" s="50"/>
      <c r="D3239" s="15"/>
    </row>
    <row r="3240" spans="2:4" x14ac:dyDescent="0.25">
      <c r="B3240" s="68"/>
      <c r="C3240" s="50"/>
      <c r="D3240" s="15"/>
    </row>
    <row r="3241" spans="2:4" x14ac:dyDescent="0.25">
      <c r="B3241" s="68"/>
      <c r="C3241" s="50"/>
      <c r="D3241" s="15"/>
    </row>
    <row r="3242" spans="2:4" x14ac:dyDescent="0.25">
      <c r="B3242" s="68"/>
      <c r="C3242" s="50"/>
      <c r="D3242" s="15"/>
    </row>
    <row r="3243" spans="2:4" x14ac:dyDescent="0.25">
      <c r="B3243" s="68"/>
      <c r="C3243" s="50"/>
      <c r="D3243" s="15"/>
    </row>
    <row r="3244" spans="2:4" x14ac:dyDescent="0.25">
      <c r="B3244" s="68"/>
      <c r="C3244" s="50"/>
      <c r="D3244" s="15"/>
    </row>
    <row r="3245" spans="2:4" x14ac:dyDescent="0.25">
      <c r="B3245" s="68"/>
      <c r="C3245" s="50"/>
      <c r="D3245" s="15"/>
    </row>
    <row r="3246" spans="2:4" x14ac:dyDescent="0.25">
      <c r="B3246" s="68"/>
      <c r="C3246" s="50"/>
      <c r="D3246" s="15"/>
    </row>
    <row r="3247" spans="2:4" x14ac:dyDescent="0.25">
      <c r="B3247" s="68"/>
      <c r="C3247" s="50"/>
      <c r="D3247" s="15"/>
    </row>
    <row r="3248" spans="2:4" x14ac:dyDescent="0.25">
      <c r="B3248" s="68"/>
      <c r="C3248" s="50"/>
      <c r="D3248" s="15"/>
    </row>
    <row r="3249" spans="2:4" x14ac:dyDescent="0.25">
      <c r="B3249" s="68"/>
      <c r="C3249" s="50"/>
      <c r="D3249" s="15"/>
    </row>
    <row r="3250" spans="2:4" x14ac:dyDescent="0.25">
      <c r="B3250" s="68"/>
      <c r="C3250" s="50"/>
      <c r="D3250" s="15"/>
    </row>
    <row r="3251" spans="2:4" x14ac:dyDescent="0.25">
      <c r="B3251" s="68"/>
      <c r="C3251" s="50"/>
      <c r="D3251" s="15"/>
    </row>
    <row r="3252" spans="2:4" x14ac:dyDescent="0.25">
      <c r="B3252" s="68"/>
      <c r="C3252" s="50"/>
      <c r="D3252" s="15"/>
    </row>
    <row r="3253" spans="2:4" x14ac:dyDescent="0.25">
      <c r="B3253" s="68"/>
      <c r="C3253" s="50"/>
      <c r="D3253" s="15"/>
    </row>
    <row r="3254" spans="2:4" x14ac:dyDescent="0.25">
      <c r="B3254" s="68"/>
      <c r="C3254" s="50"/>
      <c r="D3254" s="15"/>
    </row>
    <row r="3255" spans="2:4" x14ac:dyDescent="0.25">
      <c r="B3255" s="68"/>
      <c r="C3255" s="50"/>
      <c r="D3255" s="15"/>
    </row>
    <row r="3256" spans="2:4" x14ac:dyDescent="0.25">
      <c r="B3256" s="68"/>
      <c r="C3256" s="50"/>
      <c r="D3256" s="15"/>
    </row>
    <row r="3257" spans="2:4" x14ac:dyDescent="0.25">
      <c r="B3257" s="68"/>
      <c r="C3257" s="50"/>
      <c r="D3257" s="15"/>
    </row>
    <row r="3258" spans="2:4" x14ac:dyDescent="0.25">
      <c r="B3258" s="68"/>
      <c r="C3258" s="50"/>
      <c r="D3258" s="15"/>
    </row>
    <row r="3259" spans="2:4" x14ac:dyDescent="0.25">
      <c r="B3259" s="68"/>
      <c r="C3259" s="50"/>
      <c r="D3259" s="15"/>
    </row>
    <row r="3260" spans="2:4" x14ac:dyDescent="0.25">
      <c r="B3260" s="68"/>
      <c r="C3260" s="50"/>
      <c r="D3260" s="15"/>
    </row>
    <row r="3261" spans="2:4" x14ac:dyDescent="0.25">
      <c r="B3261" s="68"/>
      <c r="C3261" s="50"/>
      <c r="D3261" s="15"/>
    </row>
    <row r="3262" spans="2:4" x14ac:dyDescent="0.25">
      <c r="B3262" s="68"/>
      <c r="C3262" s="50"/>
      <c r="D3262" s="15"/>
    </row>
    <row r="3263" spans="2:4" x14ac:dyDescent="0.25">
      <c r="B3263" s="68"/>
      <c r="C3263" s="50"/>
      <c r="D3263" s="15"/>
    </row>
    <row r="3264" spans="2:4" x14ac:dyDescent="0.25">
      <c r="B3264" s="68"/>
      <c r="C3264" s="50"/>
      <c r="D3264" s="15"/>
    </row>
    <row r="3265" spans="2:4" x14ac:dyDescent="0.25">
      <c r="B3265" s="68"/>
      <c r="C3265" s="50"/>
      <c r="D3265" s="15"/>
    </row>
    <row r="3266" spans="2:4" x14ac:dyDescent="0.25">
      <c r="B3266" s="68"/>
      <c r="C3266" s="50"/>
      <c r="D3266" s="15"/>
    </row>
    <row r="3267" spans="2:4" x14ac:dyDescent="0.25">
      <c r="B3267" s="68"/>
      <c r="C3267" s="50"/>
      <c r="D3267" s="15"/>
    </row>
    <row r="3268" spans="2:4" x14ac:dyDescent="0.25">
      <c r="B3268" s="68"/>
      <c r="C3268" s="50"/>
      <c r="D3268" s="15"/>
    </row>
    <row r="3269" spans="2:4" x14ac:dyDescent="0.25">
      <c r="B3269" s="68"/>
      <c r="C3269" s="50"/>
      <c r="D3269" s="15"/>
    </row>
    <row r="3270" spans="2:4" x14ac:dyDescent="0.25">
      <c r="B3270" s="68"/>
      <c r="C3270" s="50"/>
      <c r="D3270" s="15"/>
    </row>
    <row r="3271" spans="2:4" x14ac:dyDescent="0.25">
      <c r="B3271" s="68"/>
      <c r="C3271" s="50"/>
      <c r="D3271" s="15"/>
    </row>
    <row r="3272" spans="2:4" x14ac:dyDescent="0.25">
      <c r="B3272" s="68"/>
      <c r="C3272" s="50"/>
      <c r="D3272" s="15"/>
    </row>
    <row r="3273" spans="2:4" x14ac:dyDescent="0.25">
      <c r="B3273" s="68"/>
      <c r="C3273" s="50"/>
      <c r="D3273" s="15"/>
    </row>
    <row r="3274" spans="2:4" x14ac:dyDescent="0.25">
      <c r="B3274" s="68"/>
      <c r="C3274" s="50"/>
      <c r="D3274" s="15"/>
    </row>
    <row r="3275" spans="2:4" x14ac:dyDescent="0.25">
      <c r="B3275" s="68"/>
      <c r="C3275" s="50"/>
      <c r="D3275" s="15"/>
    </row>
    <row r="3276" spans="2:4" x14ac:dyDescent="0.25">
      <c r="B3276" s="68"/>
      <c r="C3276" s="50"/>
      <c r="D3276" s="15"/>
    </row>
    <row r="3277" spans="2:4" x14ac:dyDescent="0.25">
      <c r="B3277" s="68"/>
      <c r="C3277" s="50"/>
      <c r="D3277" s="15"/>
    </row>
    <row r="3278" spans="2:4" x14ac:dyDescent="0.25">
      <c r="B3278" s="68"/>
      <c r="C3278" s="50"/>
      <c r="D3278" s="15"/>
    </row>
    <row r="3279" spans="2:4" x14ac:dyDescent="0.25">
      <c r="B3279" s="68"/>
      <c r="C3279" s="50"/>
      <c r="D3279" s="15"/>
    </row>
    <row r="3280" spans="2:4" x14ac:dyDescent="0.25">
      <c r="B3280" s="68"/>
      <c r="C3280" s="50"/>
      <c r="D3280" s="15"/>
    </row>
    <row r="3281" spans="2:4" x14ac:dyDescent="0.25">
      <c r="B3281" s="68"/>
      <c r="C3281" s="50"/>
      <c r="D3281" s="15"/>
    </row>
    <row r="3282" spans="2:4" x14ac:dyDescent="0.25">
      <c r="B3282" s="68"/>
      <c r="C3282" s="50"/>
      <c r="D3282" s="15"/>
    </row>
    <row r="3283" spans="2:4" x14ac:dyDescent="0.25">
      <c r="B3283" s="68"/>
      <c r="C3283" s="50"/>
      <c r="D3283" s="15"/>
    </row>
    <row r="3284" spans="2:4" x14ac:dyDescent="0.25">
      <c r="B3284" s="68"/>
      <c r="C3284" s="50"/>
      <c r="D3284" s="15"/>
    </row>
    <row r="3285" spans="2:4" x14ac:dyDescent="0.25">
      <c r="B3285" s="68"/>
      <c r="C3285" s="50"/>
      <c r="D3285" s="15"/>
    </row>
    <row r="3286" spans="2:4" x14ac:dyDescent="0.25">
      <c r="B3286" s="68"/>
      <c r="C3286" s="50"/>
      <c r="D3286" s="15"/>
    </row>
    <row r="3287" spans="2:4" x14ac:dyDescent="0.25">
      <c r="B3287" s="68"/>
      <c r="C3287" s="50"/>
      <c r="D3287" s="15"/>
    </row>
    <row r="3288" spans="2:4" x14ac:dyDescent="0.25">
      <c r="B3288" s="68"/>
      <c r="C3288" s="50"/>
      <c r="D3288" s="15"/>
    </row>
    <row r="3289" spans="2:4" x14ac:dyDescent="0.25">
      <c r="B3289" s="68"/>
      <c r="C3289" s="50"/>
      <c r="D3289" s="15"/>
    </row>
    <row r="3290" spans="2:4" x14ac:dyDescent="0.25">
      <c r="B3290" s="68"/>
      <c r="C3290" s="50"/>
      <c r="D3290" s="15"/>
    </row>
    <row r="3291" spans="2:4" x14ac:dyDescent="0.25">
      <c r="B3291" s="68"/>
      <c r="C3291" s="50"/>
      <c r="D3291" s="15"/>
    </row>
    <row r="3292" spans="2:4" x14ac:dyDescent="0.25">
      <c r="B3292" s="68"/>
      <c r="C3292" s="50"/>
      <c r="D3292" s="15"/>
    </row>
    <row r="3293" spans="2:4" x14ac:dyDescent="0.25">
      <c r="B3293" s="68"/>
      <c r="C3293" s="50"/>
      <c r="D3293" s="15"/>
    </row>
    <row r="3294" spans="2:4" x14ac:dyDescent="0.25">
      <c r="B3294" s="68"/>
      <c r="C3294" s="50"/>
      <c r="D3294" s="15"/>
    </row>
    <row r="3295" spans="2:4" x14ac:dyDescent="0.25">
      <c r="B3295" s="68"/>
      <c r="C3295" s="50"/>
      <c r="D3295" s="15"/>
    </row>
    <row r="3296" spans="2:4" x14ac:dyDescent="0.25">
      <c r="B3296" s="68"/>
      <c r="C3296" s="50"/>
      <c r="D3296" s="15"/>
    </row>
    <row r="3297" spans="2:4" x14ac:dyDescent="0.25">
      <c r="B3297" s="68"/>
      <c r="C3297" s="50"/>
      <c r="D3297" s="15"/>
    </row>
    <row r="3298" spans="2:4" x14ac:dyDescent="0.25">
      <c r="B3298" s="68"/>
      <c r="C3298" s="50"/>
      <c r="D3298" s="15"/>
    </row>
    <row r="3299" spans="2:4" x14ac:dyDescent="0.25">
      <c r="B3299" s="68"/>
      <c r="C3299" s="50"/>
      <c r="D3299" s="15"/>
    </row>
    <row r="3300" spans="2:4" x14ac:dyDescent="0.25">
      <c r="B3300" s="68"/>
      <c r="C3300" s="50"/>
      <c r="D3300" s="15"/>
    </row>
    <row r="3301" spans="2:4" x14ac:dyDescent="0.25">
      <c r="B3301" s="68"/>
      <c r="C3301" s="50"/>
      <c r="D3301" s="15"/>
    </row>
    <row r="3302" spans="2:4" x14ac:dyDescent="0.25">
      <c r="B3302" s="68"/>
      <c r="C3302" s="50"/>
      <c r="D3302" s="15"/>
    </row>
    <row r="3303" spans="2:4" x14ac:dyDescent="0.25">
      <c r="B3303" s="68"/>
      <c r="C3303" s="50"/>
      <c r="D3303" s="15"/>
    </row>
    <row r="3304" spans="2:4" x14ac:dyDescent="0.25">
      <c r="B3304" s="68"/>
      <c r="C3304" s="50"/>
      <c r="D3304" s="15"/>
    </row>
    <row r="3305" spans="2:4" x14ac:dyDescent="0.25">
      <c r="B3305" s="68"/>
      <c r="C3305" s="50"/>
      <c r="D3305" s="15"/>
    </row>
    <row r="3306" spans="2:4" x14ac:dyDescent="0.25">
      <c r="B3306" s="68"/>
      <c r="C3306" s="50"/>
      <c r="D3306" s="15"/>
    </row>
    <row r="3307" spans="2:4" x14ac:dyDescent="0.25">
      <c r="B3307" s="68"/>
      <c r="C3307" s="50"/>
      <c r="D3307" s="15"/>
    </row>
    <row r="3308" spans="2:4" x14ac:dyDescent="0.25">
      <c r="B3308" s="68"/>
      <c r="C3308" s="50"/>
      <c r="D3308" s="15"/>
    </row>
    <row r="3309" spans="2:4" x14ac:dyDescent="0.25">
      <c r="B3309" s="68"/>
      <c r="C3309" s="50"/>
      <c r="D3309" s="15"/>
    </row>
    <row r="3310" spans="2:4" x14ac:dyDescent="0.25">
      <c r="B3310" s="68"/>
      <c r="C3310" s="50"/>
      <c r="D3310" s="15"/>
    </row>
    <row r="3311" spans="2:4" x14ac:dyDescent="0.25">
      <c r="B3311" s="68"/>
      <c r="C3311" s="50"/>
      <c r="D3311" s="15"/>
    </row>
    <row r="3312" spans="2:4" x14ac:dyDescent="0.25">
      <c r="B3312" s="68"/>
      <c r="C3312" s="50"/>
      <c r="D3312" s="15"/>
    </row>
    <row r="3313" spans="2:4" x14ac:dyDescent="0.25">
      <c r="B3313" s="68"/>
      <c r="C3313" s="50"/>
      <c r="D3313" s="15"/>
    </row>
    <row r="3314" spans="2:4" x14ac:dyDescent="0.25">
      <c r="B3314" s="68"/>
      <c r="C3314" s="50"/>
      <c r="D3314" s="15"/>
    </row>
    <row r="3315" spans="2:4" x14ac:dyDescent="0.25">
      <c r="B3315" s="68"/>
      <c r="C3315" s="50"/>
      <c r="D3315" s="15"/>
    </row>
    <row r="3316" spans="2:4" x14ac:dyDescent="0.25">
      <c r="B3316" s="68"/>
      <c r="C3316" s="50"/>
      <c r="D3316" s="15"/>
    </row>
    <row r="3317" spans="2:4" x14ac:dyDescent="0.25">
      <c r="B3317" s="68"/>
      <c r="C3317" s="50"/>
      <c r="D3317" s="15"/>
    </row>
    <row r="3318" spans="2:4" x14ac:dyDescent="0.25">
      <c r="B3318" s="68"/>
      <c r="C3318" s="50"/>
      <c r="D3318" s="15"/>
    </row>
    <row r="3319" spans="2:4" x14ac:dyDescent="0.25">
      <c r="B3319" s="68"/>
      <c r="C3319" s="50"/>
      <c r="D3319" s="15"/>
    </row>
    <row r="3320" spans="2:4" x14ac:dyDescent="0.25">
      <c r="B3320" s="68"/>
      <c r="C3320" s="50"/>
      <c r="D3320" s="15"/>
    </row>
    <row r="3321" spans="2:4" x14ac:dyDescent="0.25">
      <c r="B3321" s="68"/>
      <c r="C3321" s="50"/>
      <c r="D3321" s="15"/>
    </row>
    <row r="3322" spans="2:4" x14ac:dyDescent="0.25">
      <c r="B3322" s="68"/>
      <c r="C3322" s="50"/>
      <c r="D3322" s="15"/>
    </row>
    <row r="3323" spans="2:4" x14ac:dyDescent="0.25">
      <c r="B3323" s="68"/>
      <c r="C3323" s="50"/>
      <c r="D3323" s="15"/>
    </row>
    <row r="3324" spans="2:4" x14ac:dyDescent="0.25">
      <c r="B3324" s="68"/>
      <c r="C3324" s="50"/>
      <c r="D3324" s="15"/>
    </row>
    <row r="3325" spans="2:4" x14ac:dyDescent="0.25">
      <c r="B3325" s="68"/>
      <c r="C3325" s="50"/>
      <c r="D3325" s="15"/>
    </row>
    <row r="3326" spans="2:4" x14ac:dyDescent="0.25">
      <c r="B3326" s="68"/>
      <c r="C3326" s="50"/>
      <c r="D3326" s="15"/>
    </row>
    <row r="3327" spans="2:4" x14ac:dyDescent="0.25">
      <c r="B3327" s="68"/>
      <c r="C3327" s="50"/>
      <c r="D3327" s="15"/>
    </row>
    <row r="3328" spans="2:4" x14ac:dyDescent="0.25">
      <c r="B3328" s="68"/>
      <c r="C3328" s="50"/>
      <c r="D3328" s="15"/>
    </row>
    <row r="3329" spans="2:4" x14ac:dyDescent="0.25">
      <c r="B3329" s="68"/>
      <c r="C3329" s="50"/>
      <c r="D3329" s="15"/>
    </row>
    <row r="3330" spans="2:4" x14ac:dyDescent="0.25">
      <c r="B3330" s="68"/>
      <c r="C3330" s="50"/>
      <c r="D3330" s="15"/>
    </row>
    <row r="3331" spans="2:4" x14ac:dyDescent="0.25">
      <c r="B3331" s="68"/>
      <c r="C3331" s="50"/>
      <c r="D3331" s="15"/>
    </row>
    <row r="3332" spans="2:4" x14ac:dyDescent="0.25">
      <c r="B3332" s="68"/>
      <c r="C3332" s="50"/>
      <c r="D3332" s="15"/>
    </row>
    <row r="3333" spans="2:4" x14ac:dyDescent="0.25">
      <c r="B3333" s="68"/>
      <c r="C3333" s="50"/>
      <c r="D3333" s="15"/>
    </row>
    <row r="3334" spans="2:4" x14ac:dyDescent="0.25">
      <c r="B3334" s="68"/>
      <c r="C3334" s="50"/>
      <c r="D3334" s="15"/>
    </row>
    <row r="3335" spans="2:4" x14ac:dyDescent="0.25">
      <c r="B3335" s="68"/>
      <c r="C3335" s="50"/>
      <c r="D3335" s="15"/>
    </row>
    <row r="3336" spans="2:4" x14ac:dyDescent="0.25">
      <c r="B3336" s="68"/>
      <c r="C3336" s="50"/>
      <c r="D3336" s="15"/>
    </row>
    <row r="3337" spans="2:4" x14ac:dyDescent="0.25">
      <c r="B3337" s="68"/>
      <c r="C3337" s="50"/>
      <c r="D3337" s="15"/>
    </row>
    <row r="3338" spans="2:4" x14ac:dyDescent="0.25">
      <c r="B3338" s="68"/>
      <c r="C3338" s="50"/>
      <c r="D3338" s="15"/>
    </row>
    <row r="3339" spans="2:4" x14ac:dyDescent="0.25">
      <c r="B3339" s="68"/>
      <c r="C3339" s="50"/>
      <c r="D3339" s="15"/>
    </row>
    <row r="3340" spans="2:4" x14ac:dyDescent="0.25">
      <c r="B3340" s="68"/>
      <c r="C3340" s="50"/>
      <c r="D3340" s="15"/>
    </row>
    <row r="3341" spans="2:4" x14ac:dyDescent="0.25">
      <c r="B3341" s="68"/>
      <c r="C3341" s="50"/>
      <c r="D3341" s="15"/>
    </row>
    <row r="3342" spans="2:4" x14ac:dyDescent="0.25">
      <c r="B3342" s="68"/>
      <c r="C3342" s="50"/>
      <c r="D3342" s="15"/>
    </row>
    <row r="3343" spans="2:4" x14ac:dyDescent="0.25">
      <c r="B3343" s="68"/>
      <c r="C3343" s="50"/>
      <c r="D3343" s="15"/>
    </row>
    <row r="3344" spans="2:4" x14ac:dyDescent="0.25">
      <c r="B3344" s="68"/>
      <c r="C3344" s="50"/>
      <c r="D3344" s="15"/>
    </row>
    <row r="3345" spans="2:4" x14ac:dyDescent="0.25">
      <c r="B3345" s="68"/>
      <c r="C3345" s="50"/>
      <c r="D3345" s="15"/>
    </row>
    <row r="3346" spans="2:4" x14ac:dyDescent="0.25">
      <c r="B3346" s="68"/>
      <c r="C3346" s="50"/>
      <c r="D3346" s="15"/>
    </row>
    <row r="3347" spans="2:4" x14ac:dyDescent="0.25">
      <c r="B3347" s="68"/>
      <c r="C3347" s="50"/>
      <c r="D3347" s="15"/>
    </row>
    <row r="3348" spans="2:4" x14ac:dyDescent="0.25">
      <c r="B3348" s="68"/>
      <c r="C3348" s="50"/>
      <c r="D3348" s="15"/>
    </row>
    <row r="3349" spans="2:4" x14ac:dyDescent="0.25">
      <c r="B3349" s="68"/>
      <c r="C3349" s="50"/>
      <c r="D3349" s="15"/>
    </row>
    <row r="3350" spans="2:4" x14ac:dyDescent="0.25">
      <c r="B3350" s="68"/>
      <c r="C3350" s="50"/>
      <c r="D3350" s="15"/>
    </row>
    <row r="3351" spans="2:4" x14ac:dyDescent="0.25">
      <c r="B3351" s="68"/>
      <c r="C3351" s="50"/>
      <c r="D3351" s="15"/>
    </row>
    <row r="3352" spans="2:4" x14ac:dyDescent="0.25">
      <c r="B3352" s="68"/>
      <c r="C3352" s="50"/>
      <c r="D3352" s="15"/>
    </row>
    <row r="3353" spans="2:4" x14ac:dyDescent="0.25">
      <c r="B3353" s="68"/>
      <c r="C3353" s="50"/>
      <c r="D3353" s="15"/>
    </row>
    <row r="3354" spans="2:4" x14ac:dyDescent="0.25">
      <c r="B3354" s="68"/>
      <c r="C3354" s="50"/>
      <c r="D3354" s="15"/>
    </row>
    <row r="3355" spans="2:4" x14ac:dyDescent="0.25">
      <c r="B3355" s="68"/>
      <c r="C3355" s="50"/>
      <c r="D3355" s="15"/>
    </row>
    <row r="3356" spans="2:4" x14ac:dyDescent="0.25">
      <c r="B3356" s="68"/>
      <c r="C3356" s="50"/>
      <c r="D3356" s="15"/>
    </row>
    <row r="3357" spans="2:4" x14ac:dyDescent="0.25">
      <c r="B3357" s="68"/>
      <c r="C3357" s="50"/>
      <c r="D3357" s="15"/>
    </row>
    <row r="3358" spans="2:4" x14ac:dyDescent="0.25">
      <c r="B3358" s="68"/>
      <c r="C3358" s="50"/>
      <c r="D3358" s="15"/>
    </row>
    <row r="3359" spans="2:4" x14ac:dyDescent="0.25">
      <c r="B3359" s="68"/>
      <c r="C3359" s="50"/>
      <c r="D3359" s="15"/>
    </row>
    <row r="3360" spans="2:4" x14ac:dyDescent="0.25">
      <c r="B3360" s="68"/>
      <c r="C3360" s="50"/>
      <c r="D3360" s="15"/>
    </row>
    <row r="3361" spans="2:4" x14ac:dyDescent="0.25">
      <c r="B3361" s="68"/>
      <c r="C3361" s="50"/>
      <c r="D3361" s="15"/>
    </row>
    <row r="3362" spans="2:4" x14ac:dyDescent="0.25">
      <c r="B3362" s="68"/>
      <c r="C3362" s="50"/>
      <c r="D3362" s="15"/>
    </row>
    <row r="3363" spans="2:4" x14ac:dyDescent="0.25">
      <c r="B3363" s="68"/>
      <c r="C3363" s="50"/>
      <c r="D3363" s="15"/>
    </row>
    <row r="3364" spans="2:4" x14ac:dyDescent="0.25">
      <c r="B3364" s="68"/>
      <c r="C3364" s="50"/>
      <c r="D3364" s="15"/>
    </row>
    <row r="3365" spans="2:4" x14ac:dyDescent="0.25">
      <c r="B3365" s="68"/>
      <c r="C3365" s="50"/>
      <c r="D3365" s="15"/>
    </row>
    <row r="3366" spans="2:4" x14ac:dyDescent="0.25">
      <c r="B3366" s="68"/>
      <c r="C3366" s="50"/>
      <c r="D3366" s="15"/>
    </row>
    <row r="3367" spans="2:4" x14ac:dyDescent="0.25">
      <c r="B3367" s="68"/>
      <c r="C3367" s="50"/>
      <c r="D3367" s="15"/>
    </row>
    <row r="3368" spans="2:4" x14ac:dyDescent="0.25">
      <c r="B3368" s="68"/>
      <c r="C3368" s="50"/>
      <c r="D3368" s="15"/>
    </row>
    <row r="3369" spans="2:4" x14ac:dyDescent="0.25">
      <c r="B3369" s="68"/>
      <c r="C3369" s="50"/>
      <c r="D3369" s="15"/>
    </row>
    <row r="3370" spans="2:4" x14ac:dyDescent="0.25">
      <c r="B3370" s="68"/>
      <c r="C3370" s="50"/>
      <c r="D3370" s="15"/>
    </row>
    <row r="3371" spans="2:4" x14ac:dyDescent="0.25">
      <c r="B3371" s="68"/>
      <c r="C3371" s="50"/>
      <c r="D3371" s="15"/>
    </row>
    <row r="3372" spans="2:4" x14ac:dyDescent="0.25">
      <c r="B3372" s="68"/>
      <c r="C3372" s="50"/>
      <c r="D3372" s="15"/>
    </row>
    <row r="3373" spans="2:4" x14ac:dyDescent="0.25">
      <c r="B3373" s="68"/>
      <c r="C3373" s="50"/>
      <c r="D3373" s="15"/>
    </row>
    <row r="3374" spans="2:4" x14ac:dyDescent="0.25">
      <c r="B3374" s="68"/>
      <c r="C3374" s="50"/>
      <c r="D3374" s="15"/>
    </row>
    <row r="3375" spans="2:4" x14ac:dyDescent="0.25">
      <c r="B3375" s="68"/>
      <c r="C3375" s="50"/>
      <c r="D3375" s="15"/>
    </row>
    <row r="3376" spans="2:4" x14ac:dyDescent="0.25">
      <c r="B3376" s="68"/>
      <c r="C3376" s="50"/>
      <c r="D3376" s="15"/>
    </row>
    <row r="3377" spans="2:4" x14ac:dyDescent="0.25">
      <c r="B3377" s="68"/>
      <c r="C3377" s="50"/>
      <c r="D3377" s="15"/>
    </row>
    <row r="3378" spans="2:4" x14ac:dyDescent="0.25">
      <c r="B3378" s="68"/>
      <c r="C3378" s="50"/>
      <c r="D3378" s="15"/>
    </row>
    <row r="3379" spans="2:4" x14ac:dyDescent="0.25">
      <c r="B3379" s="68"/>
      <c r="C3379" s="50"/>
      <c r="D3379" s="15"/>
    </row>
    <row r="3380" spans="2:4" x14ac:dyDescent="0.25">
      <c r="B3380" s="68"/>
      <c r="C3380" s="50"/>
      <c r="D3380" s="15"/>
    </row>
    <row r="3381" spans="2:4" x14ac:dyDescent="0.25">
      <c r="B3381" s="68"/>
      <c r="C3381" s="50"/>
      <c r="D3381" s="15"/>
    </row>
    <row r="3382" spans="2:4" x14ac:dyDescent="0.25">
      <c r="B3382" s="68"/>
      <c r="C3382" s="50"/>
      <c r="D3382" s="15"/>
    </row>
    <row r="3383" spans="2:4" x14ac:dyDescent="0.25">
      <c r="B3383" s="68"/>
      <c r="C3383" s="50"/>
      <c r="D3383" s="15"/>
    </row>
    <row r="3384" spans="2:4" x14ac:dyDescent="0.25">
      <c r="B3384" s="68"/>
      <c r="C3384" s="50"/>
      <c r="D3384" s="15"/>
    </row>
    <row r="3385" spans="2:4" x14ac:dyDescent="0.25">
      <c r="B3385" s="68"/>
      <c r="C3385" s="50"/>
      <c r="D3385" s="15"/>
    </row>
    <row r="3386" spans="2:4" x14ac:dyDescent="0.25">
      <c r="B3386" s="68"/>
      <c r="C3386" s="50"/>
      <c r="D3386" s="15"/>
    </row>
    <row r="3387" spans="2:4" x14ac:dyDescent="0.25">
      <c r="B3387" s="68"/>
      <c r="C3387" s="50"/>
      <c r="D3387" s="15"/>
    </row>
    <row r="3388" spans="2:4" x14ac:dyDescent="0.25">
      <c r="B3388" s="68"/>
      <c r="C3388" s="50"/>
      <c r="D3388" s="15"/>
    </row>
    <row r="3389" spans="2:4" x14ac:dyDescent="0.25">
      <c r="B3389" s="68"/>
      <c r="C3389" s="50"/>
      <c r="D3389" s="15"/>
    </row>
    <row r="3390" spans="2:4" x14ac:dyDescent="0.25">
      <c r="B3390" s="68"/>
      <c r="C3390" s="50"/>
      <c r="D3390" s="15"/>
    </row>
    <row r="3391" spans="2:4" x14ac:dyDescent="0.25">
      <c r="B3391" s="68"/>
      <c r="C3391" s="50"/>
      <c r="D3391" s="15"/>
    </row>
    <row r="3392" spans="2:4" x14ac:dyDescent="0.25">
      <c r="B3392" s="68"/>
      <c r="C3392" s="50"/>
      <c r="D3392" s="15"/>
    </row>
    <row r="3393" spans="2:4" x14ac:dyDescent="0.25">
      <c r="B3393" s="68"/>
      <c r="C3393" s="50"/>
      <c r="D3393" s="15"/>
    </row>
    <row r="3394" spans="2:4" x14ac:dyDescent="0.25">
      <c r="B3394" s="68"/>
      <c r="C3394" s="50"/>
      <c r="D3394" s="15"/>
    </row>
    <row r="3395" spans="2:4" x14ac:dyDescent="0.25">
      <c r="B3395" s="68"/>
      <c r="C3395" s="50"/>
      <c r="D3395" s="15"/>
    </row>
    <row r="3396" spans="2:4" x14ac:dyDescent="0.25">
      <c r="B3396" s="68"/>
      <c r="C3396" s="50"/>
      <c r="D3396" s="15"/>
    </row>
    <row r="3397" spans="2:4" x14ac:dyDescent="0.25">
      <c r="B3397" s="68"/>
      <c r="C3397" s="50"/>
      <c r="D3397" s="15"/>
    </row>
    <row r="3398" spans="2:4" x14ac:dyDescent="0.25">
      <c r="B3398" s="68"/>
      <c r="C3398" s="50"/>
      <c r="D3398" s="15"/>
    </row>
    <row r="3399" spans="2:4" x14ac:dyDescent="0.25">
      <c r="B3399" s="68"/>
      <c r="C3399" s="50"/>
      <c r="D3399" s="15"/>
    </row>
    <row r="3400" spans="2:4" x14ac:dyDescent="0.25">
      <c r="B3400" s="68"/>
      <c r="C3400" s="50"/>
      <c r="D3400" s="15"/>
    </row>
    <row r="3401" spans="2:4" x14ac:dyDescent="0.25">
      <c r="B3401" s="68"/>
      <c r="C3401" s="50"/>
      <c r="D3401" s="15"/>
    </row>
    <row r="3402" spans="2:4" x14ac:dyDescent="0.25">
      <c r="B3402" s="68"/>
      <c r="C3402" s="50"/>
      <c r="D3402" s="15"/>
    </row>
    <row r="3403" spans="2:4" x14ac:dyDescent="0.25">
      <c r="B3403" s="68"/>
      <c r="C3403" s="50"/>
      <c r="D3403" s="15"/>
    </row>
    <row r="3404" spans="2:4" x14ac:dyDescent="0.25">
      <c r="B3404" s="68"/>
      <c r="C3404" s="50"/>
      <c r="D3404" s="15"/>
    </row>
    <row r="3405" spans="2:4" x14ac:dyDescent="0.25">
      <c r="B3405" s="68"/>
      <c r="C3405" s="50"/>
      <c r="D3405" s="15"/>
    </row>
    <row r="3406" spans="2:4" x14ac:dyDescent="0.25">
      <c r="B3406" s="68"/>
      <c r="C3406" s="50"/>
      <c r="D3406" s="15"/>
    </row>
    <row r="3407" spans="2:4" x14ac:dyDescent="0.25">
      <c r="B3407" s="68"/>
      <c r="C3407" s="50"/>
      <c r="D3407" s="15"/>
    </row>
    <row r="3408" spans="2:4" x14ac:dyDescent="0.25">
      <c r="B3408" s="68"/>
      <c r="C3408" s="50"/>
      <c r="D3408" s="15"/>
    </row>
    <row r="3409" spans="2:4" x14ac:dyDescent="0.25">
      <c r="B3409" s="68"/>
      <c r="C3409" s="50"/>
      <c r="D3409" s="15"/>
    </row>
    <row r="3410" spans="2:4" x14ac:dyDescent="0.25">
      <c r="B3410" s="68"/>
      <c r="C3410" s="50"/>
      <c r="D3410" s="15"/>
    </row>
    <row r="3411" spans="2:4" x14ac:dyDescent="0.25">
      <c r="B3411" s="68"/>
      <c r="C3411" s="50"/>
      <c r="D3411" s="15"/>
    </row>
    <row r="3412" spans="2:4" x14ac:dyDescent="0.25">
      <c r="B3412" s="68"/>
      <c r="C3412" s="50"/>
      <c r="D3412" s="15"/>
    </row>
    <row r="3413" spans="2:4" x14ac:dyDescent="0.25">
      <c r="B3413" s="68"/>
      <c r="C3413" s="50"/>
      <c r="D3413" s="15"/>
    </row>
    <row r="3414" spans="2:4" x14ac:dyDescent="0.25">
      <c r="B3414" s="68"/>
      <c r="C3414" s="50"/>
      <c r="D3414" s="15"/>
    </row>
    <row r="3415" spans="2:4" x14ac:dyDescent="0.25">
      <c r="B3415" s="68"/>
      <c r="C3415" s="50"/>
      <c r="D3415" s="15"/>
    </row>
    <row r="3416" spans="2:4" x14ac:dyDescent="0.25">
      <c r="B3416" s="68"/>
      <c r="C3416" s="50"/>
      <c r="D3416" s="15"/>
    </row>
    <row r="3417" spans="2:4" x14ac:dyDescent="0.25">
      <c r="B3417" s="68"/>
      <c r="C3417" s="50"/>
      <c r="D3417" s="15"/>
    </row>
    <row r="3418" spans="2:4" x14ac:dyDescent="0.25">
      <c r="B3418" s="68"/>
      <c r="C3418" s="50"/>
      <c r="D3418" s="15"/>
    </row>
    <row r="3419" spans="2:4" x14ac:dyDescent="0.25">
      <c r="B3419" s="68"/>
      <c r="C3419" s="50"/>
      <c r="D3419" s="15"/>
    </row>
    <row r="3420" spans="2:4" x14ac:dyDescent="0.25">
      <c r="B3420" s="68"/>
      <c r="C3420" s="50"/>
      <c r="D3420" s="15"/>
    </row>
    <row r="3421" spans="2:4" x14ac:dyDescent="0.25">
      <c r="B3421" s="68"/>
      <c r="C3421" s="50"/>
      <c r="D3421" s="15"/>
    </row>
    <row r="3422" spans="2:4" x14ac:dyDescent="0.25">
      <c r="B3422" s="68"/>
      <c r="C3422" s="50"/>
      <c r="D3422" s="15"/>
    </row>
    <row r="3423" spans="2:4" x14ac:dyDescent="0.25">
      <c r="B3423" s="68"/>
      <c r="C3423" s="50"/>
      <c r="D3423" s="15"/>
    </row>
    <row r="3424" spans="2:4" x14ac:dyDescent="0.25">
      <c r="B3424" s="68"/>
      <c r="C3424" s="50"/>
      <c r="D3424" s="15"/>
    </row>
    <row r="3425" spans="2:4" x14ac:dyDescent="0.25">
      <c r="B3425" s="68"/>
      <c r="C3425" s="50"/>
      <c r="D3425" s="15"/>
    </row>
    <row r="3426" spans="2:4" x14ac:dyDescent="0.25">
      <c r="B3426" s="68"/>
      <c r="C3426" s="50"/>
      <c r="D3426" s="15"/>
    </row>
    <row r="3427" spans="2:4" x14ac:dyDescent="0.25">
      <c r="B3427" s="68"/>
      <c r="C3427" s="50"/>
      <c r="D3427" s="15"/>
    </row>
    <row r="3428" spans="2:4" x14ac:dyDescent="0.25">
      <c r="B3428" s="68"/>
      <c r="C3428" s="50"/>
      <c r="D3428" s="15"/>
    </row>
    <row r="3429" spans="2:4" x14ac:dyDescent="0.25">
      <c r="B3429" s="68"/>
      <c r="C3429" s="50"/>
      <c r="D3429" s="15"/>
    </row>
    <row r="3430" spans="2:4" x14ac:dyDescent="0.25">
      <c r="B3430" s="68"/>
      <c r="C3430" s="50"/>
      <c r="D3430" s="15"/>
    </row>
    <row r="3431" spans="2:4" x14ac:dyDescent="0.25">
      <c r="B3431" s="68"/>
      <c r="C3431" s="50"/>
      <c r="D3431" s="15"/>
    </row>
    <row r="3432" spans="2:4" x14ac:dyDescent="0.25">
      <c r="B3432" s="68"/>
      <c r="C3432" s="50"/>
      <c r="D3432" s="15"/>
    </row>
    <row r="3433" spans="2:4" x14ac:dyDescent="0.25">
      <c r="B3433" s="68"/>
      <c r="C3433" s="50"/>
      <c r="D3433" s="15"/>
    </row>
    <row r="3434" spans="2:4" x14ac:dyDescent="0.25">
      <c r="B3434" s="68"/>
      <c r="C3434" s="50"/>
      <c r="D3434" s="15"/>
    </row>
    <row r="3435" spans="2:4" x14ac:dyDescent="0.25">
      <c r="B3435" s="68"/>
      <c r="C3435" s="50"/>
      <c r="D3435" s="15"/>
    </row>
    <row r="3436" spans="2:4" x14ac:dyDescent="0.25">
      <c r="B3436" s="68"/>
      <c r="C3436" s="50"/>
      <c r="D3436" s="15"/>
    </row>
    <row r="3437" spans="2:4" x14ac:dyDescent="0.25">
      <c r="B3437" s="68"/>
      <c r="C3437" s="50"/>
      <c r="D3437" s="15"/>
    </row>
    <row r="3438" spans="2:4" x14ac:dyDescent="0.25">
      <c r="B3438" s="68"/>
      <c r="C3438" s="50"/>
      <c r="D3438" s="15"/>
    </row>
    <row r="3439" spans="2:4" x14ac:dyDescent="0.25">
      <c r="B3439" s="68"/>
      <c r="C3439" s="50"/>
      <c r="D3439" s="15"/>
    </row>
    <row r="3440" spans="2:4" x14ac:dyDescent="0.25">
      <c r="B3440" s="68"/>
      <c r="C3440" s="50"/>
      <c r="D3440" s="15"/>
    </row>
    <row r="3441" spans="2:4" x14ac:dyDescent="0.25">
      <c r="B3441" s="68"/>
      <c r="C3441" s="50"/>
      <c r="D3441" s="15"/>
    </row>
    <row r="3442" spans="2:4" x14ac:dyDescent="0.25">
      <c r="B3442" s="68"/>
      <c r="C3442" s="50"/>
      <c r="D3442" s="15"/>
    </row>
    <row r="3443" spans="2:4" x14ac:dyDescent="0.25">
      <c r="B3443" s="68"/>
      <c r="C3443" s="50"/>
      <c r="D3443" s="15"/>
    </row>
    <row r="3444" spans="2:4" x14ac:dyDescent="0.25">
      <c r="B3444" s="68"/>
      <c r="C3444" s="50"/>
      <c r="D3444" s="15"/>
    </row>
    <row r="3445" spans="2:4" x14ac:dyDescent="0.25">
      <c r="B3445" s="68"/>
      <c r="C3445" s="50"/>
      <c r="D3445" s="15"/>
    </row>
    <row r="3446" spans="2:4" x14ac:dyDescent="0.25">
      <c r="B3446" s="68"/>
      <c r="C3446" s="50"/>
      <c r="D3446" s="15"/>
    </row>
    <row r="3447" spans="2:4" x14ac:dyDescent="0.25">
      <c r="B3447" s="68"/>
      <c r="C3447" s="50"/>
      <c r="D3447" s="15"/>
    </row>
    <row r="3448" spans="2:4" x14ac:dyDescent="0.25">
      <c r="B3448" s="68"/>
      <c r="C3448" s="50"/>
      <c r="D3448" s="15"/>
    </row>
    <row r="3449" spans="2:4" x14ac:dyDescent="0.25">
      <c r="B3449" s="68"/>
      <c r="C3449" s="50"/>
      <c r="D3449" s="15"/>
    </row>
    <row r="3450" spans="2:4" x14ac:dyDescent="0.25">
      <c r="B3450" s="68"/>
      <c r="C3450" s="50"/>
      <c r="D3450" s="15"/>
    </row>
    <row r="3451" spans="2:4" x14ac:dyDescent="0.25">
      <c r="B3451" s="68"/>
      <c r="C3451" s="50"/>
      <c r="D3451" s="15"/>
    </row>
    <row r="3452" spans="2:4" x14ac:dyDescent="0.25">
      <c r="B3452" s="68"/>
      <c r="C3452" s="50"/>
      <c r="D3452" s="15"/>
    </row>
    <row r="3453" spans="2:4" x14ac:dyDescent="0.25">
      <c r="B3453" s="68"/>
      <c r="C3453" s="50"/>
      <c r="D3453" s="15"/>
    </row>
    <row r="3454" spans="2:4" x14ac:dyDescent="0.25">
      <c r="B3454" s="68"/>
      <c r="C3454" s="50"/>
      <c r="D3454" s="15"/>
    </row>
    <row r="3455" spans="2:4" x14ac:dyDescent="0.25">
      <c r="B3455" s="68"/>
      <c r="C3455" s="50"/>
      <c r="D3455" s="15"/>
    </row>
    <row r="3456" spans="2:4" x14ac:dyDescent="0.25">
      <c r="B3456" s="68"/>
      <c r="C3456" s="50"/>
      <c r="D3456" s="15"/>
    </row>
    <row r="3457" spans="2:4" x14ac:dyDescent="0.25">
      <c r="B3457" s="68"/>
      <c r="C3457" s="50"/>
      <c r="D3457" s="15"/>
    </row>
    <row r="3458" spans="2:4" x14ac:dyDescent="0.25">
      <c r="B3458" s="68"/>
      <c r="C3458" s="50"/>
      <c r="D3458" s="15"/>
    </row>
    <row r="3459" spans="2:4" x14ac:dyDescent="0.25">
      <c r="B3459" s="68"/>
      <c r="C3459" s="50"/>
      <c r="D3459" s="15"/>
    </row>
    <row r="3460" spans="2:4" x14ac:dyDescent="0.25">
      <c r="B3460" s="68"/>
      <c r="C3460" s="50"/>
      <c r="D3460" s="15"/>
    </row>
    <row r="3461" spans="2:4" x14ac:dyDescent="0.25">
      <c r="B3461" s="68"/>
      <c r="C3461" s="50"/>
      <c r="D3461" s="15"/>
    </row>
    <row r="3462" spans="2:4" x14ac:dyDescent="0.25">
      <c r="B3462" s="68"/>
      <c r="C3462" s="50"/>
      <c r="D3462" s="15"/>
    </row>
    <row r="3463" spans="2:4" x14ac:dyDescent="0.25">
      <c r="B3463" s="68"/>
      <c r="C3463" s="50"/>
      <c r="D3463" s="15"/>
    </row>
    <row r="3464" spans="2:4" x14ac:dyDescent="0.25">
      <c r="B3464" s="68"/>
      <c r="C3464" s="50"/>
      <c r="D3464" s="15"/>
    </row>
    <row r="3465" spans="2:4" x14ac:dyDescent="0.25">
      <c r="B3465" s="68"/>
      <c r="C3465" s="50"/>
      <c r="D3465" s="15"/>
    </row>
    <row r="3466" spans="2:4" x14ac:dyDescent="0.25">
      <c r="B3466" s="68"/>
      <c r="C3466" s="50"/>
      <c r="D3466" s="15"/>
    </row>
    <row r="3467" spans="2:4" x14ac:dyDescent="0.25">
      <c r="B3467" s="68"/>
      <c r="C3467" s="50"/>
      <c r="D3467" s="15"/>
    </row>
    <row r="3468" spans="2:4" x14ac:dyDescent="0.25">
      <c r="B3468" s="68"/>
      <c r="C3468" s="50"/>
      <c r="D3468" s="15"/>
    </row>
    <row r="3469" spans="2:4" x14ac:dyDescent="0.25">
      <c r="B3469" s="68"/>
      <c r="C3469" s="50"/>
      <c r="D3469" s="15"/>
    </row>
    <row r="3470" spans="2:4" x14ac:dyDescent="0.25">
      <c r="B3470" s="68"/>
      <c r="C3470" s="50"/>
      <c r="D3470" s="15"/>
    </row>
    <row r="3471" spans="2:4" x14ac:dyDescent="0.25">
      <c r="B3471" s="68"/>
      <c r="C3471" s="50"/>
      <c r="D3471" s="15"/>
    </row>
    <row r="3472" spans="2:4" x14ac:dyDescent="0.25">
      <c r="B3472" s="68"/>
      <c r="C3472" s="50"/>
      <c r="D3472" s="15"/>
    </row>
    <row r="3473" spans="2:4" x14ac:dyDescent="0.25">
      <c r="B3473" s="68"/>
      <c r="C3473" s="50"/>
      <c r="D3473" s="15"/>
    </row>
    <row r="3474" spans="2:4" x14ac:dyDescent="0.25">
      <c r="B3474" s="68"/>
      <c r="C3474" s="50"/>
      <c r="D3474" s="15"/>
    </row>
    <row r="3475" spans="2:4" x14ac:dyDescent="0.25">
      <c r="B3475" s="68"/>
      <c r="C3475" s="50"/>
      <c r="D3475" s="15"/>
    </row>
    <row r="3476" spans="2:4" x14ac:dyDescent="0.25">
      <c r="B3476" s="68"/>
      <c r="C3476" s="50"/>
      <c r="D3476" s="15"/>
    </row>
    <row r="3477" spans="2:4" x14ac:dyDescent="0.25">
      <c r="B3477" s="68"/>
      <c r="C3477" s="50"/>
      <c r="D3477" s="15"/>
    </row>
    <row r="3478" spans="2:4" x14ac:dyDescent="0.25">
      <c r="B3478" s="68"/>
      <c r="C3478" s="50"/>
      <c r="D3478" s="15"/>
    </row>
    <row r="3479" spans="2:4" x14ac:dyDescent="0.25">
      <c r="B3479" s="68"/>
      <c r="C3479" s="50"/>
      <c r="D3479" s="15"/>
    </row>
    <row r="3480" spans="2:4" x14ac:dyDescent="0.25">
      <c r="B3480" s="68"/>
      <c r="C3480" s="50"/>
      <c r="D3480" s="15"/>
    </row>
    <row r="3481" spans="2:4" x14ac:dyDescent="0.25">
      <c r="B3481" s="68"/>
      <c r="C3481" s="50"/>
      <c r="D3481" s="15"/>
    </row>
    <row r="3482" spans="2:4" x14ac:dyDescent="0.25">
      <c r="B3482" s="68"/>
      <c r="C3482" s="50"/>
      <c r="D3482" s="15"/>
    </row>
    <row r="3483" spans="2:4" x14ac:dyDescent="0.25">
      <c r="B3483" s="68"/>
      <c r="C3483" s="50"/>
      <c r="D3483" s="15"/>
    </row>
    <row r="3484" spans="2:4" x14ac:dyDescent="0.25">
      <c r="B3484" s="68"/>
      <c r="C3484" s="50"/>
      <c r="D3484" s="15"/>
    </row>
    <row r="3485" spans="2:4" x14ac:dyDescent="0.25">
      <c r="B3485" s="68"/>
      <c r="C3485" s="50"/>
      <c r="D3485" s="15"/>
    </row>
    <row r="3486" spans="2:4" x14ac:dyDescent="0.25">
      <c r="B3486" s="68"/>
      <c r="C3486" s="50"/>
      <c r="D3486" s="15"/>
    </row>
    <row r="3487" spans="2:4" x14ac:dyDescent="0.25">
      <c r="B3487" s="68"/>
      <c r="C3487" s="50"/>
      <c r="D3487" s="15"/>
    </row>
    <row r="3488" spans="2:4" x14ac:dyDescent="0.25">
      <c r="B3488" s="68"/>
      <c r="C3488" s="50"/>
      <c r="D3488" s="15"/>
    </row>
    <row r="3489" spans="2:4" x14ac:dyDescent="0.25">
      <c r="B3489" s="68"/>
      <c r="C3489" s="50"/>
      <c r="D3489" s="15"/>
    </row>
    <row r="3490" spans="2:4" x14ac:dyDescent="0.25">
      <c r="B3490" s="68"/>
      <c r="C3490" s="50"/>
      <c r="D3490" s="15"/>
    </row>
    <row r="3491" spans="2:4" x14ac:dyDescent="0.25">
      <c r="B3491" s="68"/>
      <c r="C3491" s="50"/>
      <c r="D3491" s="15"/>
    </row>
    <row r="3492" spans="2:4" x14ac:dyDescent="0.25">
      <c r="B3492" s="68"/>
      <c r="C3492" s="50"/>
      <c r="D3492" s="15"/>
    </row>
    <row r="3493" spans="2:4" x14ac:dyDescent="0.25">
      <c r="B3493" s="68"/>
      <c r="C3493" s="50"/>
      <c r="D3493" s="15"/>
    </row>
    <row r="3494" spans="2:4" x14ac:dyDescent="0.25">
      <c r="B3494" s="68"/>
      <c r="C3494" s="50"/>
      <c r="D3494" s="15"/>
    </row>
    <row r="3495" spans="2:4" x14ac:dyDescent="0.25">
      <c r="B3495" s="68"/>
      <c r="C3495" s="50"/>
      <c r="D3495" s="15"/>
    </row>
    <row r="3496" spans="2:4" x14ac:dyDescent="0.25">
      <c r="B3496" s="68"/>
      <c r="C3496" s="50"/>
      <c r="D3496" s="15"/>
    </row>
    <row r="3497" spans="2:4" x14ac:dyDescent="0.25">
      <c r="B3497" s="68"/>
      <c r="C3497" s="50"/>
      <c r="D3497" s="15"/>
    </row>
    <row r="3498" spans="2:4" x14ac:dyDescent="0.25">
      <c r="B3498" s="68"/>
      <c r="C3498" s="50"/>
      <c r="D3498" s="15"/>
    </row>
    <row r="3499" spans="2:4" x14ac:dyDescent="0.25">
      <c r="B3499" s="68"/>
      <c r="C3499" s="50"/>
      <c r="D3499" s="15"/>
    </row>
    <row r="3500" spans="2:4" x14ac:dyDescent="0.25">
      <c r="B3500" s="68"/>
      <c r="C3500" s="50"/>
      <c r="D3500" s="15"/>
    </row>
    <row r="3501" spans="2:4" x14ac:dyDescent="0.25">
      <c r="B3501" s="68"/>
      <c r="C3501" s="50"/>
      <c r="D3501" s="15"/>
    </row>
    <row r="3502" spans="2:4" x14ac:dyDescent="0.25">
      <c r="B3502" s="68"/>
      <c r="C3502" s="50"/>
      <c r="D3502" s="15"/>
    </row>
    <row r="3503" spans="2:4" x14ac:dyDescent="0.25">
      <c r="B3503" s="68"/>
      <c r="C3503" s="50"/>
      <c r="D3503" s="15"/>
    </row>
    <row r="3504" spans="2:4" x14ac:dyDescent="0.25">
      <c r="B3504" s="68"/>
      <c r="C3504" s="50"/>
      <c r="D3504" s="15"/>
    </row>
    <row r="3505" spans="2:4" x14ac:dyDescent="0.25">
      <c r="B3505" s="68"/>
      <c r="C3505" s="50"/>
      <c r="D3505" s="15"/>
    </row>
    <row r="3506" spans="2:4" x14ac:dyDescent="0.25">
      <c r="B3506" s="68"/>
      <c r="C3506" s="50"/>
      <c r="D3506" s="15"/>
    </row>
    <row r="3507" spans="2:4" x14ac:dyDescent="0.25">
      <c r="B3507" s="68"/>
      <c r="C3507" s="50"/>
      <c r="D3507" s="15"/>
    </row>
    <row r="3508" spans="2:4" x14ac:dyDescent="0.25">
      <c r="B3508" s="68"/>
      <c r="C3508" s="50"/>
      <c r="D3508" s="15"/>
    </row>
    <row r="3509" spans="2:4" x14ac:dyDescent="0.25">
      <c r="B3509" s="68"/>
      <c r="C3509" s="50"/>
      <c r="D3509" s="15"/>
    </row>
    <row r="3510" spans="2:4" x14ac:dyDescent="0.25">
      <c r="B3510" s="68"/>
      <c r="C3510" s="50"/>
      <c r="D3510" s="15"/>
    </row>
    <row r="3511" spans="2:4" x14ac:dyDescent="0.25">
      <c r="B3511" s="68"/>
      <c r="C3511" s="50"/>
      <c r="D3511" s="15"/>
    </row>
    <row r="3512" spans="2:4" x14ac:dyDescent="0.25">
      <c r="B3512" s="68"/>
      <c r="C3512" s="50"/>
      <c r="D3512" s="15"/>
    </row>
    <row r="3513" spans="2:4" x14ac:dyDescent="0.25">
      <c r="B3513" s="68"/>
      <c r="C3513" s="50"/>
      <c r="D3513" s="15"/>
    </row>
    <row r="3514" spans="2:4" x14ac:dyDescent="0.25">
      <c r="B3514" s="68"/>
      <c r="C3514" s="50"/>
      <c r="D3514" s="15"/>
    </row>
    <row r="3515" spans="2:4" x14ac:dyDescent="0.25">
      <c r="B3515" s="68"/>
      <c r="C3515" s="50"/>
      <c r="D3515" s="15"/>
    </row>
    <row r="3516" spans="2:4" x14ac:dyDescent="0.25">
      <c r="B3516" s="68"/>
      <c r="C3516" s="50"/>
      <c r="D3516" s="15"/>
    </row>
    <row r="3517" spans="2:4" x14ac:dyDescent="0.25">
      <c r="B3517" s="68"/>
      <c r="C3517" s="50"/>
      <c r="D3517" s="15"/>
    </row>
    <row r="3518" spans="2:4" x14ac:dyDescent="0.25">
      <c r="B3518" s="68"/>
      <c r="C3518" s="50"/>
      <c r="D3518" s="15"/>
    </row>
    <row r="3519" spans="2:4" x14ac:dyDescent="0.25">
      <c r="B3519" s="68"/>
      <c r="C3519" s="50"/>
      <c r="D3519" s="15"/>
    </row>
    <row r="3520" spans="2:4" x14ac:dyDescent="0.25">
      <c r="B3520" s="68"/>
      <c r="C3520" s="50"/>
      <c r="D3520" s="15"/>
    </row>
    <row r="3521" spans="2:4" x14ac:dyDescent="0.25">
      <c r="B3521" s="68"/>
      <c r="C3521" s="50"/>
      <c r="D3521" s="15"/>
    </row>
    <row r="3522" spans="2:4" x14ac:dyDescent="0.25">
      <c r="B3522" s="68"/>
      <c r="C3522" s="50"/>
      <c r="D3522" s="15"/>
    </row>
    <row r="3523" spans="2:4" x14ac:dyDescent="0.25">
      <c r="B3523" s="68"/>
      <c r="C3523" s="50"/>
      <c r="D3523" s="15"/>
    </row>
    <row r="3524" spans="2:4" x14ac:dyDescent="0.25">
      <c r="B3524" s="68"/>
      <c r="C3524" s="50"/>
      <c r="D3524" s="15"/>
    </row>
    <row r="3525" spans="2:4" x14ac:dyDescent="0.25">
      <c r="B3525" s="68"/>
      <c r="C3525" s="50"/>
      <c r="D3525" s="15"/>
    </row>
    <row r="3526" spans="2:4" x14ac:dyDescent="0.25">
      <c r="B3526" s="68"/>
      <c r="C3526" s="50"/>
      <c r="D3526" s="15"/>
    </row>
    <row r="3527" spans="2:4" x14ac:dyDescent="0.25">
      <c r="B3527" s="68"/>
      <c r="C3527" s="50"/>
      <c r="D3527" s="15"/>
    </row>
    <row r="3528" spans="2:4" x14ac:dyDescent="0.25">
      <c r="B3528" s="68"/>
      <c r="C3528" s="50"/>
      <c r="D3528" s="15"/>
    </row>
    <row r="3529" spans="2:4" x14ac:dyDescent="0.25">
      <c r="B3529" s="68"/>
      <c r="C3529" s="50"/>
      <c r="D3529" s="15"/>
    </row>
    <row r="3530" spans="2:4" x14ac:dyDescent="0.25">
      <c r="B3530" s="68"/>
      <c r="C3530" s="50"/>
      <c r="D3530" s="15"/>
    </row>
    <row r="3531" spans="2:4" x14ac:dyDescent="0.25">
      <c r="B3531" s="68"/>
      <c r="C3531" s="50"/>
      <c r="D3531" s="15"/>
    </row>
    <row r="3532" spans="2:4" x14ac:dyDescent="0.25">
      <c r="B3532" s="68"/>
      <c r="C3532" s="50"/>
      <c r="D3532" s="15"/>
    </row>
    <row r="3533" spans="2:4" x14ac:dyDescent="0.25">
      <c r="B3533" s="68"/>
      <c r="C3533" s="50"/>
      <c r="D3533" s="15"/>
    </row>
    <row r="3534" spans="2:4" x14ac:dyDescent="0.25">
      <c r="B3534" s="68"/>
      <c r="C3534" s="50"/>
      <c r="D3534" s="15"/>
    </row>
    <row r="3535" spans="2:4" x14ac:dyDescent="0.25">
      <c r="B3535" s="68"/>
      <c r="C3535" s="50"/>
      <c r="D3535" s="15"/>
    </row>
    <row r="3536" spans="2:4" x14ac:dyDescent="0.25">
      <c r="B3536" s="68"/>
      <c r="C3536" s="50"/>
      <c r="D3536" s="15"/>
    </row>
    <row r="3537" spans="2:4" x14ac:dyDescent="0.25">
      <c r="B3537" s="68"/>
      <c r="C3537" s="50"/>
      <c r="D3537" s="15"/>
    </row>
    <row r="3538" spans="2:4" x14ac:dyDescent="0.25">
      <c r="B3538" s="68"/>
      <c r="C3538" s="50"/>
      <c r="D3538" s="15"/>
    </row>
    <row r="3539" spans="2:4" x14ac:dyDescent="0.25">
      <c r="B3539" s="68"/>
      <c r="C3539" s="50"/>
      <c r="D3539" s="15"/>
    </row>
    <row r="3540" spans="2:4" x14ac:dyDescent="0.25">
      <c r="B3540" s="68"/>
      <c r="C3540" s="50"/>
      <c r="D3540" s="15"/>
    </row>
    <row r="3541" spans="2:4" x14ac:dyDescent="0.25">
      <c r="B3541" s="68"/>
      <c r="C3541" s="50"/>
      <c r="D3541" s="15"/>
    </row>
    <row r="3542" spans="2:4" x14ac:dyDescent="0.25">
      <c r="B3542" s="68"/>
      <c r="C3542" s="50"/>
      <c r="D3542" s="15"/>
    </row>
    <row r="3543" spans="2:4" x14ac:dyDescent="0.25">
      <c r="B3543" s="68"/>
      <c r="C3543" s="50"/>
      <c r="D3543" s="15"/>
    </row>
    <row r="3544" spans="2:4" x14ac:dyDescent="0.25">
      <c r="B3544" s="68"/>
      <c r="C3544" s="50"/>
      <c r="D3544" s="15"/>
    </row>
    <row r="3545" spans="2:4" x14ac:dyDescent="0.25">
      <c r="B3545" s="68"/>
      <c r="C3545" s="50"/>
      <c r="D3545" s="15"/>
    </row>
    <row r="3546" spans="2:4" x14ac:dyDescent="0.25">
      <c r="B3546" s="68"/>
      <c r="C3546" s="50"/>
      <c r="D3546" s="15"/>
    </row>
    <row r="3547" spans="2:4" x14ac:dyDescent="0.25">
      <c r="B3547" s="68"/>
      <c r="C3547" s="50"/>
      <c r="D3547" s="15"/>
    </row>
    <row r="3548" spans="2:4" x14ac:dyDescent="0.25">
      <c r="B3548" s="68"/>
      <c r="C3548" s="50"/>
      <c r="D3548" s="15"/>
    </row>
    <row r="3549" spans="2:4" x14ac:dyDescent="0.25">
      <c r="B3549" s="68"/>
      <c r="C3549" s="50"/>
      <c r="D3549" s="15"/>
    </row>
    <row r="3550" spans="2:4" x14ac:dyDescent="0.25">
      <c r="B3550" s="68"/>
      <c r="C3550" s="50"/>
      <c r="D3550" s="15"/>
    </row>
    <row r="3551" spans="2:4" x14ac:dyDescent="0.25">
      <c r="B3551" s="68"/>
      <c r="C3551" s="50"/>
      <c r="D3551" s="15"/>
    </row>
    <row r="3552" spans="2:4" x14ac:dyDescent="0.25">
      <c r="B3552" s="68"/>
      <c r="C3552" s="50"/>
      <c r="D3552" s="15"/>
    </row>
    <row r="3553" spans="2:4" x14ac:dyDescent="0.25">
      <c r="B3553" s="68"/>
      <c r="C3553" s="50"/>
      <c r="D3553" s="15"/>
    </row>
    <row r="3554" spans="2:4" x14ac:dyDescent="0.25">
      <c r="B3554" s="68"/>
      <c r="C3554" s="50"/>
      <c r="D3554" s="15"/>
    </row>
    <row r="3555" spans="2:4" x14ac:dyDescent="0.25">
      <c r="B3555" s="68"/>
      <c r="C3555" s="50"/>
      <c r="D3555" s="15"/>
    </row>
    <row r="3556" spans="2:4" x14ac:dyDescent="0.25">
      <c r="B3556" s="68"/>
      <c r="C3556" s="50"/>
      <c r="D3556" s="15"/>
    </row>
    <row r="3557" spans="2:4" x14ac:dyDescent="0.25">
      <c r="B3557" s="68"/>
      <c r="C3557" s="50"/>
      <c r="D3557" s="15"/>
    </row>
    <row r="3558" spans="2:4" x14ac:dyDescent="0.25">
      <c r="B3558" s="68"/>
      <c r="C3558" s="50"/>
      <c r="D3558" s="15"/>
    </row>
    <row r="3559" spans="2:4" x14ac:dyDescent="0.25">
      <c r="B3559" s="68"/>
      <c r="C3559" s="50"/>
      <c r="D3559" s="15"/>
    </row>
    <row r="3560" spans="2:4" x14ac:dyDescent="0.25">
      <c r="B3560" s="68"/>
      <c r="C3560" s="50"/>
      <c r="D3560" s="15"/>
    </row>
    <row r="3561" spans="2:4" x14ac:dyDescent="0.25">
      <c r="B3561" s="68"/>
      <c r="C3561" s="50"/>
      <c r="D3561" s="15"/>
    </row>
    <row r="3562" spans="2:4" x14ac:dyDescent="0.25">
      <c r="B3562" s="68"/>
      <c r="C3562" s="50"/>
      <c r="D3562" s="15"/>
    </row>
    <row r="3563" spans="2:4" x14ac:dyDescent="0.25">
      <c r="B3563" s="68"/>
      <c r="C3563" s="50"/>
      <c r="D3563" s="15"/>
    </row>
    <row r="3564" spans="2:4" x14ac:dyDescent="0.25">
      <c r="B3564" s="68"/>
      <c r="C3564" s="50"/>
      <c r="D3564" s="15"/>
    </row>
    <row r="3565" spans="2:4" x14ac:dyDescent="0.25">
      <c r="B3565" s="68"/>
      <c r="C3565" s="50"/>
      <c r="D3565" s="15"/>
    </row>
    <row r="3566" spans="2:4" x14ac:dyDescent="0.25">
      <c r="B3566" s="68"/>
      <c r="C3566" s="50"/>
      <c r="D3566" s="15"/>
    </row>
    <row r="3567" spans="2:4" x14ac:dyDescent="0.25">
      <c r="B3567" s="68"/>
      <c r="C3567" s="50"/>
      <c r="D3567" s="15"/>
    </row>
    <row r="3568" spans="2:4" x14ac:dyDescent="0.25">
      <c r="B3568" s="68"/>
      <c r="C3568" s="50"/>
      <c r="D3568" s="15"/>
    </row>
    <row r="3569" spans="2:4" x14ac:dyDescent="0.25">
      <c r="B3569" s="68"/>
      <c r="C3569" s="50"/>
      <c r="D3569" s="15"/>
    </row>
    <row r="3570" spans="2:4" x14ac:dyDescent="0.25">
      <c r="B3570" s="68"/>
      <c r="C3570" s="50"/>
      <c r="D3570" s="15"/>
    </row>
    <row r="3571" spans="2:4" x14ac:dyDescent="0.25">
      <c r="B3571" s="68"/>
      <c r="C3571" s="50"/>
      <c r="D3571" s="15"/>
    </row>
    <row r="3572" spans="2:4" x14ac:dyDescent="0.25">
      <c r="B3572" s="68"/>
      <c r="C3572" s="50"/>
      <c r="D3572" s="15"/>
    </row>
    <row r="3573" spans="2:4" x14ac:dyDescent="0.25">
      <c r="B3573" s="68"/>
      <c r="C3573" s="50"/>
      <c r="D3573" s="15"/>
    </row>
    <row r="3574" spans="2:4" x14ac:dyDescent="0.25">
      <c r="B3574" s="68"/>
      <c r="C3574" s="50"/>
      <c r="D3574" s="15"/>
    </row>
    <row r="3575" spans="2:4" x14ac:dyDescent="0.25">
      <c r="B3575" s="68"/>
      <c r="C3575" s="50"/>
      <c r="D3575" s="15"/>
    </row>
    <row r="3576" spans="2:4" x14ac:dyDescent="0.25">
      <c r="B3576" s="68"/>
      <c r="C3576" s="50"/>
      <c r="D3576" s="15"/>
    </row>
    <row r="3577" spans="2:4" x14ac:dyDescent="0.25">
      <c r="B3577" s="68"/>
      <c r="C3577" s="50"/>
      <c r="D3577" s="15"/>
    </row>
    <row r="3578" spans="2:4" x14ac:dyDescent="0.25">
      <c r="B3578" s="68"/>
      <c r="C3578" s="50"/>
      <c r="D3578" s="15"/>
    </row>
    <row r="3579" spans="2:4" x14ac:dyDescent="0.25">
      <c r="B3579" s="68"/>
      <c r="C3579" s="50"/>
      <c r="D3579" s="15"/>
    </row>
    <row r="3580" spans="2:4" x14ac:dyDescent="0.25">
      <c r="B3580" s="68"/>
      <c r="C3580" s="50"/>
      <c r="D3580" s="15"/>
    </row>
    <row r="3581" spans="2:4" x14ac:dyDescent="0.25">
      <c r="B3581" s="68"/>
      <c r="C3581" s="50"/>
      <c r="D3581" s="15"/>
    </row>
    <row r="3582" spans="2:4" x14ac:dyDescent="0.25">
      <c r="B3582" s="68"/>
      <c r="C3582" s="50"/>
      <c r="D3582" s="15"/>
    </row>
    <row r="3583" spans="2:4" x14ac:dyDescent="0.25">
      <c r="B3583" s="68"/>
      <c r="C3583" s="50"/>
      <c r="D3583" s="15"/>
    </row>
    <row r="3584" spans="2:4" x14ac:dyDescent="0.25">
      <c r="B3584" s="68"/>
      <c r="C3584" s="50"/>
      <c r="D3584" s="15"/>
    </row>
    <row r="3585" spans="2:4" x14ac:dyDescent="0.25">
      <c r="B3585" s="68"/>
      <c r="C3585" s="50"/>
      <c r="D3585" s="15"/>
    </row>
    <row r="3586" spans="2:4" x14ac:dyDescent="0.25">
      <c r="B3586" s="68"/>
      <c r="C3586" s="50"/>
      <c r="D3586" s="15"/>
    </row>
    <row r="3587" spans="2:4" x14ac:dyDescent="0.25">
      <c r="B3587" s="68"/>
      <c r="C3587" s="50"/>
      <c r="D3587" s="15"/>
    </row>
    <row r="3588" spans="2:4" x14ac:dyDescent="0.25">
      <c r="B3588" s="68"/>
      <c r="C3588" s="50"/>
      <c r="D3588" s="15"/>
    </row>
    <row r="3589" spans="2:4" x14ac:dyDescent="0.25">
      <c r="B3589" s="68"/>
      <c r="C3589" s="50"/>
      <c r="D3589" s="15"/>
    </row>
    <row r="3590" spans="2:4" x14ac:dyDescent="0.25">
      <c r="B3590" s="68"/>
      <c r="C3590" s="50"/>
      <c r="D3590" s="15"/>
    </row>
    <row r="3591" spans="2:4" x14ac:dyDescent="0.25">
      <c r="B3591" s="68"/>
      <c r="C3591" s="50"/>
      <c r="D3591" s="15"/>
    </row>
    <row r="3592" spans="2:4" x14ac:dyDescent="0.25">
      <c r="B3592" s="68"/>
      <c r="C3592" s="50"/>
      <c r="D3592" s="15"/>
    </row>
    <row r="3593" spans="2:4" x14ac:dyDescent="0.25">
      <c r="B3593" s="68"/>
      <c r="C3593" s="50"/>
      <c r="D3593" s="15"/>
    </row>
    <row r="3594" spans="2:4" x14ac:dyDescent="0.25">
      <c r="B3594" s="68"/>
      <c r="C3594" s="50"/>
      <c r="D3594" s="15"/>
    </row>
    <row r="3595" spans="2:4" x14ac:dyDescent="0.25">
      <c r="B3595" s="68"/>
      <c r="C3595" s="50"/>
      <c r="D3595" s="15"/>
    </row>
    <row r="3596" spans="2:4" x14ac:dyDescent="0.25">
      <c r="B3596" s="68"/>
      <c r="C3596" s="50"/>
      <c r="D3596" s="15"/>
    </row>
    <row r="3597" spans="2:4" x14ac:dyDescent="0.25">
      <c r="B3597" s="68"/>
      <c r="C3597" s="50"/>
      <c r="D3597" s="15"/>
    </row>
    <row r="3598" spans="2:4" x14ac:dyDescent="0.25">
      <c r="B3598" s="68"/>
      <c r="C3598" s="50"/>
      <c r="D3598" s="15"/>
    </row>
    <row r="3599" spans="2:4" x14ac:dyDescent="0.25">
      <c r="B3599" s="68"/>
      <c r="C3599" s="50"/>
      <c r="D3599" s="15"/>
    </row>
    <row r="3600" spans="2:4" x14ac:dyDescent="0.25">
      <c r="B3600" s="68"/>
      <c r="C3600" s="50"/>
      <c r="D3600" s="15"/>
    </row>
    <row r="3601" spans="2:4" x14ac:dyDescent="0.25">
      <c r="B3601" s="68"/>
      <c r="C3601" s="50"/>
      <c r="D3601" s="15"/>
    </row>
    <row r="3602" spans="2:4" x14ac:dyDescent="0.25">
      <c r="B3602" s="68"/>
      <c r="C3602" s="50"/>
      <c r="D3602" s="15"/>
    </row>
    <row r="3603" spans="2:4" x14ac:dyDescent="0.25">
      <c r="B3603" s="68"/>
      <c r="C3603" s="50"/>
      <c r="D3603" s="15"/>
    </row>
    <row r="3604" spans="2:4" x14ac:dyDescent="0.25">
      <c r="B3604" s="68"/>
      <c r="C3604" s="50"/>
      <c r="D3604" s="15"/>
    </row>
    <row r="3605" spans="2:4" x14ac:dyDescent="0.25">
      <c r="B3605" s="68"/>
      <c r="C3605" s="50"/>
      <c r="D3605" s="15"/>
    </row>
    <row r="3606" spans="2:4" x14ac:dyDescent="0.25">
      <c r="B3606" s="68"/>
      <c r="C3606" s="50"/>
      <c r="D3606" s="15"/>
    </row>
    <row r="3607" spans="2:4" x14ac:dyDescent="0.25">
      <c r="B3607" s="68"/>
      <c r="C3607" s="50"/>
      <c r="D3607" s="15"/>
    </row>
    <row r="3608" spans="2:4" x14ac:dyDescent="0.25">
      <c r="B3608" s="68"/>
      <c r="C3608" s="50"/>
      <c r="D3608" s="15"/>
    </row>
    <row r="3609" spans="2:4" x14ac:dyDescent="0.25">
      <c r="B3609" s="68"/>
      <c r="C3609" s="50"/>
      <c r="D3609" s="15"/>
    </row>
    <row r="3610" spans="2:4" x14ac:dyDescent="0.25">
      <c r="B3610" s="68"/>
      <c r="C3610" s="50"/>
      <c r="D3610" s="15"/>
    </row>
    <row r="3611" spans="2:4" x14ac:dyDescent="0.25">
      <c r="B3611" s="68"/>
      <c r="C3611" s="50"/>
      <c r="D3611" s="15"/>
    </row>
    <row r="3612" spans="2:4" x14ac:dyDescent="0.25">
      <c r="B3612" s="68"/>
      <c r="C3612" s="50"/>
      <c r="D3612" s="15"/>
    </row>
    <row r="3613" spans="2:4" x14ac:dyDescent="0.25">
      <c r="B3613" s="68"/>
      <c r="C3613" s="50"/>
      <c r="D3613" s="15"/>
    </row>
    <row r="3614" spans="2:4" x14ac:dyDescent="0.25">
      <c r="B3614" s="68"/>
      <c r="C3614" s="50"/>
      <c r="D3614" s="15"/>
    </row>
    <row r="3615" spans="2:4" x14ac:dyDescent="0.25">
      <c r="B3615" s="68"/>
      <c r="C3615" s="50"/>
      <c r="D3615" s="15"/>
    </row>
    <row r="3616" spans="2:4" x14ac:dyDescent="0.25">
      <c r="B3616" s="68"/>
      <c r="C3616" s="50"/>
      <c r="D3616" s="15"/>
    </row>
    <row r="3617" spans="2:4" x14ac:dyDescent="0.25">
      <c r="B3617" s="68"/>
      <c r="C3617" s="50"/>
      <c r="D3617" s="15"/>
    </row>
    <row r="3618" spans="2:4" x14ac:dyDescent="0.25">
      <c r="B3618" s="68"/>
      <c r="C3618" s="50"/>
      <c r="D3618" s="15"/>
    </row>
    <row r="3619" spans="2:4" x14ac:dyDescent="0.25">
      <c r="B3619" s="68"/>
      <c r="C3619" s="50"/>
      <c r="D3619" s="15"/>
    </row>
    <row r="3620" spans="2:4" x14ac:dyDescent="0.25">
      <c r="B3620" s="68"/>
      <c r="C3620" s="50"/>
      <c r="D3620" s="15"/>
    </row>
    <row r="3621" spans="2:4" x14ac:dyDescent="0.25">
      <c r="B3621" s="68"/>
      <c r="C3621" s="50"/>
      <c r="D3621" s="15"/>
    </row>
    <row r="3622" spans="2:4" x14ac:dyDescent="0.25">
      <c r="B3622" s="68"/>
      <c r="C3622" s="50"/>
      <c r="D3622" s="15"/>
    </row>
    <row r="3623" spans="2:4" x14ac:dyDescent="0.25">
      <c r="B3623" s="68"/>
      <c r="C3623" s="50"/>
      <c r="D3623" s="15"/>
    </row>
    <row r="3624" spans="2:4" x14ac:dyDescent="0.25">
      <c r="B3624" s="68"/>
      <c r="C3624" s="50"/>
      <c r="D3624" s="15"/>
    </row>
    <row r="3625" spans="2:4" x14ac:dyDescent="0.25">
      <c r="B3625" s="68"/>
      <c r="C3625" s="50"/>
      <c r="D3625" s="15"/>
    </row>
    <row r="3626" spans="2:4" x14ac:dyDescent="0.25">
      <c r="B3626" s="68"/>
      <c r="C3626" s="50"/>
      <c r="D3626" s="15"/>
    </row>
    <row r="3627" spans="2:4" x14ac:dyDescent="0.25">
      <c r="B3627" s="68"/>
      <c r="C3627" s="50"/>
      <c r="D3627" s="15"/>
    </row>
    <row r="3628" spans="2:4" x14ac:dyDescent="0.25">
      <c r="B3628" s="68"/>
      <c r="C3628" s="50"/>
      <c r="D3628" s="15"/>
    </row>
    <row r="3629" spans="2:4" x14ac:dyDescent="0.25">
      <c r="B3629" s="68"/>
      <c r="C3629" s="50"/>
      <c r="D3629" s="15"/>
    </row>
    <row r="3630" spans="2:4" x14ac:dyDescent="0.25">
      <c r="B3630" s="68"/>
      <c r="C3630" s="50"/>
      <c r="D3630" s="15"/>
    </row>
    <row r="3631" spans="2:4" x14ac:dyDescent="0.25">
      <c r="B3631" s="68"/>
      <c r="C3631" s="50"/>
      <c r="D3631" s="15"/>
    </row>
    <row r="3632" spans="2:4" x14ac:dyDescent="0.25">
      <c r="B3632" s="68"/>
      <c r="C3632" s="50"/>
      <c r="D3632" s="15"/>
    </row>
    <row r="3633" spans="2:4" x14ac:dyDescent="0.25">
      <c r="B3633" s="68"/>
      <c r="C3633" s="50"/>
      <c r="D3633" s="15"/>
    </row>
    <row r="3634" spans="2:4" x14ac:dyDescent="0.25">
      <c r="B3634" s="68"/>
      <c r="C3634" s="50"/>
      <c r="D3634" s="15"/>
    </row>
    <row r="3635" spans="2:4" x14ac:dyDescent="0.25">
      <c r="B3635" s="68"/>
      <c r="C3635" s="50"/>
      <c r="D3635" s="15"/>
    </row>
    <row r="3636" spans="2:4" x14ac:dyDescent="0.25">
      <c r="B3636" s="68"/>
      <c r="C3636" s="50"/>
      <c r="D3636" s="15"/>
    </row>
    <row r="3637" spans="2:4" x14ac:dyDescent="0.25">
      <c r="B3637" s="68"/>
      <c r="C3637" s="50"/>
      <c r="D3637" s="15"/>
    </row>
    <row r="3638" spans="2:4" x14ac:dyDescent="0.25">
      <c r="B3638" s="68"/>
      <c r="C3638" s="50"/>
      <c r="D3638" s="15"/>
    </row>
    <row r="3639" spans="2:4" x14ac:dyDescent="0.25">
      <c r="B3639" s="68"/>
      <c r="C3639" s="50"/>
      <c r="D3639" s="15"/>
    </row>
    <row r="3640" spans="2:4" x14ac:dyDescent="0.25">
      <c r="B3640" s="68"/>
      <c r="C3640" s="50"/>
      <c r="D3640" s="15"/>
    </row>
    <row r="3641" spans="2:4" x14ac:dyDescent="0.25">
      <c r="B3641" s="68"/>
      <c r="C3641" s="50"/>
      <c r="D3641" s="15"/>
    </row>
    <row r="3642" spans="2:4" x14ac:dyDescent="0.25">
      <c r="B3642" s="68"/>
      <c r="C3642" s="50"/>
      <c r="D3642" s="15"/>
    </row>
    <row r="3643" spans="2:4" x14ac:dyDescent="0.25">
      <c r="B3643" s="68"/>
      <c r="C3643" s="50"/>
      <c r="D3643" s="15"/>
    </row>
    <row r="3644" spans="2:4" x14ac:dyDescent="0.25">
      <c r="B3644" s="68"/>
      <c r="C3644" s="50"/>
      <c r="D3644" s="15"/>
    </row>
    <row r="3645" spans="2:4" x14ac:dyDescent="0.25">
      <c r="B3645" s="68"/>
      <c r="C3645" s="50"/>
      <c r="D3645" s="15"/>
    </row>
    <row r="3646" spans="2:4" x14ac:dyDescent="0.25">
      <c r="B3646" s="68"/>
      <c r="C3646" s="50"/>
      <c r="D3646" s="15"/>
    </row>
    <row r="3647" spans="2:4" x14ac:dyDescent="0.25">
      <c r="B3647" s="68"/>
      <c r="C3647" s="50"/>
      <c r="D3647" s="15"/>
    </row>
    <row r="3648" spans="2:4" x14ac:dyDescent="0.25">
      <c r="B3648" s="68"/>
      <c r="C3648" s="50"/>
      <c r="D3648" s="15"/>
    </row>
    <row r="3649" spans="2:4" x14ac:dyDescent="0.25">
      <c r="B3649" s="68"/>
      <c r="C3649" s="50"/>
      <c r="D3649" s="15"/>
    </row>
    <row r="3650" spans="2:4" x14ac:dyDescent="0.25">
      <c r="B3650" s="68"/>
      <c r="C3650" s="50"/>
      <c r="D3650" s="15"/>
    </row>
    <row r="3651" spans="2:4" x14ac:dyDescent="0.25">
      <c r="B3651" s="68"/>
      <c r="C3651" s="50"/>
      <c r="D3651" s="15"/>
    </row>
    <row r="3652" spans="2:4" x14ac:dyDescent="0.25">
      <c r="B3652" s="68"/>
      <c r="C3652" s="50"/>
      <c r="D3652" s="15"/>
    </row>
    <row r="3653" spans="2:4" x14ac:dyDescent="0.25">
      <c r="B3653" s="68"/>
      <c r="C3653" s="50"/>
      <c r="D3653" s="15"/>
    </row>
    <row r="3654" spans="2:4" x14ac:dyDescent="0.25">
      <c r="B3654" s="68"/>
      <c r="C3654" s="50"/>
      <c r="D3654" s="15"/>
    </row>
    <row r="3655" spans="2:4" x14ac:dyDescent="0.25">
      <c r="B3655" s="68"/>
      <c r="C3655" s="50"/>
      <c r="D3655" s="15"/>
    </row>
    <row r="3656" spans="2:4" x14ac:dyDescent="0.25">
      <c r="B3656" s="68"/>
      <c r="C3656" s="50"/>
      <c r="D3656" s="15"/>
    </row>
    <row r="3657" spans="2:4" x14ac:dyDescent="0.25">
      <c r="B3657" s="68"/>
      <c r="C3657" s="50"/>
      <c r="D3657" s="15"/>
    </row>
    <row r="3658" spans="2:4" x14ac:dyDescent="0.25">
      <c r="B3658" s="68"/>
      <c r="C3658" s="50"/>
      <c r="D3658" s="15"/>
    </row>
    <row r="3659" spans="2:4" x14ac:dyDescent="0.25">
      <c r="B3659" s="68"/>
      <c r="C3659" s="50"/>
      <c r="D3659" s="15"/>
    </row>
    <row r="3660" spans="2:4" x14ac:dyDescent="0.25">
      <c r="B3660" s="68"/>
      <c r="C3660" s="50"/>
      <c r="D3660" s="15"/>
    </row>
    <row r="3661" spans="2:4" x14ac:dyDescent="0.25">
      <c r="B3661" s="68"/>
      <c r="C3661" s="50"/>
      <c r="D3661" s="15"/>
    </row>
    <row r="3662" spans="2:4" x14ac:dyDescent="0.25">
      <c r="B3662" s="68"/>
      <c r="C3662" s="50"/>
      <c r="D3662" s="15"/>
    </row>
    <row r="3663" spans="2:4" x14ac:dyDescent="0.25">
      <c r="B3663" s="68"/>
      <c r="C3663" s="50"/>
      <c r="D3663" s="15"/>
    </row>
    <row r="3664" spans="2:4" x14ac:dyDescent="0.25">
      <c r="B3664" s="68"/>
      <c r="C3664" s="50"/>
      <c r="D3664" s="15"/>
    </row>
    <row r="3665" spans="2:4" x14ac:dyDescent="0.25">
      <c r="B3665" s="68"/>
      <c r="C3665" s="50"/>
      <c r="D3665" s="15"/>
    </row>
    <row r="3666" spans="2:4" x14ac:dyDescent="0.25">
      <c r="B3666" s="68"/>
      <c r="C3666" s="50"/>
      <c r="D3666" s="15"/>
    </row>
    <row r="3667" spans="2:4" x14ac:dyDescent="0.25">
      <c r="B3667" s="68"/>
      <c r="C3667" s="50"/>
      <c r="D3667" s="15"/>
    </row>
    <row r="3668" spans="2:4" x14ac:dyDescent="0.25">
      <c r="B3668" s="68"/>
      <c r="C3668" s="50"/>
      <c r="D3668" s="15"/>
    </row>
    <row r="3669" spans="2:4" x14ac:dyDescent="0.25">
      <c r="B3669" s="68"/>
      <c r="C3669" s="50"/>
      <c r="D3669" s="15"/>
    </row>
    <row r="3670" spans="2:4" x14ac:dyDescent="0.25">
      <c r="B3670" s="68"/>
      <c r="C3670" s="50"/>
      <c r="D3670" s="15"/>
    </row>
    <row r="3671" spans="2:4" x14ac:dyDescent="0.25">
      <c r="B3671" s="68"/>
      <c r="C3671" s="50"/>
      <c r="D3671" s="15"/>
    </row>
    <row r="3672" spans="2:4" x14ac:dyDescent="0.25">
      <c r="B3672" s="68"/>
      <c r="C3672" s="50"/>
      <c r="D3672" s="15"/>
    </row>
    <row r="3673" spans="2:4" x14ac:dyDescent="0.25">
      <c r="B3673" s="68"/>
      <c r="C3673" s="50"/>
      <c r="D3673" s="15"/>
    </row>
    <row r="3674" spans="2:4" x14ac:dyDescent="0.25">
      <c r="B3674" s="68"/>
      <c r="C3674" s="50"/>
      <c r="D3674" s="15"/>
    </row>
    <row r="3675" spans="2:4" x14ac:dyDescent="0.25">
      <c r="B3675" s="68"/>
      <c r="C3675" s="50"/>
      <c r="D3675" s="15"/>
    </row>
    <row r="3676" spans="2:4" x14ac:dyDescent="0.25">
      <c r="B3676" s="68"/>
      <c r="C3676" s="50"/>
      <c r="D3676" s="15"/>
    </row>
    <row r="3677" spans="2:4" x14ac:dyDescent="0.25">
      <c r="B3677" s="68"/>
      <c r="C3677" s="50"/>
      <c r="D3677" s="15"/>
    </row>
    <row r="3678" spans="2:4" x14ac:dyDescent="0.25">
      <c r="B3678" s="68"/>
      <c r="C3678" s="50"/>
      <c r="D3678" s="15"/>
    </row>
    <row r="3679" spans="2:4" x14ac:dyDescent="0.25">
      <c r="B3679" s="68"/>
      <c r="C3679" s="50"/>
      <c r="D3679" s="15"/>
    </row>
    <row r="3680" spans="2:4" x14ac:dyDescent="0.25">
      <c r="B3680" s="68"/>
      <c r="C3680" s="50"/>
      <c r="D3680" s="15"/>
    </row>
    <row r="3681" spans="2:4" x14ac:dyDescent="0.25">
      <c r="B3681" s="68"/>
      <c r="C3681" s="50"/>
      <c r="D3681" s="15"/>
    </row>
    <row r="3682" spans="2:4" x14ac:dyDescent="0.25">
      <c r="B3682" s="68"/>
      <c r="C3682" s="50"/>
      <c r="D3682" s="15"/>
    </row>
    <row r="3683" spans="2:4" x14ac:dyDescent="0.25">
      <c r="B3683" s="68"/>
      <c r="C3683" s="50"/>
      <c r="D3683" s="15"/>
    </row>
    <row r="3684" spans="2:4" x14ac:dyDescent="0.25">
      <c r="B3684" s="68"/>
      <c r="C3684" s="50"/>
      <c r="D3684" s="15"/>
    </row>
    <row r="3685" spans="2:4" x14ac:dyDescent="0.25">
      <c r="B3685" s="68"/>
      <c r="C3685" s="50"/>
      <c r="D3685" s="15"/>
    </row>
    <row r="3686" spans="2:4" x14ac:dyDescent="0.25">
      <c r="B3686" s="68"/>
      <c r="C3686" s="50"/>
      <c r="D3686" s="15"/>
    </row>
    <row r="3687" spans="2:4" x14ac:dyDescent="0.25">
      <c r="B3687" s="68"/>
      <c r="C3687" s="50"/>
      <c r="D3687" s="15"/>
    </row>
    <row r="3688" spans="2:4" x14ac:dyDescent="0.25">
      <c r="B3688" s="68"/>
      <c r="C3688" s="50"/>
      <c r="D3688" s="15"/>
    </row>
    <row r="3689" spans="2:4" x14ac:dyDescent="0.25">
      <c r="B3689" s="68"/>
      <c r="C3689" s="50"/>
      <c r="D3689" s="15"/>
    </row>
    <row r="3690" spans="2:4" x14ac:dyDescent="0.25">
      <c r="B3690" s="68"/>
      <c r="C3690" s="50"/>
      <c r="D3690" s="15"/>
    </row>
    <row r="3691" spans="2:4" x14ac:dyDescent="0.25">
      <c r="B3691" s="68"/>
      <c r="C3691" s="50"/>
      <c r="D3691" s="15"/>
    </row>
    <row r="3692" spans="2:4" x14ac:dyDescent="0.25">
      <c r="B3692" s="68"/>
      <c r="C3692" s="50"/>
      <c r="D3692" s="15"/>
    </row>
    <row r="3693" spans="2:4" x14ac:dyDescent="0.25">
      <c r="B3693" s="68"/>
      <c r="C3693" s="50"/>
      <c r="D3693" s="15"/>
    </row>
    <row r="3694" spans="2:4" x14ac:dyDescent="0.25">
      <c r="B3694" s="68"/>
      <c r="C3694" s="50"/>
      <c r="D3694" s="15"/>
    </row>
    <row r="3695" spans="2:4" x14ac:dyDescent="0.25">
      <c r="B3695" s="68"/>
      <c r="C3695" s="50"/>
      <c r="D3695" s="15"/>
    </row>
    <row r="3696" spans="2:4" x14ac:dyDescent="0.25">
      <c r="B3696" s="68"/>
      <c r="C3696" s="50"/>
      <c r="D3696" s="15"/>
    </row>
    <row r="3697" spans="2:4" x14ac:dyDescent="0.25">
      <c r="B3697" s="68"/>
      <c r="C3697" s="50"/>
      <c r="D3697" s="15"/>
    </row>
    <row r="3698" spans="2:4" x14ac:dyDescent="0.25">
      <c r="B3698" s="68"/>
      <c r="C3698" s="50"/>
      <c r="D3698" s="15"/>
    </row>
    <row r="3699" spans="2:4" x14ac:dyDescent="0.25">
      <c r="B3699" s="68"/>
      <c r="C3699" s="50"/>
      <c r="D3699" s="15"/>
    </row>
    <row r="3700" spans="2:4" x14ac:dyDescent="0.25">
      <c r="B3700" s="68"/>
      <c r="C3700" s="50"/>
      <c r="D3700" s="15"/>
    </row>
    <row r="3701" spans="2:4" x14ac:dyDescent="0.25">
      <c r="B3701" s="68"/>
      <c r="C3701" s="50"/>
      <c r="D3701" s="15"/>
    </row>
    <row r="3702" spans="2:4" x14ac:dyDescent="0.25">
      <c r="B3702" s="68"/>
      <c r="C3702" s="50"/>
      <c r="D3702" s="15"/>
    </row>
    <row r="3703" spans="2:4" x14ac:dyDescent="0.25">
      <c r="B3703" s="68"/>
      <c r="C3703" s="50"/>
      <c r="D3703" s="15"/>
    </row>
    <row r="3704" spans="2:4" x14ac:dyDescent="0.25">
      <c r="B3704" s="68"/>
      <c r="C3704" s="50"/>
      <c r="D3704" s="15"/>
    </row>
    <row r="3705" spans="2:4" x14ac:dyDescent="0.25">
      <c r="B3705" s="68"/>
      <c r="C3705" s="50"/>
      <c r="D3705" s="15"/>
    </row>
    <row r="3706" spans="2:4" x14ac:dyDescent="0.25">
      <c r="B3706" s="68"/>
      <c r="C3706" s="50"/>
      <c r="D3706" s="15"/>
    </row>
    <row r="3707" spans="2:4" x14ac:dyDescent="0.25">
      <c r="B3707" s="68"/>
      <c r="C3707" s="50"/>
      <c r="D3707" s="15"/>
    </row>
    <row r="3708" spans="2:4" x14ac:dyDescent="0.25">
      <c r="B3708" s="68"/>
      <c r="C3708" s="50"/>
      <c r="D3708" s="15"/>
    </row>
    <row r="3709" spans="2:4" x14ac:dyDescent="0.25">
      <c r="B3709" s="68"/>
      <c r="C3709" s="50"/>
      <c r="D3709" s="15"/>
    </row>
    <row r="3710" spans="2:4" x14ac:dyDescent="0.25">
      <c r="B3710" s="68"/>
      <c r="C3710" s="50"/>
      <c r="D3710" s="15"/>
    </row>
    <row r="3711" spans="2:4" x14ac:dyDescent="0.25">
      <c r="B3711" s="68"/>
      <c r="C3711" s="50"/>
      <c r="D3711" s="15"/>
    </row>
    <row r="3712" spans="2:4" x14ac:dyDescent="0.25">
      <c r="B3712" s="68"/>
      <c r="C3712" s="50"/>
      <c r="D3712" s="15"/>
    </row>
    <row r="3713" spans="2:4" x14ac:dyDescent="0.25">
      <c r="B3713" s="68"/>
      <c r="C3713" s="50"/>
      <c r="D3713" s="15"/>
    </row>
    <row r="3714" spans="2:4" x14ac:dyDescent="0.25">
      <c r="B3714" s="68"/>
      <c r="C3714" s="50"/>
      <c r="D3714" s="15"/>
    </row>
    <row r="3715" spans="2:4" x14ac:dyDescent="0.25">
      <c r="B3715" s="68"/>
      <c r="C3715" s="50"/>
      <c r="D3715" s="15"/>
    </row>
    <row r="3716" spans="2:4" x14ac:dyDescent="0.25">
      <c r="B3716" s="68"/>
      <c r="C3716" s="50"/>
      <c r="D3716" s="15"/>
    </row>
    <row r="3717" spans="2:4" x14ac:dyDescent="0.25">
      <c r="B3717" s="68"/>
      <c r="C3717" s="50"/>
      <c r="D3717" s="15"/>
    </row>
    <row r="3718" spans="2:4" x14ac:dyDescent="0.25">
      <c r="B3718" s="68"/>
      <c r="C3718" s="50"/>
      <c r="D3718" s="15"/>
    </row>
    <row r="3719" spans="2:4" x14ac:dyDescent="0.25">
      <c r="B3719" s="68"/>
      <c r="C3719" s="50"/>
      <c r="D3719" s="15"/>
    </row>
    <row r="3720" spans="2:4" x14ac:dyDescent="0.25">
      <c r="B3720" s="68"/>
      <c r="C3720" s="50"/>
      <c r="D3720" s="15"/>
    </row>
    <row r="3721" spans="2:4" x14ac:dyDescent="0.25">
      <c r="B3721" s="68"/>
      <c r="C3721" s="50"/>
      <c r="D3721" s="15"/>
    </row>
    <row r="3722" spans="2:4" x14ac:dyDescent="0.25">
      <c r="B3722" s="68"/>
      <c r="C3722" s="50"/>
      <c r="D3722" s="15"/>
    </row>
    <row r="3723" spans="2:4" x14ac:dyDescent="0.25">
      <c r="B3723" s="68"/>
      <c r="C3723" s="50"/>
      <c r="D3723" s="15"/>
    </row>
    <row r="3724" spans="2:4" x14ac:dyDescent="0.25">
      <c r="B3724" s="68"/>
      <c r="C3724" s="50"/>
      <c r="D3724" s="15"/>
    </row>
    <row r="3725" spans="2:4" x14ac:dyDescent="0.25">
      <c r="B3725" s="68"/>
      <c r="C3725" s="50"/>
      <c r="D3725" s="15"/>
    </row>
    <row r="3726" spans="2:4" x14ac:dyDescent="0.25">
      <c r="B3726" s="68"/>
      <c r="C3726" s="50"/>
      <c r="D3726" s="15"/>
    </row>
    <row r="3727" spans="2:4" x14ac:dyDescent="0.25">
      <c r="B3727" s="68"/>
      <c r="C3727" s="50"/>
      <c r="D3727" s="15"/>
    </row>
    <row r="3728" spans="2:4" x14ac:dyDescent="0.25">
      <c r="B3728" s="68"/>
      <c r="C3728" s="50"/>
      <c r="D3728" s="15"/>
    </row>
    <row r="3729" spans="2:4" x14ac:dyDescent="0.25">
      <c r="B3729" s="68"/>
      <c r="C3729" s="50"/>
      <c r="D3729" s="15"/>
    </row>
    <row r="3730" spans="2:4" x14ac:dyDescent="0.25">
      <c r="B3730" s="68"/>
      <c r="C3730" s="50"/>
      <c r="D3730" s="15"/>
    </row>
    <row r="3731" spans="2:4" x14ac:dyDescent="0.25">
      <c r="B3731" s="68"/>
      <c r="C3731" s="50"/>
      <c r="D3731" s="15"/>
    </row>
    <row r="3732" spans="2:4" x14ac:dyDescent="0.25">
      <c r="B3732" s="68"/>
      <c r="C3732" s="50"/>
      <c r="D3732" s="15"/>
    </row>
    <row r="3733" spans="2:4" x14ac:dyDescent="0.25">
      <c r="B3733" s="68"/>
      <c r="C3733" s="50"/>
      <c r="D3733" s="15"/>
    </row>
    <row r="3734" spans="2:4" x14ac:dyDescent="0.25">
      <c r="B3734" s="68"/>
      <c r="C3734" s="50"/>
      <c r="D3734" s="15"/>
    </row>
    <row r="3735" spans="2:4" x14ac:dyDescent="0.25">
      <c r="B3735" s="68"/>
      <c r="C3735" s="50"/>
      <c r="D3735" s="15"/>
    </row>
    <row r="3736" spans="2:4" x14ac:dyDescent="0.25">
      <c r="B3736" s="68"/>
      <c r="C3736" s="50"/>
      <c r="D3736" s="15"/>
    </row>
    <row r="3737" spans="2:4" x14ac:dyDescent="0.25">
      <c r="B3737" s="68"/>
      <c r="C3737" s="50"/>
      <c r="D3737" s="15"/>
    </row>
    <row r="3738" spans="2:4" x14ac:dyDescent="0.25">
      <c r="B3738" s="68"/>
      <c r="C3738" s="50"/>
      <c r="D3738" s="15"/>
    </row>
    <row r="3739" spans="2:4" x14ac:dyDescent="0.25">
      <c r="B3739" s="68"/>
      <c r="C3739" s="50"/>
      <c r="D3739" s="15"/>
    </row>
    <row r="3740" spans="2:4" x14ac:dyDescent="0.25">
      <c r="B3740" s="68"/>
      <c r="C3740" s="50"/>
      <c r="D3740" s="15"/>
    </row>
    <row r="3741" spans="2:4" x14ac:dyDescent="0.25">
      <c r="B3741" s="68"/>
      <c r="C3741" s="50"/>
      <c r="D3741" s="15"/>
    </row>
    <row r="3742" spans="2:4" x14ac:dyDescent="0.25">
      <c r="B3742" s="68"/>
      <c r="C3742" s="50"/>
      <c r="D3742" s="15"/>
    </row>
    <row r="3743" spans="2:4" x14ac:dyDescent="0.25">
      <c r="B3743" s="68"/>
      <c r="C3743" s="50"/>
      <c r="D3743" s="15"/>
    </row>
    <row r="3744" spans="2:4" x14ac:dyDescent="0.25">
      <c r="B3744" s="68"/>
      <c r="C3744" s="50"/>
      <c r="D3744" s="15"/>
    </row>
    <row r="3745" spans="2:4" x14ac:dyDescent="0.25">
      <c r="B3745" s="68"/>
      <c r="C3745" s="50"/>
      <c r="D3745" s="15"/>
    </row>
    <row r="3746" spans="2:4" x14ac:dyDescent="0.25">
      <c r="B3746" s="68"/>
      <c r="C3746" s="50"/>
      <c r="D3746" s="15"/>
    </row>
    <row r="3747" spans="2:4" x14ac:dyDescent="0.25">
      <c r="B3747" s="68"/>
      <c r="C3747" s="50"/>
      <c r="D3747" s="15"/>
    </row>
    <row r="3748" spans="2:4" x14ac:dyDescent="0.25">
      <c r="B3748" s="68"/>
      <c r="C3748" s="50"/>
      <c r="D3748" s="15"/>
    </row>
    <row r="3749" spans="2:4" x14ac:dyDescent="0.25">
      <c r="B3749" s="68"/>
      <c r="C3749" s="50"/>
      <c r="D3749" s="15"/>
    </row>
    <row r="3750" spans="2:4" x14ac:dyDescent="0.25">
      <c r="B3750" s="68"/>
      <c r="C3750" s="50"/>
      <c r="D3750" s="15"/>
    </row>
    <row r="3751" spans="2:4" x14ac:dyDescent="0.25">
      <c r="B3751" s="68"/>
      <c r="C3751" s="50"/>
      <c r="D3751" s="15"/>
    </row>
    <row r="3752" spans="2:4" x14ac:dyDescent="0.25">
      <c r="B3752" s="68"/>
      <c r="C3752" s="50"/>
      <c r="D3752" s="15"/>
    </row>
    <row r="3753" spans="2:4" x14ac:dyDescent="0.25">
      <c r="B3753" s="68"/>
      <c r="C3753" s="50"/>
      <c r="D3753" s="15"/>
    </row>
    <row r="3754" spans="2:4" x14ac:dyDescent="0.25">
      <c r="B3754" s="68"/>
      <c r="C3754" s="50"/>
      <c r="D3754" s="15"/>
    </row>
    <row r="3755" spans="2:4" x14ac:dyDescent="0.25">
      <c r="B3755" s="68"/>
      <c r="C3755" s="50"/>
      <c r="D3755" s="15"/>
    </row>
    <row r="3756" spans="2:4" x14ac:dyDescent="0.25">
      <c r="B3756" s="68"/>
      <c r="C3756" s="50"/>
      <c r="D3756" s="15"/>
    </row>
    <row r="3757" spans="2:4" x14ac:dyDescent="0.25">
      <c r="B3757" s="68"/>
      <c r="C3757" s="50"/>
      <c r="D3757" s="15"/>
    </row>
    <row r="3758" spans="2:4" x14ac:dyDescent="0.25">
      <c r="B3758" s="68"/>
      <c r="C3758" s="50"/>
      <c r="D3758" s="15"/>
    </row>
    <row r="3759" spans="2:4" x14ac:dyDescent="0.25">
      <c r="B3759" s="68"/>
      <c r="C3759" s="50"/>
      <c r="D3759" s="15"/>
    </row>
    <row r="3760" spans="2:4" x14ac:dyDescent="0.25">
      <c r="B3760" s="68"/>
      <c r="C3760" s="50"/>
      <c r="D3760" s="15"/>
    </row>
    <row r="3761" spans="2:4" x14ac:dyDescent="0.25">
      <c r="B3761" s="68"/>
      <c r="C3761" s="50"/>
      <c r="D3761" s="15"/>
    </row>
    <row r="3762" spans="2:4" x14ac:dyDescent="0.25">
      <c r="B3762" s="68"/>
      <c r="C3762" s="50"/>
      <c r="D3762" s="15"/>
    </row>
    <row r="3763" spans="2:4" x14ac:dyDescent="0.25">
      <c r="B3763" s="68"/>
      <c r="C3763" s="50"/>
      <c r="D3763" s="15"/>
    </row>
    <row r="3764" spans="2:4" x14ac:dyDescent="0.25">
      <c r="B3764" s="68"/>
      <c r="C3764" s="50"/>
      <c r="D3764" s="15"/>
    </row>
    <row r="3765" spans="2:4" x14ac:dyDescent="0.25">
      <c r="B3765" s="68"/>
      <c r="C3765" s="50"/>
      <c r="D3765" s="15"/>
    </row>
    <row r="3766" spans="2:4" x14ac:dyDescent="0.25">
      <c r="B3766" s="68"/>
      <c r="C3766" s="50"/>
      <c r="D3766" s="15"/>
    </row>
    <row r="3767" spans="2:4" x14ac:dyDescent="0.25">
      <c r="B3767" s="68"/>
      <c r="C3767" s="50"/>
      <c r="D3767" s="15"/>
    </row>
    <row r="3768" spans="2:4" x14ac:dyDescent="0.25">
      <c r="B3768" s="68"/>
      <c r="C3768" s="50"/>
      <c r="D3768" s="15"/>
    </row>
    <row r="3769" spans="2:4" x14ac:dyDescent="0.25">
      <c r="B3769" s="68"/>
      <c r="C3769" s="50"/>
      <c r="D3769" s="15"/>
    </row>
    <row r="3770" spans="2:4" x14ac:dyDescent="0.25">
      <c r="B3770" s="68"/>
      <c r="C3770" s="50"/>
      <c r="D3770" s="15"/>
    </row>
    <row r="3771" spans="2:4" x14ac:dyDescent="0.25">
      <c r="B3771" s="68"/>
      <c r="C3771" s="50"/>
      <c r="D3771" s="15"/>
    </row>
    <row r="3772" spans="2:4" x14ac:dyDescent="0.25">
      <c r="B3772" s="68"/>
      <c r="C3772" s="50"/>
      <c r="D3772" s="15"/>
    </row>
    <row r="3773" spans="2:4" x14ac:dyDescent="0.25">
      <c r="B3773" s="68"/>
      <c r="C3773" s="50"/>
      <c r="D3773" s="15"/>
    </row>
  </sheetData>
  <mergeCells count="4">
    <mergeCell ref="B2:E2"/>
    <mergeCell ref="B4:D4"/>
    <mergeCell ref="G4:I4"/>
    <mergeCell ref="L4:M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3773"/>
  <sheetViews>
    <sheetView showGridLines="0" workbookViewId="0">
      <pane ySplit="4" topLeftCell="A5" activePane="bottomLeft" state="frozen"/>
      <selection pane="bottomLeft" activeCell="E13" sqref="E13"/>
    </sheetView>
  </sheetViews>
  <sheetFormatPr defaultRowHeight="15" x14ac:dyDescent="0.25"/>
  <cols>
    <col min="1" max="1" width="1.85546875" style="75" customWidth="1"/>
    <col min="2" max="2" width="12.28515625" style="75" customWidth="1"/>
    <col min="3" max="3" width="9" style="75" customWidth="1"/>
    <col min="4" max="4" width="11" style="75" customWidth="1"/>
    <col min="5" max="6" width="9.140625" style="75"/>
    <col min="7" max="7" width="10.42578125" style="75" bestFit="1" customWidth="1"/>
    <col min="8" max="8" width="12.28515625" style="75" bestFit="1" customWidth="1"/>
    <col min="9" max="9" width="9" style="75" customWidth="1"/>
    <col min="10" max="11" width="9.140625" style="75"/>
    <col min="12" max="12" width="18.85546875" style="75" customWidth="1"/>
    <col min="13" max="16384" width="9.140625" style="75"/>
  </cols>
  <sheetData>
    <row r="2" spans="2:25" x14ac:dyDescent="0.25">
      <c r="B2" s="96" t="s">
        <v>54</v>
      </c>
      <c r="C2" s="96"/>
      <c r="D2" s="96"/>
      <c r="E2" s="96"/>
    </row>
    <row r="3" spans="2:25" x14ac:dyDescent="0.25">
      <c r="B3" s="65"/>
      <c r="C3" s="65"/>
      <c r="D3" s="65"/>
      <c r="E3" s="65"/>
    </row>
    <row r="4" spans="2:25" x14ac:dyDescent="0.25">
      <c r="B4" s="97" t="s">
        <v>94</v>
      </c>
      <c r="C4" s="97"/>
      <c r="D4" s="97"/>
      <c r="E4" s="66"/>
      <c r="G4" s="97" t="s">
        <v>55</v>
      </c>
      <c r="H4" s="97"/>
      <c r="I4" s="97"/>
      <c r="J4" s="66"/>
      <c r="L4" s="97" t="s">
        <v>56</v>
      </c>
      <c r="M4" s="97"/>
    </row>
    <row r="6" spans="2:25" x14ac:dyDescent="0.25">
      <c r="B6" s="51" t="s">
        <v>51</v>
      </c>
      <c r="C6" s="49" t="s">
        <v>52</v>
      </c>
      <c r="D6" s="53" t="s">
        <v>53</v>
      </c>
      <c r="G6" s="51" t="s">
        <v>51</v>
      </c>
      <c r="H6" s="49" t="s">
        <v>52</v>
      </c>
      <c r="I6" s="53" t="s">
        <v>53</v>
      </c>
      <c r="L6" s="75" t="s">
        <v>57</v>
      </c>
      <c r="M6" s="61">
        <f>P6</f>
        <v>1.5841972394991688</v>
      </c>
      <c r="O6" s="75" t="s">
        <v>86</v>
      </c>
      <c r="P6" s="60">
        <f>N33</f>
        <v>1.5841972394991688</v>
      </c>
    </row>
    <row r="7" spans="2:25" x14ac:dyDescent="0.25">
      <c r="B7" s="68">
        <v>45614</v>
      </c>
      <c r="C7" s="50">
        <v>1511.786010742188</v>
      </c>
      <c r="G7" s="69">
        <v>45614</v>
      </c>
      <c r="H7" s="50">
        <v>23453.80078125</v>
      </c>
      <c r="I7" s="54"/>
      <c r="L7" s="75" t="s">
        <v>58</v>
      </c>
      <c r="M7" s="62">
        <v>0.75</v>
      </c>
    </row>
    <row r="8" spans="2:25" x14ac:dyDescent="0.25">
      <c r="B8" s="68">
        <v>45615</v>
      </c>
      <c r="C8" s="50">
        <v>1521.25244140625</v>
      </c>
      <c r="D8" s="15">
        <f>C8/C7-1</f>
        <v>6.2617530502313556E-3</v>
      </c>
      <c r="G8" s="69">
        <v>45615</v>
      </c>
      <c r="H8" s="50">
        <v>23518.5</v>
      </c>
      <c r="I8" s="55">
        <f>H8/H7-1</f>
        <v>2.758581406631766E-3</v>
      </c>
    </row>
    <row r="9" spans="2:25" x14ac:dyDescent="0.25">
      <c r="B9" s="68">
        <v>45617</v>
      </c>
      <c r="C9" s="50">
        <v>1499.356567382812</v>
      </c>
      <c r="D9" s="15">
        <f t="shared" ref="D9:D72" si="0">C9/C8-1</f>
        <v>-1.4393320547901545E-2</v>
      </c>
      <c r="G9" s="69">
        <v>45617</v>
      </c>
      <c r="H9" s="50">
        <v>23349.900390625</v>
      </c>
      <c r="I9" s="55">
        <f>H9/H8-1</f>
        <v>-7.1688079331164722E-3</v>
      </c>
      <c r="L9" s="75" t="s">
        <v>59</v>
      </c>
      <c r="M9" s="60">
        <v>1</v>
      </c>
    </row>
    <row r="10" spans="2:25" x14ac:dyDescent="0.25">
      <c r="B10" s="68">
        <v>45618</v>
      </c>
      <c r="C10" s="50">
        <v>1596.037231445312</v>
      </c>
      <c r="D10" s="15">
        <f t="shared" si="0"/>
        <v>6.4481435680946886E-2</v>
      </c>
      <c r="G10" s="69">
        <v>45618</v>
      </c>
      <c r="H10" s="50">
        <v>23907.25</v>
      </c>
      <c r="I10" s="55">
        <f t="shared" ref="I10:I73" si="1">H10/H9-1</f>
        <v>2.3869464111237804E-2</v>
      </c>
      <c r="L10" s="75" t="s">
        <v>60</v>
      </c>
      <c r="M10" s="62">
        <v>0.25</v>
      </c>
    </row>
    <row r="11" spans="2:25" x14ac:dyDescent="0.25">
      <c r="B11" s="68">
        <v>45621</v>
      </c>
      <c r="C11" s="50">
        <v>1635.0107421875</v>
      </c>
      <c r="D11" s="15">
        <f t="shared" si="0"/>
        <v>2.4418923302243378E-2</v>
      </c>
      <c r="G11" s="69">
        <v>45621</v>
      </c>
      <c r="H11" s="50">
        <v>24221.900390625</v>
      </c>
      <c r="I11" s="55">
        <f t="shared" si="1"/>
        <v>1.3161295867362366E-2</v>
      </c>
    </row>
    <row r="12" spans="2:25" x14ac:dyDescent="0.25">
      <c r="B12" s="68">
        <v>45622</v>
      </c>
      <c r="C12" s="50">
        <v>1645.434936523438</v>
      </c>
      <c r="D12" s="15">
        <f t="shared" si="0"/>
        <v>6.3756121393987453E-3</v>
      </c>
      <c r="G12" s="69">
        <v>45622</v>
      </c>
      <c r="H12" s="50">
        <v>24194.5</v>
      </c>
      <c r="I12" s="55">
        <f t="shared" si="1"/>
        <v>-1.1312238174179257E-3</v>
      </c>
      <c r="L12" s="63" t="s">
        <v>87</v>
      </c>
      <c r="M12" s="64">
        <f>(M6*M7)+(M9*M10)</f>
        <v>1.4381479296243767</v>
      </c>
    </row>
    <row r="13" spans="2:25" x14ac:dyDescent="0.25">
      <c r="B13" s="68">
        <v>45623</v>
      </c>
      <c r="C13" s="50">
        <v>1664.437866210938</v>
      </c>
      <c r="D13" s="15">
        <f t="shared" si="0"/>
        <v>1.1548879427375258E-2</v>
      </c>
      <c r="G13" s="69">
        <v>45623</v>
      </c>
      <c r="H13" s="50">
        <v>24274.900390625</v>
      </c>
      <c r="I13" s="55">
        <f t="shared" si="1"/>
        <v>3.3230854378061281E-3</v>
      </c>
    </row>
    <row r="14" spans="2:25" x14ac:dyDescent="0.25">
      <c r="B14" s="68">
        <v>45624</v>
      </c>
      <c r="C14" s="50">
        <v>1636.33740234375</v>
      </c>
      <c r="D14" s="15">
        <f t="shared" si="0"/>
        <v>-1.6882855429838362E-2</v>
      </c>
      <c r="G14" s="69">
        <v>45624</v>
      </c>
      <c r="H14" s="50">
        <v>23914.150390625</v>
      </c>
      <c r="I14" s="55">
        <f t="shared" si="1"/>
        <v>-1.4861029054492936E-2</v>
      </c>
    </row>
    <row r="15" spans="2:25" x14ac:dyDescent="0.25">
      <c r="B15" s="68">
        <v>45625</v>
      </c>
      <c r="C15" s="50">
        <v>1646.981079101562</v>
      </c>
      <c r="D15" s="15">
        <f t="shared" si="0"/>
        <v>6.5045734104511865E-3</v>
      </c>
      <c r="G15" s="69">
        <v>45625</v>
      </c>
      <c r="H15" s="50">
        <v>24131.099609375</v>
      </c>
      <c r="I15" s="55">
        <f t="shared" si="1"/>
        <v>9.072001940535257E-3</v>
      </c>
      <c r="L15" s="70"/>
      <c r="M15" s="70" t="s">
        <v>61</v>
      </c>
      <c r="N15" s="70"/>
      <c r="O15" s="70"/>
    </row>
    <row r="16" spans="2:25" x14ac:dyDescent="0.25">
      <c r="B16" s="68">
        <v>45628</v>
      </c>
      <c r="C16" s="50">
        <v>1685.266235351562</v>
      </c>
      <c r="D16" s="15">
        <f t="shared" si="0"/>
        <v>2.3245656392655523E-2</v>
      </c>
      <c r="G16" s="69">
        <v>45628</v>
      </c>
      <c r="H16" s="50">
        <v>24276.05078125</v>
      </c>
      <c r="I16" s="55">
        <f t="shared" si="1"/>
        <v>6.0068200049485654E-3</v>
      </c>
      <c r="L16" s="70"/>
      <c r="M16" t="s">
        <v>61</v>
      </c>
      <c r="N16"/>
      <c r="O16"/>
      <c r="P16"/>
      <c r="Q16"/>
      <c r="R16"/>
      <c r="S16"/>
      <c r="T16"/>
      <c r="U16"/>
      <c r="V16" s="70"/>
      <c r="W16" s="70"/>
      <c r="X16" s="70"/>
      <c r="Y16" s="70"/>
    </row>
    <row r="17" spans="2:25" ht="15.75" thickBot="1" x14ac:dyDescent="0.3">
      <c r="B17" s="68">
        <v>45629</v>
      </c>
      <c r="C17" s="50">
        <v>1690.313720703125</v>
      </c>
      <c r="D17" s="15">
        <f t="shared" si="0"/>
        <v>2.995067037885546E-3</v>
      </c>
      <c r="G17" s="69">
        <v>45629</v>
      </c>
      <c r="H17" s="50">
        <v>24457.150390625</v>
      </c>
      <c r="I17" s="55">
        <f t="shared" si="1"/>
        <v>7.4600111445999318E-3</v>
      </c>
      <c r="L17" s="70"/>
      <c r="M17"/>
      <c r="N17"/>
      <c r="O17"/>
      <c r="P17"/>
      <c r="Q17"/>
      <c r="R17"/>
      <c r="S17"/>
      <c r="T17"/>
      <c r="U17"/>
      <c r="V17" s="70"/>
      <c r="W17" s="70"/>
      <c r="X17" s="70"/>
      <c r="Y17" s="70"/>
    </row>
    <row r="18" spans="2:25" x14ac:dyDescent="0.25">
      <c r="B18" s="68">
        <v>45630</v>
      </c>
      <c r="C18" s="50">
        <v>1684.93701171875</v>
      </c>
      <c r="D18" s="15">
        <f t="shared" si="0"/>
        <v>-3.1808941254635181E-3</v>
      </c>
      <c r="G18" s="69">
        <v>45630</v>
      </c>
      <c r="H18" s="50">
        <v>24467.44921875</v>
      </c>
      <c r="I18" s="55">
        <f t="shared" si="1"/>
        <v>4.2109681465385407E-4</v>
      </c>
      <c r="L18" s="70"/>
      <c r="M18" s="59" t="s">
        <v>62</v>
      </c>
      <c r="N18" s="59"/>
      <c r="O18"/>
      <c r="P18"/>
      <c r="Q18"/>
      <c r="R18"/>
      <c r="S18"/>
      <c r="T18"/>
      <c r="U18"/>
      <c r="V18" s="70"/>
      <c r="W18" s="70"/>
      <c r="X18" s="70"/>
      <c r="Y18" s="70"/>
    </row>
    <row r="19" spans="2:25" x14ac:dyDescent="0.25">
      <c r="B19" s="68">
        <v>45631</v>
      </c>
      <c r="C19" s="50">
        <v>1700.099609375</v>
      </c>
      <c r="D19" s="15">
        <f t="shared" si="0"/>
        <v>8.998910671908833E-3</v>
      </c>
      <c r="G19" s="69">
        <v>45631</v>
      </c>
      <c r="H19" s="50">
        <v>24708.400390625</v>
      </c>
      <c r="I19" s="55">
        <f t="shared" si="1"/>
        <v>9.8478255628851041E-3</v>
      </c>
      <c r="L19" s="70"/>
      <c r="M19" s="56" t="s">
        <v>63</v>
      </c>
      <c r="N19" s="56">
        <v>0.59773131876373198</v>
      </c>
      <c r="O19"/>
      <c r="P19"/>
      <c r="Q19"/>
      <c r="R19"/>
      <c r="S19"/>
      <c r="T19"/>
      <c r="U19"/>
      <c r="V19" s="70"/>
      <c r="W19" s="70"/>
      <c r="X19" s="70"/>
      <c r="Y19" s="70"/>
    </row>
    <row r="20" spans="2:25" x14ac:dyDescent="0.25">
      <c r="B20" s="68">
        <v>45632</v>
      </c>
      <c r="C20" s="50">
        <v>1692.588134765625</v>
      </c>
      <c r="D20" s="15">
        <f t="shared" si="0"/>
        <v>-4.4182555939392687E-3</v>
      </c>
      <c r="G20" s="69">
        <v>45632</v>
      </c>
      <c r="H20" s="50">
        <v>24677.80078125</v>
      </c>
      <c r="I20" s="55">
        <f t="shared" si="1"/>
        <v>-1.2384293961259507E-3</v>
      </c>
      <c r="L20" s="70"/>
      <c r="M20" s="56" t="s">
        <v>64</v>
      </c>
      <c r="N20" s="56">
        <v>0.35728272943103012</v>
      </c>
      <c r="O20"/>
      <c r="P20"/>
      <c r="Q20"/>
      <c r="R20"/>
      <c r="S20"/>
      <c r="T20"/>
      <c r="U20"/>
      <c r="V20" s="70"/>
      <c r="W20" s="70"/>
      <c r="X20" s="70"/>
      <c r="Y20" s="70"/>
    </row>
    <row r="21" spans="2:25" x14ac:dyDescent="0.25">
      <c r="B21" s="68">
        <v>45635</v>
      </c>
      <c r="C21" s="50">
        <v>1679.610229492188</v>
      </c>
      <c r="D21" s="15">
        <f t="shared" si="0"/>
        <v>-7.6674915810124311E-3</v>
      </c>
      <c r="G21" s="69">
        <v>45635</v>
      </c>
      <c r="H21" s="50">
        <v>24619</v>
      </c>
      <c r="I21" s="55">
        <f t="shared" si="1"/>
        <v>-2.3827399277279726E-3</v>
      </c>
      <c r="L21" s="70"/>
      <c r="M21" s="56" t="s">
        <v>65</v>
      </c>
      <c r="N21" s="56">
        <v>0.35464864225656711</v>
      </c>
      <c r="O21"/>
      <c r="P21"/>
      <c r="Q21"/>
      <c r="R21"/>
      <c r="S21"/>
      <c r="T21"/>
      <c r="U21"/>
      <c r="V21" s="70"/>
      <c r="W21" s="70"/>
      <c r="X21" s="70"/>
      <c r="Y21" s="70"/>
    </row>
    <row r="22" spans="2:25" x14ac:dyDescent="0.25">
      <c r="B22" s="68">
        <v>45636</v>
      </c>
      <c r="C22" s="50">
        <v>1699.710571289062</v>
      </c>
      <c r="D22" s="15">
        <f t="shared" si="0"/>
        <v>1.1967265645286718E-2</v>
      </c>
      <c r="G22" s="69">
        <v>45636</v>
      </c>
      <c r="H22" s="50">
        <v>24610.05078125</v>
      </c>
      <c r="I22" s="55">
        <f t="shared" si="1"/>
        <v>-3.6350862139000739E-4</v>
      </c>
      <c r="L22" s="70"/>
      <c r="M22" s="56" t="s">
        <v>66</v>
      </c>
      <c r="N22" s="56">
        <v>1.6688053732122059E-2</v>
      </c>
      <c r="O22"/>
      <c r="P22"/>
      <c r="Q22"/>
      <c r="R22"/>
      <c r="S22"/>
      <c r="T22"/>
      <c r="U22"/>
      <c r="V22" s="70"/>
      <c r="W22" s="70"/>
      <c r="X22" s="70"/>
      <c r="Y22" s="70"/>
    </row>
    <row r="23" spans="2:25" ht="15.75" thickBot="1" x14ac:dyDescent="0.3">
      <c r="B23" s="68">
        <v>45637</v>
      </c>
      <c r="C23" s="50">
        <v>1707.182006835938</v>
      </c>
      <c r="D23" s="15">
        <f t="shared" si="0"/>
        <v>4.3957104656997537E-3</v>
      </c>
      <c r="G23" s="69">
        <v>45637</v>
      </c>
      <c r="H23" s="50">
        <v>24641.80078125</v>
      </c>
      <c r="I23" s="55">
        <f t="shared" si="1"/>
        <v>1.2901233029631864E-3</v>
      </c>
      <c r="L23" s="70"/>
      <c r="M23" s="57" t="s">
        <v>67</v>
      </c>
      <c r="N23" s="57">
        <v>246</v>
      </c>
      <c r="O23"/>
      <c r="P23"/>
      <c r="Q23"/>
      <c r="R23"/>
      <c r="S23"/>
      <c r="T23"/>
      <c r="U23"/>
      <c r="V23" s="70"/>
      <c r="W23" s="70"/>
      <c r="X23" s="70"/>
      <c r="Y23" s="70"/>
    </row>
    <row r="24" spans="2:25" x14ac:dyDescent="0.25">
      <c r="B24" s="68">
        <v>45638</v>
      </c>
      <c r="C24" s="50">
        <v>1718.603637695312</v>
      </c>
      <c r="D24" s="15">
        <f t="shared" si="0"/>
        <v>6.6903416353027989E-3</v>
      </c>
      <c r="G24" s="69">
        <v>45638</v>
      </c>
      <c r="H24" s="50">
        <v>24548.69921875</v>
      </c>
      <c r="I24" s="55">
        <f t="shared" si="1"/>
        <v>-3.7781963796591489E-3</v>
      </c>
      <c r="L24" s="70"/>
      <c r="M24"/>
      <c r="N24"/>
      <c r="O24"/>
      <c r="P24"/>
      <c r="Q24"/>
      <c r="R24"/>
      <c r="S24"/>
      <c r="T24"/>
      <c r="U24"/>
      <c r="V24" s="70"/>
      <c r="W24" s="70"/>
      <c r="X24" s="70"/>
      <c r="Y24" s="70"/>
    </row>
    <row r="25" spans="2:25" ht="15.75" thickBot="1" x14ac:dyDescent="0.3">
      <c r="B25" s="68">
        <v>45639</v>
      </c>
      <c r="C25" s="50">
        <v>1736.18017578125</v>
      </c>
      <c r="D25" s="15">
        <f t="shared" si="0"/>
        <v>1.0227220343550725E-2</v>
      </c>
      <c r="G25" s="69">
        <v>45639</v>
      </c>
      <c r="H25" s="50">
        <v>24768.30078125</v>
      </c>
      <c r="I25" s="55">
        <f t="shared" si="1"/>
        <v>8.9455478085889162E-3</v>
      </c>
      <c r="L25" s="70"/>
      <c r="M25" t="s">
        <v>68</v>
      </c>
      <c r="N25"/>
      <c r="O25"/>
      <c r="P25"/>
      <c r="Q25"/>
      <c r="R25"/>
      <c r="S25"/>
      <c r="T25"/>
      <c r="U25"/>
      <c r="V25" s="70"/>
      <c r="W25" s="70"/>
      <c r="X25" s="70"/>
      <c r="Y25" s="70"/>
    </row>
    <row r="26" spans="2:25" x14ac:dyDescent="0.25">
      <c r="B26" s="68">
        <v>45642</v>
      </c>
      <c r="C26" s="50">
        <v>1757.4375</v>
      </c>
      <c r="D26" s="15">
        <f t="shared" si="0"/>
        <v>1.224373167904913E-2</v>
      </c>
      <c r="G26" s="69">
        <v>45642</v>
      </c>
      <c r="H26" s="50">
        <v>24668.25</v>
      </c>
      <c r="I26" s="55">
        <f t="shared" si="1"/>
        <v>-4.0394689217332358E-3</v>
      </c>
      <c r="L26" s="70"/>
      <c r="M26" s="58"/>
      <c r="N26" s="58" t="s">
        <v>73</v>
      </c>
      <c r="O26" s="58" t="s">
        <v>74</v>
      </c>
      <c r="P26" s="58" t="s">
        <v>75</v>
      </c>
      <c r="Q26" s="58" t="s">
        <v>76</v>
      </c>
      <c r="R26" s="58" t="s">
        <v>77</v>
      </c>
      <c r="S26"/>
      <c r="T26"/>
      <c r="U26"/>
      <c r="V26" s="70"/>
      <c r="W26" s="70"/>
      <c r="X26" s="70"/>
      <c r="Y26" s="70"/>
    </row>
    <row r="27" spans="2:25" x14ac:dyDescent="0.25">
      <c r="B27" s="68">
        <v>45643</v>
      </c>
      <c r="C27" s="50">
        <v>1766.395385742188</v>
      </c>
      <c r="D27" s="15">
        <f t="shared" si="0"/>
        <v>5.0971290541985681E-3</v>
      </c>
      <c r="G27" s="69">
        <v>45643</v>
      </c>
      <c r="H27" s="50">
        <v>24336</v>
      </c>
      <c r="I27" s="55">
        <f t="shared" si="1"/>
        <v>-1.3468730047733413E-2</v>
      </c>
      <c r="L27" s="70"/>
      <c r="M27" s="56" t="s">
        <v>69</v>
      </c>
      <c r="N27" s="56">
        <v>1</v>
      </c>
      <c r="O27" s="56">
        <v>3.7774024582474322E-2</v>
      </c>
      <c r="P27" s="56">
        <v>3.7774024582474322E-2</v>
      </c>
      <c r="Q27" s="56">
        <v>135.63815688972747</v>
      </c>
      <c r="R27" s="56">
        <v>3.210777718411706E-25</v>
      </c>
      <c r="S27"/>
      <c r="T27"/>
      <c r="U27"/>
      <c r="V27" s="70"/>
      <c r="W27" s="70"/>
      <c r="X27" s="70"/>
      <c r="Y27" s="70"/>
    </row>
    <row r="28" spans="2:25" x14ac:dyDescent="0.25">
      <c r="B28" s="68">
        <v>45644</v>
      </c>
      <c r="C28" s="50">
        <v>1770.405395507812</v>
      </c>
      <c r="D28" s="15">
        <f t="shared" si="0"/>
        <v>2.2701654442667252E-3</v>
      </c>
      <c r="G28" s="69">
        <v>45644</v>
      </c>
      <c r="H28" s="50">
        <v>24198.849609375</v>
      </c>
      <c r="I28" s="55">
        <f t="shared" si="1"/>
        <v>-5.6356998120069557E-3</v>
      </c>
      <c r="L28" s="70"/>
      <c r="M28" s="56" t="s">
        <v>70</v>
      </c>
      <c r="N28" s="56">
        <v>244</v>
      </c>
      <c r="O28" s="56">
        <v>6.795183751735108E-2</v>
      </c>
      <c r="P28" s="56">
        <v>2.7849113736619292E-4</v>
      </c>
      <c r="Q28" s="56"/>
      <c r="R28" s="56"/>
      <c r="S28"/>
      <c r="T28"/>
      <c r="U28"/>
      <c r="V28" s="70"/>
      <c r="W28" s="70"/>
      <c r="X28" s="70"/>
      <c r="Y28" s="70"/>
    </row>
    <row r="29" spans="2:25" ht="15.75" thickBot="1" x14ac:dyDescent="0.3">
      <c r="B29" s="68">
        <v>45645</v>
      </c>
      <c r="C29" s="50">
        <v>1735.11279296875</v>
      </c>
      <c r="D29" s="15">
        <f t="shared" si="0"/>
        <v>-1.9934757671103309E-2</v>
      </c>
      <c r="G29" s="69">
        <v>45645</v>
      </c>
      <c r="H29" s="50">
        <v>23951.69921875</v>
      </c>
      <c r="I29" s="55">
        <f t="shared" si="1"/>
        <v>-1.0213311567061067E-2</v>
      </c>
      <c r="L29" s="70"/>
      <c r="M29" s="57" t="s">
        <v>71</v>
      </c>
      <c r="N29" s="57">
        <v>245</v>
      </c>
      <c r="O29" s="57">
        <v>0.1057258620998254</v>
      </c>
      <c r="P29" s="57"/>
      <c r="Q29" s="57"/>
      <c r="R29" s="57"/>
      <c r="S29"/>
      <c r="T29"/>
      <c r="U29"/>
      <c r="V29" s="70"/>
      <c r="W29" s="70"/>
      <c r="X29" s="70"/>
      <c r="Y29" s="70"/>
    </row>
    <row r="30" spans="2:25" ht="15.75" thickBot="1" x14ac:dyDescent="0.3">
      <c r="B30" s="68">
        <v>45646</v>
      </c>
      <c r="C30" s="50">
        <v>1694.792602539062</v>
      </c>
      <c r="D30" s="15">
        <f t="shared" si="0"/>
        <v>-2.3237792144164215E-2</v>
      </c>
      <c r="G30" s="69">
        <v>45646</v>
      </c>
      <c r="H30" s="50">
        <v>23587.5</v>
      </c>
      <c r="I30" s="55">
        <f t="shared" si="1"/>
        <v>-1.520556915080562E-2</v>
      </c>
      <c r="L30" s="70"/>
      <c r="M30"/>
      <c r="N30"/>
      <c r="O30"/>
      <c r="P30"/>
      <c r="Q30"/>
      <c r="R30"/>
      <c r="S30"/>
      <c r="T30"/>
      <c r="U30"/>
      <c r="V30" s="70"/>
      <c r="W30" s="70"/>
      <c r="X30" s="70"/>
      <c r="Y30" s="70"/>
    </row>
    <row r="31" spans="2:25" x14ac:dyDescent="0.25">
      <c r="B31" s="68">
        <v>45649</v>
      </c>
      <c r="C31" s="50">
        <v>1720.698486328125</v>
      </c>
      <c r="D31" s="15">
        <f t="shared" si="0"/>
        <v>1.5285577568755038E-2</v>
      </c>
      <c r="G31" s="69">
        <v>45649</v>
      </c>
      <c r="H31" s="50">
        <v>23753.44921875</v>
      </c>
      <c r="I31" s="55">
        <f t="shared" si="1"/>
        <v>7.0354729729729115E-3</v>
      </c>
      <c r="L31" s="70"/>
      <c r="M31" s="58"/>
      <c r="N31" s="58" t="s">
        <v>78</v>
      </c>
      <c r="O31" s="58" t="s">
        <v>66</v>
      </c>
      <c r="P31" s="58" t="s">
        <v>79</v>
      </c>
      <c r="Q31" s="58" t="s">
        <v>80</v>
      </c>
      <c r="R31" s="58" t="s">
        <v>81</v>
      </c>
      <c r="S31" s="58" t="s">
        <v>82</v>
      </c>
      <c r="T31" s="58" t="s">
        <v>83</v>
      </c>
      <c r="U31" s="58" t="s">
        <v>84</v>
      </c>
      <c r="V31" s="70"/>
      <c r="W31" s="70"/>
      <c r="X31" s="70"/>
      <c r="Y31" s="70"/>
    </row>
    <row r="32" spans="2:25" x14ac:dyDescent="0.25">
      <c r="B32" s="68">
        <v>45650</v>
      </c>
      <c r="C32" s="50">
        <v>1730.324584960938</v>
      </c>
      <c r="D32" s="15">
        <f t="shared" si="0"/>
        <v>5.5942971469420399E-3</v>
      </c>
      <c r="G32" s="69">
        <v>45650</v>
      </c>
      <c r="H32" s="50">
        <v>23727.650390625</v>
      </c>
      <c r="I32" s="55">
        <f t="shared" si="1"/>
        <v>-1.0861087115143775E-3</v>
      </c>
      <c r="L32" s="70"/>
      <c r="M32" s="56" t="s">
        <v>72</v>
      </c>
      <c r="N32" s="56">
        <v>-9.428564881106044E-4</v>
      </c>
      <c r="O32" s="56">
        <v>1.0656391552628878E-3</v>
      </c>
      <c r="P32" s="56">
        <v>-0.88478025929706616</v>
      </c>
      <c r="Q32" s="56">
        <v>0.37714620135756627</v>
      </c>
      <c r="R32" s="56">
        <v>-3.04188215572834E-3</v>
      </c>
      <c r="S32" s="56">
        <v>1.1561691795071315E-3</v>
      </c>
      <c r="T32" s="56">
        <v>-3.04188215572834E-3</v>
      </c>
      <c r="U32" s="56">
        <v>1.1561691795071315E-3</v>
      </c>
      <c r="V32" s="70"/>
      <c r="W32" s="70"/>
      <c r="X32" s="70"/>
      <c r="Y32" s="70"/>
    </row>
    <row r="33" spans="2:25" ht="15.75" thickBot="1" x14ac:dyDescent="0.3">
      <c r="B33" s="68">
        <v>45652</v>
      </c>
      <c r="C33" s="50">
        <v>1729.217407226562</v>
      </c>
      <c r="D33" s="15">
        <f t="shared" si="0"/>
        <v>-6.3986707696284117E-4</v>
      </c>
      <c r="G33" s="69">
        <v>45652</v>
      </c>
      <c r="H33" s="50">
        <v>23750.19921875</v>
      </c>
      <c r="I33" s="55">
        <f t="shared" si="1"/>
        <v>9.5031862631911324E-4</v>
      </c>
      <c r="L33" s="70"/>
      <c r="M33" s="57" t="s">
        <v>85</v>
      </c>
      <c r="N33" s="57">
        <v>1.5841972394991688</v>
      </c>
      <c r="O33" s="57">
        <v>0.13602486774008185</v>
      </c>
      <c r="P33" s="57">
        <v>11.646379561465732</v>
      </c>
      <c r="Q33" s="57">
        <v>3.2107777184125109E-25</v>
      </c>
      <c r="R33" s="57">
        <v>1.3162644337171747</v>
      </c>
      <c r="S33" s="57">
        <v>1.8521300452811629</v>
      </c>
      <c r="T33" s="57">
        <v>1.3162644337171747</v>
      </c>
      <c r="U33" s="57">
        <v>1.8521300452811629</v>
      </c>
      <c r="V33" s="70"/>
      <c r="W33" s="70"/>
      <c r="X33" s="70"/>
      <c r="Y33" s="70"/>
    </row>
    <row r="34" spans="2:25" x14ac:dyDescent="0.25">
      <c r="B34" s="68">
        <v>45653</v>
      </c>
      <c r="C34" s="50">
        <v>1723.222290039062</v>
      </c>
      <c r="D34" s="15">
        <f t="shared" si="0"/>
        <v>-3.4669539888078083E-3</v>
      </c>
      <c r="G34" s="69">
        <v>45653</v>
      </c>
      <c r="H34" s="50">
        <v>23813.400390625</v>
      </c>
      <c r="I34" s="55">
        <f t="shared" si="1"/>
        <v>2.6610796521280289E-3</v>
      </c>
      <c r="L34" s="70"/>
      <c r="M34"/>
      <c r="N34"/>
      <c r="O34"/>
      <c r="P34"/>
      <c r="Q34"/>
      <c r="R34"/>
      <c r="S34"/>
      <c r="T34"/>
      <c r="U34"/>
      <c r="V34" s="70"/>
      <c r="W34" s="70"/>
      <c r="X34" s="70"/>
      <c r="Y34" s="70"/>
    </row>
    <row r="35" spans="2:25" x14ac:dyDescent="0.25">
      <c r="B35" s="68">
        <v>45656</v>
      </c>
      <c r="C35" s="50">
        <v>1738.2451171875</v>
      </c>
      <c r="D35" s="15">
        <f t="shared" si="0"/>
        <v>8.7178695605762968E-3</v>
      </c>
      <c r="G35" s="69">
        <v>45656</v>
      </c>
      <c r="H35" s="50">
        <v>23644.900390625</v>
      </c>
      <c r="I35" s="55">
        <f t="shared" si="1"/>
        <v>-7.0758479358679072E-3</v>
      </c>
      <c r="L35" s="70"/>
      <c r="M35"/>
      <c r="N35"/>
      <c r="O35"/>
      <c r="P35"/>
      <c r="Q35"/>
      <c r="R35"/>
      <c r="S35"/>
      <c r="T35"/>
      <c r="U35"/>
      <c r="V35" s="70"/>
      <c r="W35" s="70"/>
      <c r="X35" s="70"/>
      <c r="Y35" s="70"/>
    </row>
    <row r="36" spans="2:25" x14ac:dyDescent="0.25">
      <c r="B36" s="68">
        <v>45657</v>
      </c>
      <c r="C36" s="50">
        <v>1731.162475585938</v>
      </c>
      <c r="D36" s="15">
        <f t="shared" si="0"/>
        <v>-4.0745931235646182E-3</v>
      </c>
      <c r="G36" s="69">
        <v>45657</v>
      </c>
      <c r="H36" s="50">
        <v>23644.80078125</v>
      </c>
      <c r="I36" s="55">
        <f t="shared" si="1"/>
        <v>-4.2127212783737988E-6</v>
      </c>
      <c r="L36" s="70"/>
      <c r="M36"/>
      <c r="N36"/>
      <c r="O36"/>
      <c r="P36"/>
      <c r="Q36"/>
      <c r="R36"/>
      <c r="S36"/>
      <c r="T36"/>
      <c r="U36"/>
      <c r="V36" s="70"/>
      <c r="W36" s="70"/>
      <c r="X36" s="70"/>
      <c r="Y36" s="70"/>
    </row>
    <row r="37" spans="2:25" x14ac:dyDescent="0.25">
      <c r="B37" s="68">
        <v>45658</v>
      </c>
      <c r="C37" s="50">
        <v>1741.766235351562</v>
      </c>
      <c r="D37" s="15">
        <f t="shared" si="0"/>
        <v>6.1252250526253604E-3</v>
      </c>
      <c r="G37" s="69">
        <v>45658</v>
      </c>
      <c r="H37" s="50">
        <v>23742.900390625</v>
      </c>
      <c r="I37" s="55">
        <f t="shared" si="1"/>
        <v>4.1488871182535636E-3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</row>
    <row r="38" spans="2:25" x14ac:dyDescent="0.25">
      <c r="B38" s="68">
        <v>45659</v>
      </c>
      <c r="C38" s="50">
        <v>1771.402954101562</v>
      </c>
      <c r="D38" s="15">
        <f t="shared" si="0"/>
        <v>1.7015325104185353E-2</v>
      </c>
      <c r="G38" s="69">
        <v>45659</v>
      </c>
      <c r="H38" s="50">
        <v>24188.650390625</v>
      </c>
      <c r="I38" s="55">
        <f t="shared" si="1"/>
        <v>1.8774033191665485E-2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</row>
    <row r="39" spans="2:25" x14ac:dyDescent="0.25">
      <c r="B39" s="68">
        <v>45660</v>
      </c>
      <c r="C39" s="50">
        <v>1800.640502929688</v>
      </c>
      <c r="D39" s="15">
        <f t="shared" si="0"/>
        <v>1.6505306576591439E-2</v>
      </c>
      <c r="G39" s="69">
        <v>45660</v>
      </c>
      <c r="H39" s="50">
        <v>24004.75</v>
      </c>
      <c r="I39" s="55">
        <f t="shared" si="1"/>
        <v>-7.6027553276091231E-3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</row>
    <row r="40" spans="2:25" x14ac:dyDescent="0.25">
      <c r="B40" s="68">
        <v>45663</v>
      </c>
      <c r="C40" s="50">
        <v>1758.794189453125</v>
      </c>
      <c r="D40" s="15">
        <f t="shared" si="0"/>
        <v>-2.3239682439930687E-2</v>
      </c>
      <c r="G40" s="69">
        <v>45663</v>
      </c>
      <c r="H40" s="50">
        <v>23616.05078125</v>
      </c>
      <c r="I40" s="55">
        <f t="shared" si="1"/>
        <v>-1.6192595996625703E-2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</row>
    <row r="41" spans="2:25" x14ac:dyDescent="0.25">
      <c r="B41" s="68">
        <v>45664</v>
      </c>
      <c r="C41" s="50">
        <v>1683.560424804688</v>
      </c>
      <c r="D41" s="15">
        <f t="shared" si="0"/>
        <v>-4.2775763701965674E-2</v>
      </c>
      <c r="G41" s="69">
        <v>45664</v>
      </c>
      <c r="H41" s="50">
        <v>23707.900390625</v>
      </c>
      <c r="I41" s="55">
        <f t="shared" si="1"/>
        <v>3.8892874268343647E-3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</row>
    <row r="42" spans="2:25" x14ac:dyDescent="0.25">
      <c r="B42" s="68">
        <v>45665</v>
      </c>
      <c r="C42" s="50">
        <v>1643.35009765625</v>
      </c>
      <c r="D42" s="15">
        <f t="shared" si="0"/>
        <v>-2.3884100954144727E-2</v>
      </c>
      <c r="G42" s="69">
        <v>45665</v>
      </c>
      <c r="H42" s="50">
        <v>23688.94921875</v>
      </c>
      <c r="I42" s="55">
        <f t="shared" si="1"/>
        <v>-7.9936103841971029E-4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</row>
    <row r="43" spans="2:25" x14ac:dyDescent="0.25">
      <c r="B43" s="68">
        <v>45666</v>
      </c>
      <c r="C43" s="50">
        <v>1585.932250976562</v>
      </c>
      <c r="D43" s="15">
        <f t="shared" si="0"/>
        <v>-3.4939509701297E-2</v>
      </c>
      <c r="G43" s="69">
        <v>45666</v>
      </c>
      <c r="H43" s="50">
        <v>23526.5</v>
      </c>
      <c r="I43" s="55">
        <f t="shared" si="1"/>
        <v>-6.8575949591475061E-3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</row>
    <row r="44" spans="2:25" x14ac:dyDescent="0.25">
      <c r="B44" s="68">
        <v>45667</v>
      </c>
      <c r="C44" s="50">
        <v>1563.268432617188</v>
      </c>
      <c r="D44" s="15">
        <f t="shared" si="0"/>
        <v>-1.4290533750996315E-2</v>
      </c>
      <c r="G44" s="69">
        <v>45667</v>
      </c>
      <c r="H44" s="50">
        <v>23431.5</v>
      </c>
      <c r="I44" s="55">
        <f t="shared" si="1"/>
        <v>-4.037999702463213E-3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</row>
    <row r="45" spans="2:25" x14ac:dyDescent="0.25">
      <c r="B45" s="68">
        <v>45670</v>
      </c>
      <c r="C45" s="50">
        <v>1447.046264648438</v>
      </c>
      <c r="D45" s="15">
        <f t="shared" si="0"/>
        <v>-7.4345624554174261E-2</v>
      </c>
      <c r="G45" s="69">
        <v>45670</v>
      </c>
      <c r="H45" s="50">
        <v>23085.94921875</v>
      </c>
      <c r="I45" s="55">
        <f t="shared" si="1"/>
        <v>-1.4747275302477436E-2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</row>
    <row r="46" spans="2:25" x14ac:dyDescent="0.25">
      <c r="B46" s="68">
        <v>45671</v>
      </c>
      <c r="C46" s="50">
        <v>1487.865234375</v>
      </c>
      <c r="D46" s="15">
        <f t="shared" si="0"/>
        <v>2.8208475930435517E-2</v>
      </c>
      <c r="G46" s="69">
        <v>45671</v>
      </c>
      <c r="H46" s="50">
        <v>23176.05078125</v>
      </c>
      <c r="I46" s="55">
        <f t="shared" si="1"/>
        <v>3.9028744993869768E-3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</row>
    <row r="47" spans="2:25" x14ac:dyDescent="0.25">
      <c r="B47" s="68">
        <v>45672</v>
      </c>
      <c r="C47" s="50">
        <v>1487.346435546875</v>
      </c>
      <c r="D47" s="15">
        <f t="shared" si="0"/>
        <v>-3.4868670638910082E-4</v>
      </c>
      <c r="G47" s="69">
        <v>45672</v>
      </c>
      <c r="H47" s="50">
        <v>23213.19921875</v>
      </c>
      <c r="I47" s="55">
        <f t="shared" si="1"/>
        <v>1.6028803979861728E-3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</row>
    <row r="48" spans="2:25" x14ac:dyDescent="0.25">
      <c r="B48" s="68">
        <v>45673</v>
      </c>
      <c r="C48" s="50">
        <v>1521.940673828125</v>
      </c>
      <c r="D48" s="15">
        <f t="shared" si="0"/>
        <v>2.325903196085588E-2</v>
      </c>
      <c r="G48" s="69">
        <v>45673</v>
      </c>
      <c r="H48" s="50">
        <v>23311.80078125</v>
      </c>
      <c r="I48" s="55">
        <f t="shared" si="1"/>
        <v>4.2476507253836893E-3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</row>
    <row r="49" spans="2:25" x14ac:dyDescent="0.25">
      <c r="B49" s="68">
        <v>45674</v>
      </c>
      <c r="C49" s="50">
        <v>1545.801635742188</v>
      </c>
      <c r="D49" s="15">
        <f t="shared" si="0"/>
        <v>1.5677984250230814E-2</v>
      </c>
      <c r="G49" s="69">
        <v>45674</v>
      </c>
      <c r="H49" s="50">
        <v>23203.19921875</v>
      </c>
      <c r="I49" s="55">
        <f t="shared" si="1"/>
        <v>-4.6586517926727744E-3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</row>
    <row r="50" spans="2:25" x14ac:dyDescent="0.25">
      <c r="B50" s="68">
        <v>45677</v>
      </c>
      <c r="C50" s="50">
        <v>1550.220703125</v>
      </c>
      <c r="D50" s="15">
        <f t="shared" si="0"/>
        <v>2.8587545003406767E-3</v>
      </c>
      <c r="G50" s="69">
        <v>45677</v>
      </c>
      <c r="H50" s="50">
        <v>23344.75</v>
      </c>
      <c r="I50" s="55">
        <f t="shared" si="1"/>
        <v>6.100485537167577E-3</v>
      </c>
    </row>
    <row r="51" spans="2:25" x14ac:dyDescent="0.25">
      <c r="B51" s="68">
        <v>45678</v>
      </c>
      <c r="C51" s="50">
        <v>1487.805297851562</v>
      </c>
      <c r="D51" s="15">
        <f t="shared" si="0"/>
        <v>-4.026227049323905E-2</v>
      </c>
      <c r="G51" s="69">
        <v>45678</v>
      </c>
      <c r="H51" s="50">
        <v>23024.650390625</v>
      </c>
      <c r="I51" s="55">
        <f t="shared" si="1"/>
        <v>-1.3711845677293555E-2</v>
      </c>
    </row>
    <row r="52" spans="2:25" x14ac:dyDescent="0.25">
      <c r="B52" s="68">
        <v>45679</v>
      </c>
      <c r="C52" s="50">
        <v>1443.325439453125</v>
      </c>
      <c r="D52" s="15">
        <f t="shared" si="0"/>
        <v>-2.9896289832189282E-2</v>
      </c>
      <c r="G52" s="69">
        <v>45679</v>
      </c>
      <c r="H52" s="50">
        <v>23155.349609375</v>
      </c>
      <c r="I52" s="55">
        <f t="shared" si="1"/>
        <v>5.6764909144164655E-3</v>
      </c>
    </row>
    <row r="53" spans="2:25" x14ac:dyDescent="0.25">
      <c r="B53" s="68">
        <v>45680</v>
      </c>
      <c r="C53" s="50">
        <v>1503.376708984375</v>
      </c>
      <c r="D53" s="15">
        <f t="shared" si="0"/>
        <v>4.1606187966868546E-2</v>
      </c>
      <c r="G53" s="69">
        <v>45680</v>
      </c>
      <c r="H53" s="50">
        <v>23205.349609375</v>
      </c>
      <c r="I53" s="55">
        <f t="shared" si="1"/>
        <v>2.1593282262408753E-3</v>
      </c>
    </row>
    <row r="54" spans="2:25" x14ac:dyDescent="0.25">
      <c r="B54" s="68">
        <v>45681</v>
      </c>
      <c r="C54" s="50">
        <v>1485.73046875</v>
      </c>
      <c r="D54" s="15">
        <f t="shared" si="0"/>
        <v>-1.1737736875208182E-2</v>
      </c>
      <c r="G54" s="69">
        <v>45681</v>
      </c>
      <c r="H54" s="50">
        <v>23092.19921875</v>
      </c>
      <c r="I54" s="55">
        <f t="shared" si="1"/>
        <v>-4.8760476583936674E-3</v>
      </c>
    </row>
    <row r="55" spans="2:25" x14ac:dyDescent="0.25">
      <c r="B55" s="68">
        <v>45684</v>
      </c>
      <c r="C55" s="50">
        <v>1398.446655273438</v>
      </c>
      <c r="D55" s="15">
        <f t="shared" si="0"/>
        <v>-5.8748080699992045E-2</v>
      </c>
      <c r="G55" s="69">
        <v>45684</v>
      </c>
      <c r="H55" s="50">
        <v>22829.150390625</v>
      </c>
      <c r="I55" s="55">
        <f t="shared" si="1"/>
        <v>-1.1391241935562957E-2</v>
      </c>
    </row>
    <row r="56" spans="2:25" x14ac:dyDescent="0.25">
      <c r="B56" s="68">
        <v>45685</v>
      </c>
      <c r="C56" s="50">
        <v>1426.118041992188</v>
      </c>
      <c r="D56" s="15">
        <f t="shared" si="0"/>
        <v>1.9787230792396082E-2</v>
      </c>
      <c r="G56" s="69">
        <v>45685</v>
      </c>
      <c r="H56" s="50">
        <v>22957.25</v>
      </c>
      <c r="I56" s="55">
        <f t="shared" si="1"/>
        <v>5.6112298172781294E-3</v>
      </c>
    </row>
    <row r="57" spans="2:25" x14ac:dyDescent="0.25">
      <c r="B57" s="68">
        <v>45686</v>
      </c>
      <c r="C57" s="50">
        <v>1485.351440429688</v>
      </c>
      <c r="D57" s="15">
        <f t="shared" si="0"/>
        <v>4.153470939527204E-2</v>
      </c>
      <c r="G57" s="69">
        <v>45686</v>
      </c>
      <c r="H57" s="50">
        <v>23163.099609375</v>
      </c>
      <c r="I57" s="55">
        <f t="shared" si="1"/>
        <v>8.966649288351114E-3</v>
      </c>
    </row>
    <row r="58" spans="2:25" x14ac:dyDescent="0.25">
      <c r="B58" s="68">
        <v>45687</v>
      </c>
      <c r="C58" s="50">
        <v>1522.010620117188</v>
      </c>
      <c r="D58" s="15">
        <f t="shared" si="0"/>
        <v>2.4680475401090973E-2</v>
      </c>
      <c r="G58" s="69">
        <v>45687</v>
      </c>
      <c r="H58" s="50">
        <v>23249.5</v>
      </c>
      <c r="I58" s="55">
        <f t="shared" si="1"/>
        <v>3.730087599762788E-3</v>
      </c>
    </row>
    <row r="59" spans="2:25" x14ac:dyDescent="0.25">
      <c r="B59" s="68">
        <v>45688</v>
      </c>
      <c r="C59" s="50">
        <v>1540.923706054688</v>
      </c>
      <c r="D59" s="15">
        <f t="shared" si="0"/>
        <v>1.2426382370475109E-2</v>
      </c>
      <c r="G59" s="69">
        <v>45688</v>
      </c>
      <c r="H59" s="50">
        <v>23508.400390625</v>
      </c>
      <c r="I59" s="55">
        <f t="shared" si="1"/>
        <v>1.1135740150325812E-2</v>
      </c>
    </row>
    <row r="60" spans="2:25" x14ac:dyDescent="0.25">
      <c r="B60" s="68">
        <v>45689</v>
      </c>
      <c r="C60" s="50">
        <v>1553.03369140625</v>
      </c>
      <c r="D60" s="15">
        <f t="shared" si="0"/>
        <v>7.8589130039201649E-3</v>
      </c>
      <c r="G60" s="69">
        <v>45689</v>
      </c>
      <c r="H60" s="50">
        <v>23482.150390625</v>
      </c>
      <c r="I60" s="55">
        <f t="shared" si="1"/>
        <v>-1.1166221250199504E-3</v>
      </c>
    </row>
    <row r="61" spans="2:25" x14ac:dyDescent="0.25">
      <c r="B61" s="68">
        <v>45691</v>
      </c>
      <c r="C61" s="50">
        <v>1540.095825195312</v>
      </c>
      <c r="D61" s="15">
        <f t="shared" si="0"/>
        <v>-8.3307054331982489E-3</v>
      </c>
      <c r="G61" s="69">
        <v>45691</v>
      </c>
      <c r="H61" s="50">
        <v>23361.05078125</v>
      </c>
      <c r="I61" s="55">
        <f t="shared" si="1"/>
        <v>-5.1570919766934509E-3</v>
      </c>
    </row>
    <row r="62" spans="2:25" x14ac:dyDescent="0.25">
      <c r="B62" s="68">
        <v>45692</v>
      </c>
      <c r="C62" s="50">
        <v>1537.572021484375</v>
      </c>
      <c r="D62" s="15">
        <f t="shared" si="0"/>
        <v>-1.6387316098445126E-3</v>
      </c>
      <c r="G62" s="69">
        <v>45692</v>
      </c>
      <c r="H62" s="50">
        <v>23739.25</v>
      </c>
      <c r="I62" s="55">
        <f t="shared" si="1"/>
        <v>1.6189306820631133E-2</v>
      </c>
    </row>
    <row r="63" spans="2:25" x14ac:dyDescent="0.25">
      <c r="B63" s="68">
        <v>45693</v>
      </c>
      <c r="C63" s="50">
        <v>1584.306274414062</v>
      </c>
      <c r="D63" s="15">
        <f t="shared" si="0"/>
        <v>3.0394838275328295E-2</v>
      </c>
      <c r="G63" s="69">
        <v>45693</v>
      </c>
      <c r="H63" s="50">
        <v>23696.30078125</v>
      </c>
      <c r="I63" s="55">
        <f t="shared" si="1"/>
        <v>-1.809207062143936E-3</v>
      </c>
    </row>
    <row r="64" spans="2:25" x14ac:dyDescent="0.25">
      <c r="B64" s="68">
        <v>45694</v>
      </c>
      <c r="C64" s="50">
        <v>1606.261962890625</v>
      </c>
      <c r="D64" s="15">
        <f t="shared" si="0"/>
        <v>1.3858234882445863E-2</v>
      </c>
      <c r="G64" s="69">
        <v>45694</v>
      </c>
      <c r="H64" s="50">
        <v>23603.349609375</v>
      </c>
      <c r="I64" s="55">
        <f t="shared" si="1"/>
        <v>-3.9226026346081966E-3</v>
      </c>
    </row>
    <row r="65" spans="2:9" x14ac:dyDescent="0.25">
      <c r="B65" s="68">
        <v>45695</v>
      </c>
      <c r="C65" s="50">
        <v>1568.136352539062</v>
      </c>
      <c r="D65" s="15">
        <f t="shared" si="0"/>
        <v>-2.3735611769671872E-2</v>
      </c>
      <c r="G65" s="69">
        <v>45695</v>
      </c>
      <c r="H65" s="50">
        <v>23559.94921875</v>
      </c>
      <c r="I65" s="55">
        <f t="shared" si="1"/>
        <v>-1.8387386257991967E-3</v>
      </c>
    </row>
    <row r="66" spans="2:9" x14ac:dyDescent="0.25">
      <c r="B66" s="68">
        <v>45698</v>
      </c>
      <c r="C66" s="50">
        <v>1555.128540039062</v>
      </c>
      <c r="D66" s="15">
        <f t="shared" si="0"/>
        <v>-8.2950774522497772E-3</v>
      </c>
      <c r="G66" s="69">
        <v>45698</v>
      </c>
      <c r="H66" s="50">
        <v>23381.599609375</v>
      </c>
      <c r="I66" s="55">
        <f t="shared" si="1"/>
        <v>-7.5700336923079092E-3</v>
      </c>
    </row>
    <row r="67" spans="2:9" x14ac:dyDescent="0.25">
      <c r="B67" s="68">
        <v>45699</v>
      </c>
      <c r="C67" s="50">
        <v>1504.683471679688</v>
      </c>
      <c r="D67" s="15">
        <f t="shared" si="0"/>
        <v>-3.2437877037551521E-2</v>
      </c>
      <c r="G67" s="69">
        <v>45699</v>
      </c>
      <c r="H67" s="50">
        <v>23071.80078125</v>
      </c>
      <c r="I67" s="55">
        <f t="shared" si="1"/>
        <v>-1.3249684936046169E-2</v>
      </c>
    </row>
    <row r="68" spans="2:9" x14ac:dyDescent="0.25">
      <c r="B68" s="68">
        <v>45700</v>
      </c>
      <c r="C68" s="50">
        <v>1511.915649414062</v>
      </c>
      <c r="D68" s="15">
        <f t="shared" si="0"/>
        <v>4.8064445914999254E-3</v>
      </c>
      <c r="G68" s="69">
        <v>45700</v>
      </c>
      <c r="H68" s="50">
        <v>23045.25</v>
      </c>
      <c r="I68" s="55">
        <f t="shared" si="1"/>
        <v>-1.1507892904301098E-3</v>
      </c>
    </row>
    <row r="69" spans="2:9" x14ac:dyDescent="0.25">
      <c r="B69" s="68">
        <v>45701</v>
      </c>
      <c r="C69" s="50">
        <v>1524.50439453125</v>
      </c>
      <c r="D69" s="15">
        <f t="shared" si="0"/>
        <v>8.3263541336229263E-3</v>
      </c>
      <c r="G69" s="69">
        <v>45701</v>
      </c>
      <c r="H69" s="50">
        <v>23031.400390625</v>
      </c>
      <c r="I69" s="55">
        <f t="shared" si="1"/>
        <v>-6.0097457719054947E-4</v>
      </c>
    </row>
    <row r="70" spans="2:9" x14ac:dyDescent="0.25">
      <c r="B70" s="68">
        <v>45702</v>
      </c>
      <c r="C70" s="50">
        <v>1493.4013671875</v>
      </c>
      <c r="D70" s="15">
        <f t="shared" si="0"/>
        <v>-2.040205817400309E-2</v>
      </c>
      <c r="G70" s="69">
        <v>45702</v>
      </c>
      <c r="H70" s="50">
        <v>22929.25</v>
      </c>
      <c r="I70" s="55">
        <f t="shared" si="1"/>
        <v>-4.4352661537063742E-3</v>
      </c>
    </row>
    <row r="71" spans="2:9" x14ac:dyDescent="0.25">
      <c r="B71" s="68">
        <v>45705</v>
      </c>
      <c r="C71" s="50">
        <v>1464.153930664062</v>
      </c>
      <c r="D71" s="15">
        <f t="shared" si="0"/>
        <v>-1.9584444721996719E-2</v>
      </c>
      <c r="G71" s="69">
        <v>45705</v>
      </c>
      <c r="H71" s="50">
        <v>22959.5</v>
      </c>
      <c r="I71" s="55">
        <f t="shared" si="1"/>
        <v>1.3192755977626813E-3</v>
      </c>
    </row>
    <row r="72" spans="2:9" x14ac:dyDescent="0.25">
      <c r="B72" s="68">
        <v>45706</v>
      </c>
      <c r="C72" s="50">
        <v>1508.045166015625</v>
      </c>
      <c r="D72" s="15">
        <f t="shared" si="0"/>
        <v>2.9977200096479084E-2</v>
      </c>
      <c r="G72" s="69">
        <v>45706</v>
      </c>
      <c r="H72" s="50">
        <v>22945.30078125</v>
      </c>
      <c r="I72" s="55">
        <f t="shared" si="1"/>
        <v>-6.1844634029484258E-4</v>
      </c>
    </row>
    <row r="73" spans="2:9" x14ac:dyDescent="0.25">
      <c r="B73" s="68">
        <v>45707</v>
      </c>
      <c r="C73" s="50">
        <v>1515.25732421875</v>
      </c>
      <c r="D73" s="15">
        <f t="shared" ref="D73:D136" si="2">C73/C72-1</f>
        <v>4.7824550389163889E-3</v>
      </c>
      <c r="G73" s="69">
        <v>45707</v>
      </c>
      <c r="H73" s="50">
        <v>22932.900390625</v>
      </c>
      <c r="I73" s="55">
        <f t="shared" si="1"/>
        <v>-5.4043269004055983E-4</v>
      </c>
    </row>
    <row r="74" spans="2:9" x14ac:dyDescent="0.25">
      <c r="B74" s="68">
        <v>45708</v>
      </c>
      <c r="C74" s="50">
        <v>1530.898559570312</v>
      </c>
      <c r="D74" s="15">
        <f t="shared" si="2"/>
        <v>1.032249447111333E-2</v>
      </c>
      <c r="G74" s="69">
        <v>45708</v>
      </c>
      <c r="H74" s="50">
        <v>22913.150390625</v>
      </c>
      <c r="I74" s="55">
        <f t="shared" ref="I74:I137" si="3">H74/H73-1</f>
        <v>-8.6120811862389068E-4</v>
      </c>
    </row>
    <row r="75" spans="2:9" x14ac:dyDescent="0.25">
      <c r="B75" s="68">
        <v>45709</v>
      </c>
      <c r="C75" s="50">
        <v>1503.695922851562</v>
      </c>
      <c r="D75" s="15">
        <f t="shared" si="2"/>
        <v>-1.776906546073509E-2</v>
      </c>
      <c r="G75" s="69">
        <v>45709</v>
      </c>
      <c r="H75" s="50">
        <v>22795.900390625</v>
      </c>
      <c r="I75" s="55">
        <f t="shared" si="3"/>
        <v>-5.117148798882476E-3</v>
      </c>
    </row>
    <row r="76" spans="2:9" x14ac:dyDescent="0.25">
      <c r="B76" s="68">
        <v>45712</v>
      </c>
      <c r="C76" s="50">
        <v>1426.826293945312</v>
      </c>
      <c r="D76" s="15">
        <f t="shared" si="2"/>
        <v>-5.1120461083964952E-2</v>
      </c>
      <c r="G76" s="69">
        <v>45712</v>
      </c>
      <c r="H76" s="50">
        <v>22553.349609375</v>
      </c>
      <c r="I76" s="55">
        <f t="shared" si="3"/>
        <v>-1.0640105330068539E-2</v>
      </c>
    </row>
    <row r="77" spans="2:9" x14ac:dyDescent="0.25">
      <c r="B77" s="68">
        <v>45713</v>
      </c>
      <c r="C77" s="50">
        <v>1461.111328125</v>
      </c>
      <c r="D77" s="15">
        <f t="shared" si="2"/>
        <v>2.4028877464044029E-2</v>
      </c>
      <c r="G77" s="69">
        <v>45713</v>
      </c>
      <c r="H77" s="50">
        <v>22547.55078125</v>
      </c>
      <c r="I77" s="55">
        <f t="shared" si="3"/>
        <v>-2.5711604818956513E-4</v>
      </c>
    </row>
    <row r="78" spans="2:9" x14ac:dyDescent="0.25">
      <c r="B78" s="68">
        <v>45715</v>
      </c>
      <c r="C78" s="50">
        <v>1472.602905273438</v>
      </c>
      <c r="D78" s="15">
        <f t="shared" si="2"/>
        <v>7.864956576022708E-3</v>
      </c>
      <c r="G78" s="69">
        <v>45715</v>
      </c>
      <c r="H78" s="50">
        <v>22545.05078125</v>
      </c>
      <c r="I78" s="55">
        <f t="shared" si="3"/>
        <v>-1.1087678764998277E-4</v>
      </c>
    </row>
    <row r="79" spans="2:9" x14ac:dyDescent="0.25">
      <c r="B79" s="68">
        <v>45716</v>
      </c>
      <c r="C79" s="50">
        <v>1395.074951171875</v>
      </c>
      <c r="D79" s="15">
        <f t="shared" si="2"/>
        <v>-5.2646883843521453E-2</v>
      </c>
      <c r="G79" s="69">
        <v>45716</v>
      </c>
      <c r="H79" s="50">
        <v>22124.69921875</v>
      </c>
      <c r="I79" s="55">
        <f t="shared" si="3"/>
        <v>-1.8644959666695105E-2</v>
      </c>
    </row>
    <row r="80" spans="2:9" x14ac:dyDescent="0.25">
      <c r="B80" s="68">
        <v>45719</v>
      </c>
      <c r="C80" s="50">
        <v>1388.999877929688</v>
      </c>
      <c r="D80" s="15">
        <f t="shared" si="2"/>
        <v>-4.3546572441028886E-3</v>
      </c>
      <c r="G80" s="69">
        <v>45719</v>
      </c>
      <c r="H80" s="50">
        <v>22119.30078125</v>
      </c>
      <c r="I80" s="55">
        <f t="shared" si="3"/>
        <v>-2.4400049223838316E-4</v>
      </c>
    </row>
    <row r="81" spans="2:9" x14ac:dyDescent="0.25">
      <c r="B81" s="68">
        <v>45720</v>
      </c>
      <c r="C81" s="50">
        <v>1349.0888671875</v>
      </c>
      <c r="D81" s="15">
        <f t="shared" si="2"/>
        <v>-2.873363156926656E-2</v>
      </c>
      <c r="G81" s="69">
        <v>45720</v>
      </c>
      <c r="H81" s="50">
        <v>22082.650390625</v>
      </c>
      <c r="I81" s="55">
        <f t="shared" si="3"/>
        <v>-1.6569416451024388E-3</v>
      </c>
    </row>
    <row r="82" spans="2:9" x14ac:dyDescent="0.25">
      <c r="B82" s="68">
        <v>45721</v>
      </c>
      <c r="C82" s="50">
        <v>1354.625122070312</v>
      </c>
      <c r="D82" s="15">
        <f t="shared" si="2"/>
        <v>4.1036991835488035E-3</v>
      </c>
      <c r="G82" s="69">
        <v>45721</v>
      </c>
      <c r="H82" s="50">
        <v>22337.30078125</v>
      </c>
      <c r="I82" s="55">
        <f t="shared" si="3"/>
        <v>1.1531695069225467E-2</v>
      </c>
    </row>
    <row r="83" spans="2:9" x14ac:dyDescent="0.25">
      <c r="B83" s="68">
        <v>45722</v>
      </c>
      <c r="C83" s="50">
        <v>1377.857543945312</v>
      </c>
      <c r="D83" s="15">
        <f t="shared" si="2"/>
        <v>1.7150443688430439E-2</v>
      </c>
      <c r="G83" s="69">
        <v>45722</v>
      </c>
      <c r="H83" s="50">
        <v>22544.69921875</v>
      </c>
      <c r="I83" s="55">
        <f t="shared" si="3"/>
        <v>9.2848477768670001E-3</v>
      </c>
    </row>
    <row r="84" spans="2:9" x14ac:dyDescent="0.25">
      <c r="B84" s="68">
        <v>45723</v>
      </c>
      <c r="C84" s="50">
        <v>1363.393432617188</v>
      </c>
      <c r="D84" s="15">
        <f t="shared" si="2"/>
        <v>-1.0497537565972159E-2</v>
      </c>
      <c r="G84" s="69">
        <v>45723</v>
      </c>
      <c r="H84" s="50">
        <v>22552.5</v>
      </c>
      <c r="I84" s="55">
        <f t="shared" si="3"/>
        <v>3.4601398645017767E-4</v>
      </c>
    </row>
    <row r="85" spans="2:9" x14ac:dyDescent="0.25">
      <c r="B85" s="68">
        <v>45726</v>
      </c>
      <c r="C85" s="50">
        <v>1314.364868164062</v>
      </c>
      <c r="D85" s="15">
        <f t="shared" si="2"/>
        <v>-3.5960686974272793E-2</v>
      </c>
      <c r="G85" s="69">
        <v>45726</v>
      </c>
      <c r="H85" s="50">
        <v>22460.30078125</v>
      </c>
      <c r="I85" s="55">
        <f t="shared" si="3"/>
        <v>-4.0882039130917258E-3</v>
      </c>
    </row>
    <row r="86" spans="2:9" x14ac:dyDescent="0.25">
      <c r="B86" s="68">
        <v>45727</v>
      </c>
      <c r="C86" s="50">
        <v>1336.110961914062</v>
      </c>
      <c r="D86" s="15">
        <f t="shared" si="2"/>
        <v>1.6544944464603306E-2</v>
      </c>
      <c r="G86" s="69">
        <v>45727</v>
      </c>
      <c r="H86" s="50">
        <v>22497.900390625</v>
      </c>
      <c r="I86" s="55">
        <f t="shared" si="3"/>
        <v>1.6740474556060647E-3</v>
      </c>
    </row>
    <row r="87" spans="2:9" x14ac:dyDescent="0.25">
      <c r="B87" s="68">
        <v>45728</v>
      </c>
      <c r="C87" s="50">
        <v>1298.224731445312</v>
      </c>
      <c r="D87" s="15">
        <f t="shared" si="2"/>
        <v>-2.8355601853962464E-2</v>
      </c>
      <c r="G87" s="69">
        <v>45728</v>
      </c>
      <c r="H87" s="50">
        <v>22470.5</v>
      </c>
      <c r="I87" s="55">
        <f t="shared" si="3"/>
        <v>-1.2179087892316698E-3</v>
      </c>
    </row>
    <row r="88" spans="2:9" x14ac:dyDescent="0.25">
      <c r="B88" s="68">
        <v>45729</v>
      </c>
      <c r="C88" s="50">
        <v>1273.3564453125</v>
      </c>
      <c r="D88" s="15">
        <f t="shared" si="2"/>
        <v>-1.915560960322038E-2</v>
      </c>
      <c r="G88" s="69">
        <v>45729</v>
      </c>
      <c r="H88" s="50">
        <v>22397.19921875</v>
      </c>
      <c r="I88" s="55">
        <f t="shared" si="3"/>
        <v>-3.2620894617386709E-3</v>
      </c>
    </row>
    <row r="89" spans="2:9" x14ac:dyDescent="0.25">
      <c r="B89" s="68">
        <v>45733</v>
      </c>
      <c r="C89" s="50">
        <v>1292.728515625</v>
      </c>
      <c r="D89" s="15">
        <f t="shared" si="2"/>
        <v>1.5213391649928631E-2</v>
      </c>
      <c r="G89" s="69">
        <v>45733</v>
      </c>
      <c r="H89" s="50">
        <v>22508.75</v>
      </c>
      <c r="I89" s="55">
        <f t="shared" si="3"/>
        <v>4.980568336268254E-3</v>
      </c>
    </row>
    <row r="90" spans="2:9" x14ac:dyDescent="0.25">
      <c r="B90" s="68">
        <v>45734</v>
      </c>
      <c r="C90" s="50">
        <v>1292.728515625</v>
      </c>
      <c r="D90" s="15">
        <f t="shared" si="2"/>
        <v>0</v>
      </c>
      <c r="G90" s="69">
        <v>45734</v>
      </c>
      <c r="H90" s="50">
        <v>22834.30078125</v>
      </c>
      <c r="I90" s="55">
        <f t="shared" si="3"/>
        <v>1.446329899483545E-2</v>
      </c>
    </row>
    <row r="91" spans="2:9" x14ac:dyDescent="0.25">
      <c r="B91" s="68">
        <v>45735</v>
      </c>
      <c r="C91" s="50">
        <v>1346.545166015625</v>
      </c>
      <c r="D91" s="15">
        <f t="shared" si="2"/>
        <v>4.1630280248444951E-2</v>
      </c>
      <c r="G91" s="69">
        <v>45735</v>
      </c>
      <c r="H91" s="50">
        <v>22907.599609375</v>
      </c>
      <c r="I91" s="55">
        <f t="shared" si="3"/>
        <v>3.2100316461272094E-3</v>
      </c>
    </row>
    <row r="92" spans="2:9" x14ac:dyDescent="0.25">
      <c r="B92" s="68">
        <v>45736</v>
      </c>
      <c r="C92" s="50">
        <v>1366.67529296875</v>
      </c>
      <c r="D92" s="15">
        <f t="shared" si="2"/>
        <v>1.4949462863313556E-2</v>
      </c>
      <c r="G92" s="69">
        <v>45736</v>
      </c>
      <c r="H92" s="50">
        <v>23190.650390625</v>
      </c>
      <c r="I92" s="55">
        <f t="shared" si="3"/>
        <v>1.2356195589090069E-2</v>
      </c>
    </row>
    <row r="93" spans="2:9" x14ac:dyDescent="0.25">
      <c r="B93" s="68">
        <v>45737</v>
      </c>
      <c r="C93" s="50">
        <v>1379.78271484375</v>
      </c>
      <c r="D93" s="15">
        <f t="shared" si="2"/>
        <v>9.5907359578641938E-3</v>
      </c>
      <c r="G93" s="69">
        <v>45737</v>
      </c>
      <c r="H93" s="50">
        <v>23350.400390625</v>
      </c>
      <c r="I93" s="55">
        <f t="shared" si="3"/>
        <v>6.8885519512889015E-3</v>
      </c>
    </row>
    <row r="94" spans="2:9" x14ac:dyDescent="0.25">
      <c r="B94" s="68">
        <v>45740</v>
      </c>
      <c r="C94" s="50">
        <v>1416.661499023438</v>
      </c>
      <c r="D94" s="15">
        <f t="shared" si="2"/>
        <v>2.6727965050543645E-2</v>
      </c>
      <c r="G94" s="69">
        <v>45740</v>
      </c>
      <c r="H94" s="50">
        <v>23658.349609375</v>
      </c>
      <c r="I94" s="55">
        <f t="shared" si="3"/>
        <v>1.3188177230298859E-2</v>
      </c>
    </row>
    <row r="95" spans="2:9" x14ac:dyDescent="0.25">
      <c r="B95" s="68">
        <v>45741</v>
      </c>
      <c r="C95" s="50">
        <v>1425.609375</v>
      </c>
      <c r="D95" s="15">
        <f t="shared" si="2"/>
        <v>6.3161707879617612E-3</v>
      </c>
      <c r="G95" s="69">
        <v>45741</v>
      </c>
      <c r="H95" s="50">
        <v>23668.650390625</v>
      </c>
      <c r="I95" s="55">
        <f t="shared" si="3"/>
        <v>4.3539728764163677E-4</v>
      </c>
    </row>
    <row r="96" spans="2:9" x14ac:dyDescent="0.25">
      <c r="B96" s="68">
        <v>45742</v>
      </c>
      <c r="C96" s="50">
        <v>1405.389404296875</v>
      </c>
      <c r="D96" s="15">
        <f t="shared" si="2"/>
        <v>-1.4183387860454366E-2</v>
      </c>
      <c r="G96" s="69">
        <v>45742</v>
      </c>
      <c r="H96" s="50">
        <v>23486.849609375</v>
      </c>
      <c r="I96" s="55">
        <f t="shared" si="3"/>
        <v>-7.6810793285454482E-3</v>
      </c>
    </row>
    <row r="97" spans="2:9" x14ac:dyDescent="0.25">
      <c r="B97" s="68">
        <v>45743</v>
      </c>
      <c r="C97" s="50">
        <v>1439.355346679688</v>
      </c>
      <c r="D97" s="15">
        <f t="shared" si="2"/>
        <v>2.4168349554197999E-2</v>
      </c>
      <c r="G97" s="69">
        <v>45743</v>
      </c>
      <c r="H97" s="50">
        <v>23591.94921875</v>
      </c>
      <c r="I97" s="55">
        <f t="shared" si="3"/>
        <v>4.4748278770025962E-3</v>
      </c>
    </row>
    <row r="98" spans="2:9" x14ac:dyDescent="0.25">
      <c r="B98" s="68">
        <v>45744</v>
      </c>
      <c r="C98" s="50">
        <v>1432.731689453125</v>
      </c>
      <c r="D98" s="15">
        <f t="shared" si="2"/>
        <v>-4.6018220878134564E-3</v>
      </c>
      <c r="G98" s="69">
        <v>45744</v>
      </c>
      <c r="H98" s="50">
        <v>23519.349609375</v>
      </c>
      <c r="I98" s="55">
        <f t="shared" si="3"/>
        <v>-3.0773044101545244E-3</v>
      </c>
    </row>
    <row r="99" spans="2:9" x14ac:dyDescent="0.25">
      <c r="B99" s="68">
        <v>45748</v>
      </c>
      <c r="C99" s="50">
        <v>1357.61767578125</v>
      </c>
      <c r="D99" s="15">
        <f t="shared" si="2"/>
        <v>-5.2427132187287673E-2</v>
      </c>
      <c r="G99" s="69">
        <v>45748</v>
      </c>
      <c r="H99" s="50">
        <v>23165.69921875</v>
      </c>
      <c r="I99" s="55">
        <f t="shared" si="3"/>
        <v>-1.5036571865236992E-2</v>
      </c>
    </row>
    <row r="100" spans="2:9" x14ac:dyDescent="0.25">
      <c r="B100" s="68">
        <v>45749</v>
      </c>
      <c r="C100" s="50">
        <v>1382.306518554688</v>
      </c>
      <c r="D100" s="15">
        <f t="shared" si="2"/>
        <v>1.8185416420149814E-2</v>
      </c>
      <c r="G100" s="69">
        <v>45749</v>
      </c>
      <c r="H100" s="50">
        <v>23332.349609375</v>
      </c>
      <c r="I100" s="55">
        <f t="shared" si="3"/>
        <v>7.1938424586863725E-3</v>
      </c>
    </row>
    <row r="101" spans="2:9" x14ac:dyDescent="0.25">
      <c r="B101" s="68">
        <v>45750</v>
      </c>
      <c r="C101" s="50">
        <v>1343.552490234375</v>
      </c>
      <c r="D101" s="15">
        <f t="shared" si="2"/>
        <v>-2.8035770503949675E-2</v>
      </c>
      <c r="G101" s="69">
        <v>45750</v>
      </c>
      <c r="H101" s="50">
        <v>23250.099609375</v>
      </c>
      <c r="I101" s="55">
        <f t="shared" si="3"/>
        <v>-3.5251486188494496E-3</v>
      </c>
    </row>
    <row r="102" spans="2:9" x14ac:dyDescent="0.25">
      <c r="B102" s="68">
        <v>45751</v>
      </c>
      <c r="C102" s="50">
        <v>1276.159423828125</v>
      </c>
      <c r="D102" s="15">
        <f t="shared" si="2"/>
        <v>-5.0160352420986265E-2</v>
      </c>
      <c r="G102" s="69">
        <v>45751</v>
      </c>
      <c r="H102" s="50">
        <v>22904.44921875</v>
      </c>
      <c r="I102" s="55">
        <f t="shared" si="3"/>
        <v>-1.4866619775066536E-2</v>
      </c>
    </row>
    <row r="103" spans="2:9" x14ac:dyDescent="0.25">
      <c r="B103" s="68">
        <v>45754</v>
      </c>
      <c r="C103" s="50">
        <v>1271.810180664062</v>
      </c>
      <c r="D103" s="15">
        <f t="shared" si="2"/>
        <v>-3.4080719719299379E-3</v>
      </c>
      <c r="G103" s="69">
        <v>45754</v>
      </c>
      <c r="H103" s="50">
        <v>22161.599609375</v>
      </c>
      <c r="I103" s="55">
        <f t="shared" si="3"/>
        <v>-3.2432546283055363E-2</v>
      </c>
    </row>
    <row r="104" spans="2:9" x14ac:dyDescent="0.25">
      <c r="B104" s="68">
        <v>45755</v>
      </c>
      <c r="C104" s="50">
        <v>1325.247924804688</v>
      </c>
      <c r="D104" s="15">
        <f t="shared" si="2"/>
        <v>4.2017075309716434E-2</v>
      </c>
      <c r="G104" s="69">
        <v>45755</v>
      </c>
      <c r="H104" s="50">
        <v>22535.849609375</v>
      </c>
      <c r="I104" s="55">
        <f t="shared" si="3"/>
        <v>1.6887318902814252E-2</v>
      </c>
    </row>
    <row r="105" spans="2:9" x14ac:dyDescent="0.25">
      <c r="B105" s="68">
        <v>45756</v>
      </c>
      <c r="C105" s="50">
        <v>1278.184448242188</v>
      </c>
      <c r="D105" s="15">
        <f t="shared" si="2"/>
        <v>-3.5512960014207229E-2</v>
      </c>
      <c r="G105" s="69">
        <v>45756</v>
      </c>
      <c r="H105" s="50">
        <v>22399.150390625</v>
      </c>
      <c r="I105" s="55">
        <f t="shared" si="3"/>
        <v>-6.0658560080705248E-3</v>
      </c>
    </row>
    <row r="106" spans="2:9" x14ac:dyDescent="0.25">
      <c r="B106" s="68">
        <v>45758</v>
      </c>
      <c r="C106" s="50">
        <v>1305.826049804688</v>
      </c>
      <c r="D106" s="15">
        <f t="shared" si="2"/>
        <v>2.1625675074136597E-2</v>
      </c>
      <c r="G106" s="69">
        <v>45758</v>
      </c>
      <c r="H106" s="50">
        <v>22828.55078125</v>
      </c>
      <c r="I106" s="55">
        <f t="shared" si="3"/>
        <v>1.9170387409190415E-2</v>
      </c>
    </row>
    <row r="107" spans="2:9" x14ac:dyDescent="0.25">
      <c r="B107" s="68">
        <v>45762</v>
      </c>
      <c r="C107" s="50">
        <v>1343.77197265625</v>
      </c>
      <c r="D107" s="15">
        <f t="shared" si="2"/>
        <v>2.9058941546799222E-2</v>
      </c>
      <c r="G107" s="69">
        <v>45762</v>
      </c>
      <c r="H107" s="50">
        <v>23328.55078125</v>
      </c>
      <c r="I107" s="55">
        <f t="shared" si="3"/>
        <v>2.1902397782108451E-2</v>
      </c>
    </row>
    <row r="108" spans="2:9" x14ac:dyDescent="0.25">
      <c r="B108" s="68">
        <v>45763</v>
      </c>
      <c r="C108" s="50">
        <v>1351.851928710938</v>
      </c>
      <c r="D108" s="15">
        <f t="shared" si="2"/>
        <v>6.0128922310502819E-3</v>
      </c>
      <c r="G108" s="69">
        <v>45763</v>
      </c>
      <c r="H108" s="50">
        <v>23437.19921875</v>
      </c>
      <c r="I108" s="55">
        <f t="shared" si="3"/>
        <v>4.6573162010270508E-3</v>
      </c>
    </row>
    <row r="109" spans="2:9" x14ac:dyDescent="0.25">
      <c r="B109" s="68">
        <v>45764</v>
      </c>
      <c r="C109" s="50">
        <v>1343.572509765625</v>
      </c>
      <c r="D109" s="15">
        <f t="shared" si="2"/>
        <v>-6.1245013373675272E-3</v>
      </c>
      <c r="G109" s="69">
        <v>45764</v>
      </c>
      <c r="H109" s="50">
        <v>23851.650390625</v>
      </c>
      <c r="I109" s="55">
        <f t="shared" si="3"/>
        <v>1.7683476937954135E-2</v>
      </c>
    </row>
    <row r="110" spans="2:9" x14ac:dyDescent="0.25">
      <c r="B110" s="68">
        <v>45768</v>
      </c>
      <c r="C110" s="50">
        <v>1384.371459960938</v>
      </c>
      <c r="D110" s="15">
        <f t="shared" si="2"/>
        <v>3.0366020366425994E-2</v>
      </c>
      <c r="G110" s="69">
        <v>45768</v>
      </c>
      <c r="H110" s="50">
        <v>24125.55078125</v>
      </c>
      <c r="I110" s="55">
        <f t="shared" si="3"/>
        <v>1.1483498464016417E-2</v>
      </c>
    </row>
    <row r="111" spans="2:9" x14ac:dyDescent="0.25">
      <c r="B111" s="68">
        <v>45769</v>
      </c>
      <c r="C111" s="50">
        <v>1387.264282226562</v>
      </c>
      <c r="D111" s="15">
        <f t="shared" si="2"/>
        <v>2.0896286504676898E-3</v>
      </c>
      <c r="G111" s="69">
        <v>45769</v>
      </c>
      <c r="H111" s="50">
        <v>24167.25</v>
      </c>
      <c r="I111" s="55">
        <f t="shared" si="3"/>
        <v>1.7284255654137493E-3</v>
      </c>
    </row>
    <row r="112" spans="2:9" x14ac:dyDescent="0.25">
      <c r="B112" s="68">
        <v>45770</v>
      </c>
      <c r="C112" s="50">
        <v>1413.598999023438</v>
      </c>
      <c r="D112" s="15">
        <f t="shared" si="2"/>
        <v>1.8983201062892308E-2</v>
      </c>
      <c r="G112" s="69">
        <v>45770</v>
      </c>
      <c r="H112" s="50">
        <v>24328.94921875</v>
      </c>
      <c r="I112" s="55">
        <f t="shared" si="3"/>
        <v>6.6908406521222208E-3</v>
      </c>
    </row>
    <row r="113" spans="2:9" x14ac:dyDescent="0.25">
      <c r="B113" s="68">
        <v>45771</v>
      </c>
      <c r="C113" s="50">
        <v>1427.265258789062</v>
      </c>
      <c r="D113" s="15">
        <f t="shared" si="2"/>
        <v>9.6677061706078593E-3</v>
      </c>
      <c r="G113" s="69">
        <v>45771</v>
      </c>
      <c r="H113" s="50">
        <v>24246.69921875</v>
      </c>
      <c r="I113" s="55">
        <f t="shared" si="3"/>
        <v>-3.3807460922566923E-3</v>
      </c>
    </row>
    <row r="114" spans="2:9" x14ac:dyDescent="0.25">
      <c r="B114" s="68">
        <v>45772</v>
      </c>
      <c r="C114" s="50">
        <v>1404.222290039062</v>
      </c>
      <c r="D114" s="15">
        <f t="shared" si="2"/>
        <v>-1.6144839656190069E-2</v>
      </c>
      <c r="G114" s="69">
        <v>45772</v>
      </c>
      <c r="H114" s="50">
        <v>24039.349609375</v>
      </c>
      <c r="I114" s="55">
        <f t="shared" si="3"/>
        <v>-8.5516633626838701E-3</v>
      </c>
    </row>
    <row r="115" spans="2:9" x14ac:dyDescent="0.25">
      <c r="B115" s="68">
        <v>45775</v>
      </c>
      <c r="C115" s="50">
        <v>1392.052368164062</v>
      </c>
      <c r="D115" s="15">
        <f t="shared" si="2"/>
        <v>-8.6666633632923595E-3</v>
      </c>
      <c r="G115" s="69">
        <v>45775</v>
      </c>
      <c r="H115" s="50">
        <v>24328.5</v>
      </c>
      <c r="I115" s="55">
        <f t="shared" si="3"/>
        <v>1.2028211882747275E-2</v>
      </c>
    </row>
    <row r="116" spans="2:9" x14ac:dyDescent="0.25">
      <c r="B116" s="68">
        <v>45776</v>
      </c>
      <c r="C116" s="50">
        <v>1408.312255859375</v>
      </c>
      <c r="D116" s="15">
        <f t="shared" si="2"/>
        <v>1.1680514373721085E-2</v>
      </c>
      <c r="G116" s="69">
        <v>45776</v>
      </c>
      <c r="H116" s="50">
        <v>24335.94921875</v>
      </c>
      <c r="I116" s="55">
        <f t="shared" si="3"/>
        <v>3.0619309657398119E-4</v>
      </c>
    </row>
    <row r="117" spans="2:9" x14ac:dyDescent="0.25">
      <c r="B117" s="68">
        <v>45777</v>
      </c>
      <c r="C117" s="50">
        <v>1410.406982421875</v>
      </c>
      <c r="D117" s="15">
        <f t="shared" si="2"/>
        <v>1.4874020685289313E-3</v>
      </c>
      <c r="G117" s="69">
        <v>45777</v>
      </c>
      <c r="H117" s="50">
        <v>24334.19921875</v>
      </c>
      <c r="I117" s="55">
        <f t="shared" si="3"/>
        <v>-7.1910077731884847E-5</v>
      </c>
    </row>
    <row r="118" spans="2:9" x14ac:dyDescent="0.25">
      <c r="B118" s="68">
        <v>45779</v>
      </c>
      <c r="C118" s="50">
        <v>1421.678955078125</v>
      </c>
      <c r="D118" s="15">
        <f t="shared" si="2"/>
        <v>7.992000037389424E-3</v>
      </c>
      <c r="G118" s="69">
        <v>45779</v>
      </c>
      <c r="H118" s="50">
        <v>24346.69921875</v>
      </c>
      <c r="I118" s="55">
        <f t="shared" si="3"/>
        <v>5.1368035116472477E-4</v>
      </c>
    </row>
    <row r="119" spans="2:9" x14ac:dyDescent="0.25">
      <c r="B119" s="68">
        <v>45782</v>
      </c>
      <c r="C119" s="50">
        <v>1430.457275390625</v>
      </c>
      <c r="D119" s="15">
        <f t="shared" si="2"/>
        <v>6.1746150782808762E-3</v>
      </c>
      <c r="G119" s="69">
        <v>45782</v>
      </c>
      <c r="H119" s="50">
        <v>24461.150390625</v>
      </c>
      <c r="I119" s="55">
        <f t="shared" si="3"/>
        <v>4.700890697612925E-3</v>
      </c>
    </row>
    <row r="120" spans="2:9" x14ac:dyDescent="0.25">
      <c r="B120" s="68">
        <v>45783</v>
      </c>
      <c r="C120" s="50">
        <v>1393.448974609375</v>
      </c>
      <c r="D120" s="15">
        <f t="shared" si="2"/>
        <v>-2.5871657558694916E-2</v>
      </c>
      <c r="G120" s="69">
        <v>45783</v>
      </c>
      <c r="H120" s="50">
        <v>24379.599609375</v>
      </c>
      <c r="I120" s="55">
        <f t="shared" si="3"/>
        <v>-3.3338898599493128E-3</v>
      </c>
    </row>
    <row r="121" spans="2:9" x14ac:dyDescent="0.25">
      <c r="B121" s="68">
        <v>45784</v>
      </c>
      <c r="C121" s="50">
        <v>1381.578369140625</v>
      </c>
      <c r="D121" s="15">
        <f t="shared" si="2"/>
        <v>-8.5188662699885453E-3</v>
      </c>
      <c r="G121" s="69">
        <v>45784</v>
      </c>
      <c r="H121" s="50">
        <v>24414.400390625</v>
      </c>
      <c r="I121" s="55">
        <f t="shared" si="3"/>
        <v>1.4274549954715887E-3</v>
      </c>
    </row>
    <row r="122" spans="2:9" x14ac:dyDescent="0.25">
      <c r="B122" s="68">
        <v>45785</v>
      </c>
      <c r="C122" s="50">
        <v>1352.151245117188</v>
      </c>
      <c r="D122" s="15">
        <f t="shared" si="2"/>
        <v>-2.1299641540958314E-2</v>
      </c>
      <c r="G122" s="69">
        <v>45785</v>
      </c>
      <c r="H122" s="50">
        <v>24273.80078125</v>
      </c>
      <c r="I122" s="55">
        <f t="shared" si="3"/>
        <v>-5.7588802970967023E-3</v>
      </c>
    </row>
    <row r="123" spans="2:9" x14ac:dyDescent="0.25">
      <c r="B123" s="68">
        <v>45786</v>
      </c>
      <c r="C123" s="50">
        <v>1371.60302734375</v>
      </c>
      <c r="D123" s="15">
        <f t="shared" si="2"/>
        <v>1.4385803582850132E-2</v>
      </c>
      <c r="G123" s="69">
        <v>45786</v>
      </c>
      <c r="H123" s="50">
        <v>24008</v>
      </c>
      <c r="I123" s="55">
        <f t="shared" si="3"/>
        <v>-1.09501096942064E-2</v>
      </c>
    </row>
    <row r="124" spans="2:9" x14ac:dyDescent="0.25">
      <c r="B124" s="68">
        <v>45789</v>
      </c>
      <c r="C124" s="50">
        <v>1472.353515625</v>
      </c>
      <c r="D124" s="15">
        <f t="shared" si="2"/>
        <v>7.3454553739476403E-2</v>
      </c>
      <c r="G124" s="69">
        <v>45789</v>
      </c>
      <c r="H124" s="50">
        <v>24924.69921875</v>
      </c>
      <c r="I124" s="55">
        <f t="shared" si="3"/>
        <v>3.8183073090219954E-2</v>
      </c>
    </row>
    <row r="125" spans="2:9" x14ac:dyDescent="0.25">
      <c r="B125" s="68">
        <v>45790</v>
      </c>
      <c r="C125" s="50">
        <v>1460.881958007812</v>
      </c>
      <c r="D125" s="15">
        <f t="shared" si="2"/>
        <v>-7.7913065683267169E-3</v>
      </c>
      <c r="G125" s="69">
        <v>45790</v>
      </c>
      <c r="H125" s="50">
        <v>24578.349609375</v>
      </c>
      <c r="I125" s="55">
        <f t="shared" si="3"/>
        <v>-1.389583907654357E-2</v>
      </c>
    </row>
    <row r="126" spans="2:9" x14ac:dyDescent="0.25">
      <c r="B126" s="68">
        <v>45791</v>
      </c>
      <c r="C126" s="50">
        <v>1450.407958984375</v>
      </c>
      <c r="D126" s="15">
        <f t="shared" si="2"/>
        <v>-7.1696408912601539E-3</v>
      </c>
      <c r="G126" s="69">
        <v>45791</v>
      </c>
      <c r="H126" s="50">
        <v>24666.900390625</v>
      </c>
      <c r="I126" s="55">
        <f t="shared" si="3"/>
        <v>3.6027960647213586E-3</v>
      </c>
    </row>
    <row r="127" spans="2:9" x14ac:dyDescent="0.25">
      <c r="B127" s="68">
        <v>45792</v>
      </c>
      <c r="C127" s="50">
        <v>1500.284423828125</v>
      </c>
      <c r="D127" s="15">
        <f t="shared" si="2"/>
        <v>3.4387886894026165E-2</v>
      </c>
      <c r="G127" s="69">
        <v>45792</v>
      </c>
      <c r="H127" s="50">
        <v>25062.099609375</v>
      </c>
      <c r="I127" s="55">
        <f t="shared" si="3"/>
        <v>1.6021438141461841E-2</v>
      </c>
    </row>
    <row r="128" spans="2:9" x14ac:dyDescent="0.25">
      <c r="B128" s="68">
        <v>45793</v>
      </c>
      <c r="C128" s="50">
        <v>1505.770751953125</v>
      </c>
      <c r="D128" s="15">
        <f t="shared" si="2"/>
        <v>3.6568586848360063E-3</v>
      </c>
      <c r="G128" s="69">
        <v>45793</v>
      </c>
      <c r="H128" s="50">
        <v>25019.80078125</v>
      </c>
      <c r="I128" s="55">
        <f t="shared" si="3"/>
        <v>-1.6877607536591732E-3</v>
      </c>
    </row>
    <row r="129" spans="2:9" x14ac:dyDescent="0.25">
      <c r="B129" s="68">
        <v>45796</v>
      </c>
      <c r="C129" s="50">
        <v>1463.375732421875</v>
      </c>
      <c r="D129" s="15">
        <f t="shared" si="2"/>
        <v>-2.8155029227563189E-2</v>
      </c>
      <c r="G129" s="69">
        <v>45796</v>
      </c>
      <c r="H129" s="50">
        <v>24945.44921875</v>
      </c>
      <c r="I129" s="55">
        <f t="shared" si="3"/>
        <v>-2.9717088137536374E-3</v>
      </c>
    </row>
    <row r="130" spans="2:9" x14ac:dyDescent="0.25">
      <c r="B130" s="68">
        <v>45797</v>
      </c>
      <c r="C130" s="50">
        <v>1434.946166992188</v>
      </c>
      <c r="D130" s="15">
        <f t="shared" si="2"/>
        <v>-1.9427386145481784E-2</v>
      </c>
      <c r="G130" s="69">
        <v>45797</v>
      </c>
      <c r="H130" s="50">
        <v>24683.900390625</v>
      </c>
      <c r="I130" s="55">
        <f t="shared" si="3"/>
        <v>-1.0484831354666824E-2</v>
      </c>
    </row>
    <row r="131" spans="2:9" x14ac:dyDescent="0.25">
      <c r="B131" s="68">
        <v>45798</v>
      </c>
      <c r="C131" s="50">
        <v>1471.854736328125</v>
      </c>
      <c r="D131" s="15">
        <f t="shared" si="2"/>
        <v>2.572122229038154E-2</v>
      </c>
      <c r="G131" s="69">
        <v>45798</v>
      </c>
      <c r="H131" s="50">
        <v>24813.44921875</v>
      </c>
      <c r="I131" s="55">
        <f t="shared" si="3"/>
        <v>5.2483127088862602E-3</v>
      </c>
    </row>
    <row r="132" spans="2:9" x14ac:dyDescent="0.25">
      <c r="B132" s="68">
        <v>45799</v>
      </c>
      <c r="C132" s="50">
        <v>1457.390625</v>
      </c>
      <c r="D132" s="15">
        <f t="shared" si="2"/>
        <v>-9.8271323732728177E-3</v>
      </c>
      <c r="G132" s="69">
        <v>45799</v>
      </c>
      <c r="H132" s="50">
        <v>24609.69921875</v>
      </c>
      <c r="I132" s="55">
        <f t="shared" si="3"/>
        <v>-8.2112727740422109E-3</v>
      </c>
    </row>
    <row r="133" spans="2:9" x14ac:dyDescent="0.25">
      <c r="B133" s="68">
        <v>45800</v>
      </c>
      <c r="C133" s="50">
        <v>1485.321411132812</v>
      </c>
      <c r="D133" s="15">
        <f t="shared" si="2"/>
        <v>1.9164927819411481E-2</v>
      </c>
      <c r="G133" s="69">
        <v>45800</v>
      </c>
      <c r="H133" s="50">
        <v>24853.150390625</v>
      </c>
      <c r="I133" s="55">
        <f t="shared" si="3"/>
        <v>9.8924887180058541E-3</v>
      </c>
    </row>
    <row r="134" spans="2:9" x14ac:dyDescent="0.25">
      <c r="B134" s="68">
        <v>45803</v>
      </c>
      <c r="C134" s="50">
        <v>1469.859741210938</v>
      </c>
      <c r="D134" s="15">
        <f t="shared" si="2"/>
        <v>-1.0409645889425279E-2</v>
      </c>
      <c r="G134" s="69">
        <v>45803</v>
      </c>
      <c r="H134" s="50">
        <v>25001.150390625</v>
      </c>
      <c r="I134" s="55">
        <f t="shared" si="3"/>
        <v>5.9549794562796521E-3</v>
      </c>
    </row>
    <row r="135" spans="2:9" x14ac:dyDescent="0.25">
      <c r="B135" s="68">
        <v>45804</v>
      </c>
      <c r="C135" s="50">
        <v>1448.91162109375</v>
      </c>
      <c r="D135" s="15">
        <f t="shared" si="2"/>
        <v>-1.4251781669950336E-2</v>
      </c>
      <c r="G135" s="69">
        <v>45804</v>
      </c>
      <c r="H135" s="50">
        <v>24826.19921875</v>
      </c>
      <c r="I135" s="55">
        <f t="shared" si="3"/>
        <v>-6.9977248703164685E-3</v>
      </c>
    </row>
    <row r="136" spans="2:9" x14ac:dyDescent="0.25">
      <c r="B136" s="68">
        <v>45805</v>
      </c>
      <c r="C136" s="50">
        <v>1429.459838867188</v>
      </c>
      <c r="D136" s="15">
        <f t="shared" si="2"/>
        <v>-1.3425099187125311E-2</v>
      </c>
      <c r="G136" s="69">
        <v>45805</v>
      </c>
      <c r="H136" s="50">
        <v>24752.44921875</v>
      </c>
      <c r="I136" s="55">
        <f t="shared" si="3"/>
        <v>-2.9706520659956714E-3</v>
      </c>
    </row>
    <row r="137" spans="2:9" x14ac:dyDescent="0.25">
      <c r="B137" s="68">
        <v>45806</v>
      </c>
      <c r="C137" s="50">
        <v>1444.422729492188</v>
      </c>
      <c r="D137" s="15">
        <f t="shared" ref="D137:D200" si="4">C137/C136-1</f>
        <v>1.0467513824563124E-2</v>
      </c>
      <c r="G137" s="69">
        <v>45806</v>
      </c>
      <c r="H137" s="50">
        <v>24833.599609375</v>
      </c>
      <c r="I137" s="55">
        <f t="shared" si="3"/>
        <v>3.2784792287758879E-3</v>
      </c>
    </row>
    <row r="138" spans="2:9" x14ac:dyDescent="0.25">
      <c r="B138" s="68">
        <v>45807</v>
      </c>
      <c r="C138" s="50">
        <v>1423.973388671875</v>
      </c>
      <c r="D138" s="15">
        <f t="shared" si="4"/>
        <v>-1.4157448787518234E-2</v>
      </c>
      <c r="G138" s="69">
        <v>45807</v>
      </c>
      <c r="H138" s="50">
        <v>24750.69921875</v>
      </c>
      <c r="I138" s="55">
        <f t="shared" ref="I138:I201" si="5">H138/H137-1</f>
        <v>-3.3382349691143398E-3</v>
      </c>
    </row>
    <row r="139" spans="2:9" x14ac:dyDescent="0.25">
      <c r="B139" s="68">
        <v>45810</v>
      </c>
      <c r="C139" s="50">
        <v>1427.265258789062</v>
      </c>
      <c r="D139" s="15">
        <f t="shared" si="4"/>
        <v>2.311749744324354E-3</v>
      </c>
      <c r="G139" s="69">
        <v>45810</v>
      </c>
      <c r="H139" s="50">
        <v>24716.599609375</v>
      </c>
      <c r="I139" s="55">
        <f t="shared" si="5"/>
        <v>-1.3777230725331435E-3</v>
      </c>
    </row>
    <row r="140" spans="2:9" x14ac:dyDescent="0.25">
      <c r="B140" s="68">
        <v>45811</v>
      </c>
      <c r="C140" s="50">
        <v>1421.77880859375</v>
      </c>
      <c r="D140" s="15">
        <f t="shared" si="4"/>
        <v>-3.8440298056207078E-3</v>
      </c>
      <c r="G140" s="69">
        <v>45811</v>
      </c>
      <c r="H140" s="50">
        <v>24542.5</v>
      </c>
      <c r="I140" s="55">
        <f t="shared" si="5"/>
        <v>-7.0438333802584907E-3</v>
      </c>
    </row>
    <row r="141" spans="2:9" x14ac:dyDescent="0.25">
      <c r="B141" s="68">
        <v>45812</v>
      </c>
      <c r="C141" s="50">
        <v>1407.115112304688</v>
      </c>
      <c r="D141" s="15">
        <f t="shared" si="4"/>
        <v>-1.0313626986440783E-2</v>
      </c>
      <c r="G141" s="69">
        <v>45812</v>
      </c>
      <c r="H141" s="50">
        <v>24620.19921875</v>
      </c>
      <c r="I141" s="55">
        <f t="shared" si="5"/>
        <v>3.1659048079861751E-3</v>
      </c>
    </row>
    <row r="142" spans="2:9" x14ac:dyDescent="0.25">
      <c r="B142" s="68">
        <v>45813</v>
      </c>
      <c r="C142" s="50">
        <v>1470.757568359375</v>
      </c>
      <c r="D142" s="15">
        <f t="shared" si="4"/>
        <v>4.5229033146014785E-2</v>
      </c>
      <c r="G142" s="69">
        <v>45813</v>
      </c>
      <c r="H142" s="50">
        <v>24750.900390625</v>
      </c>
      <c r="I142" s="55">
        <f t="shared" si="5"/>
        <v>5.3086967621067682E-3</v>
      </c>
    </row>
    <row r="143" spans="2:9" x14ac:dyDescent="0.25">
      <c r="B143" s="68">
        <v>45814</v>
      </c>
      <c r="C143" s="50">
        <v>1503.476440429688</v>
      </c>
      <c r="D143" s="15">
        <f t="shared" si="4"/>
        <v>2.2246271427867503E-2</v>
      </c>
      <c r="G143" s="69">
        <v>45814</v>
      </c>
      <c r="H143" s="50">
        <v>25003.05078125</v>
      </c>
      <c r="I143" s="55">
        <f t="shared" si="5"/>
        <v>1.018752395450262E-2</v>
      </c>
    </row>
    <row r="144" spans="2:9" x14ac:dyDescent="0.25">
      <c r="B144" s="68">
        <v>45817</v>
      </c>
      <c r="C144" s="50">
        <v>1515.945556640625</v>
      </c>
      <c r="D144" s="15">
        <f t="shared" si="4"/>
        <v>8.2935228485345736E-3</v>
      </c>
      <c r="G144" s="69">
        <v>45817</v>
      </c>
      <c r="H144" s="50">
        <v>25103.19921875</v>
      </c>
      <c r="I144" s="55">
        <f t="shared" si="5"/>
        <v>4.0054487100871228E-3</v>
      </c>
    </row>
    <row r="145" spans="2:9" x14ac:dyDescent="0.25">
      <c r="B145" s="68">
        <v>45818</v>
      </c>
      <c r="C145" s="50">
        <v>1531.108032226562</v>
      </c>
      <c r="D145" s="15">
        <f t="shared" si="4"/>
        <v>1.0001992168859664E-2</v>
      </c>
      <c r="G145" s="69">
        <v>45818</v>
      </c>
      <c r="H145" s="50">
        <v>25104.25</v>
      </c>
      <c r="I145" s="55">
        <f t="shared" si="5"/>
        <v>4.1858459586929797E-5</v>
      </c>
    </row>
    <row r="146" spans="2:9" x14ac:dyDescent="0.25">
      <c r="B146" s="68">
        <v>45819</v>
      </c>
      <c r="C146" s="50">
        <v>1502.1796875</v>
      </c>
      <c r="D146" s="15">
        <f t="shared" si="4"/>
        <v>-1.889373193640298E-2</v>
      </c>
      <c r="G146" s="69">
        <v>45819</v>
      </c>
      <c r="H146" s="50">
        <v>25141.400390625</v>
      </c>
      <c r="I146" s="55">
        <f t="shared" si="5"/>
        <v>1.4798446727146697E-3</v>
      </c>
    </row>
    <row r="147" spans="2:9" x14ac:dyDescent="0.25">
      <c r="B147" s="68">
        <v>45820</v>
      </c>
      <c r="C147" s="50">
        <v>1464.772338867188</v>
      </c>
      <c r="D147" s="15">
        <f t="shared" si="4"/>
        <v>-2.4902046635357666E-2</v>
      </c>
      <c r="G147" s="69">
        <v>45820</v>
      </c>
      <c r="H147" s="50">
        <v>24888.19921875</v>
      </c>
      <c r="I147" s="55">
        <f t="shared" si="5"/>
        <v>-1.0071084662786611E-2</v>
      </c>
    </row>
    <row r="148" spans="2:9" x14ac:dyDescent="0.25">
      <c r="B148" s="68">
        <v>45821</v>
      </c>
      <c r="C148" s="50">
        <v>1456.193603515625</v>
      </c>
      <c r="D148" s="15">
        <f t="shared" si="4"/>
        <v>-5.8567021808982878E-3</v>
      </c>
      <c r="G148" s="69">
        <v>45821</v>
      </c>
      <c r="H148" s="50">
        <v>24718.599609375</v>
      </c>
      <c r="I148" s="55">
        <f t="shared" si="5"/>
        <v>-6.8144588479197576E-3</v>
      </c>
    </row>
    <row r="149" spans="2:9" x14ac:dyDescent="0.25">
      <c r="B149" s="68">
        <v>45824</v>
      </c>
      <c r="C149" s="50">
        <v>1484.722900390625</v>
      </c>
      <c r="D149" s="15">
        <f t="shared" si="4"/>
        <v>1.9591692207769018E-2</v>
      </c>
      <c r="G149" s="69">
        <v>45824</v>
      </c>
      <c r="H149" s="50">
        <v>24946.5</v>
      </c>
      <c r="I149" s="55">
        <f t="shared" si="5"/>
        <v>9.2197937677085395E-3</v>
      </c>
    </row>
    <row r="150" spans="2:9" x14ac:dyDescent="0.25">
      <c r="B150" s="68">
        <v>45825</v>
      </c>
      <c r="C150" s="50">
        <v>1471.755004882812</v>
      </c>
      <c r="D150" s="15">
        <f t="shared" si="4"/>
        <v>-8.734219364705087E-3</v>
      </c>
      <c r="G150" s="69">
        <v>45825</v>
      </c>
      <c r="H150" s="50">
        <v>24853.400390625</v>
      </c>
      <c r="I150" s="55">
        <f t="shared" si="5"/>
        <v>-3.7319707924959866E-3</v>
      </c>
    </row>
    <row r="151" spans="2:9" x14ac:dyDescent="0.25">
      <c r="B151" s="68">
        <v>45826</v>
      </c>
      <c r="C151" s="50">
        <v>1463.974243164062</v>
      </c>
      <c r="D151" s="15">
        <f t="shared" si="4"/>
        <v>-5.2867234647994144E-3</v>
      </c>
      <c r="G151" s="69">
        <v>45826</v>
      </c>
      <c r="H151" s="50">
        <v>24812.05078125</v>
      </c>
      <c r="I151" s="55">
        <f t="shared" si="5"/>
        <v>-1.6637405234334324E-3</v>
      </c>
    </row>
    <row r="152" spans="2:9" x14ac:dyDescent="0.25">
      <c r="B152" s="68">
        <v>45827</v>
      </c>
      <c r="C152" s="50">
        <v>1465.670166015625</v>
      </c>
      <c r="D152" s="15">
        <f t="shared" si="4"/>
        <v>1.1584376292697041E-3</v>
      </c>
      <c r="G152" s="69">
        <v>45827</v>
      </c>
      <c r="H152" s="50">
        <v>24793.25</v>
      </c>
      <c r="I152" s="55">
        <f t="shared" si="5"/>
        <v>-7.5772782410266082E-4</v>
      </c>
    </row>
    <row r="153" spans="2:9" x14ac:dyDescent="0.25">
      <c r="B153" s="68">
        <v>45828</v>
      </c>
      <c r="C153" s="50">
        <v>1501.381591796875</v>
      </c>
      <c r="D153" s="15">
        <f t="shared" si="4"/>
        <v>2.4365253935904496E-2</v>
      </c>
      <c r="G153" s="69">
        <v>45828</v>
      </c>
      <c r="H153" s="50">
        <v>25112.400390625</v>
      </c>
      <c r="I153" s="55">
        <f t="shared" si="5"/>
        <v>1.287247095983779E-2</v>
      </c>
    </row>
    <row r="154" spans="2:9" x14ac:dyDescent="0.25">
      <c r="B154" s="68">
        <v>45831</v>
      </c>
      <c r="C154" s="50">
        <v>1478.538208007812</v>
      </c>
      <c r="D154" s="15">
        <f t="shared" si="4"/>
        <v>-1.5214908664041626E-2</v>
      </c>
      <c r="G154" s="69">
        <v>45831</v>
      </c>
      <c r="H154" s="50">
        <v>24971.900390625</v>
      </c>
      <c r="I154" s="55">
        <f t="shared" si="5"/>
        <v>-5.5948454872697395E-3</v>
      </c>
    </row>
    <row r="155" spans="2:9" x14ac:dyDescent="0.25">
      <c r="B155" s="68">
        <v>45832</v>
      </c>
      <c r="C155" s="50">
        <v>1501.780639648438</v>
      </c>
      <c r="D155" s="15">
        <f t="shared" si="4"/>
        <v>1.5719872178306948E-2</v>
      </c>
      <c r="G155" s="69">
        <v>45832</v>
      </c>
      <c r="H155" s="50">
        <v>25044.349609375</v>
      </c>
      <c r="I155" s="55">
        <f t="shared" si="5"/>
        <v>2.9012296868362597E-3</v>
      </c>
    </row>
    <row r="156" spans="2:9" x14ac:dyDescent="0.25">
      <c r="B156" s="68">
        <v>45833</v>
      </c>
      <c r="C156" s="50">
        <v>1505.870483398438</v>
      </c>
      <c r="D156" s="15">
        <f t="shared" si="4"/>
        <v>2.7233296541613328E-3</v>
      </c>
      <c r="G156" s="69">
        <v>45833</v>
      </c>
      <c r="H156" s="50">
        <v>25244.75</v>
      </c>
      <c r="I156" s="55">
        <f t="shared" si="5"/>
        <v>8.0018205204253068E-3</v>
      </c>
    </row>
    <row r="157" spans="2:9" x14ac:dyDescent="0.25">
      <c r="B157" s="68">
        <v>45834</v>
      </c>
      <c r="C157" s="50">
        <v>1512.65380859375</v>
      </c>
      <c r="D157" s="15">
        <f t="shared" si="4"/>
        <v>4.5045873932023639E-3</v>
      </c>
      <c r="G157" s="69">
        <v>45834</v>
      </c>
      <c r="H157" s="50">
        <v>25549</v>
      </c>
      <c r="I157" s="55">
        <f t="shared" si="5"/>
        <v>1.2052010814129765E-2</v>
      </c>
    </row>
    <row r="158" spans="2:9" x14ac:dyDescent="0.25">
      <c r="B158" s="68">
        <v>45835</v>
      </c>
      <c r="C158" s="50">
        <v>1504.374267578125</v>
      </c>
      <c r="D158" s="15">
        <f t="shared" si="4"/>
        <v>-5.4735200933531125E-3</v>
      </c>
      <c r="G158" s="69">
        <v>45835</v>
      </c>
      <c r="H158" s="50">
        <v>25637.80078125</v>
      </c>
      <c r="I158" s="55">
        <f t="shared" si="5"/>
        <v>3.4757047731810431E-3</v>
      </c>
    </row>
    <row r="159" spans="2:9" x14ac:dyDescent="0.25">
      <c r="B159" s="68">
        <v>45838</v>
      </c>
      <c r="C159" s="50">
        <v>1484.623168945312</v>
      </c>
      <c r="D159" s="15">
        <f t="shared" si="4"/>
        <v>-1.3129112255163777E-2</v>
      </c>
      <c r="G159" s="69">
        <v>45838</v>
      </c>
      <c r="H159" s="50">
        <v>25517.05078125</v>
      </c>
      <c r="I159" s="55">
        <f t="shared" si="5"/>
        <v>-4.7098423546652057E-3</v>
      </c>
    </row>
    <row r="160" spans="2:9" x14ac:dyDescent="0.25">
      <c r="B160" s="68">
        <v>45839</v>
      </c>
      <c r="C160" s="50">
        <v>1445.919067382812</v>
      </c>
      <c r="D160" s="15">
        <f t="shared" si="4"/>
        <v>-2.606998352989176E-2</v>
      </c>
      <c r="G160" s="69">
        <v>45839</v>
      </c>
      <c r="H160" s="50">
        <v>25541.80078125</v>
      </c>
      <c r="I160" s="55">
        <f t="shared" si="5"/>
        <v>9.6993967728375985E-4</v>
      </c>
    </row>
    <row r="161" spans="2:9" x14ac:dyDescent="0.25">
      <c r="B161" s="68">
        <v>45840</v>
      </c>
      <c r="C161" s="50">
        <v>1448.313110351562</v>
      </c>
      <c r="D161" s="15">
        <f t="shared" si="4"/>
        <v>1.6557240462173883E-3</v>
      </c>
      <c r="G161" s="69">
        <v>45840</v>
      </c>
      <c r="H161" s="50">
        <v>25453.400390625</v>
      </c>
      <c r="I161" s="55">
        <f t="shared" si="5"/>
        <v>-3.4610085397696055E-3</v>
      </c>
    </row>
    <row r="162" spans="2:9" x14ac:dyDescent="0.25">
      <c r="B162" s="68">
        <v>45841</v>
      </c>
      <c r="C162" s="50">
        <v>1441.629638671875</v>
      </c>
      <c r="D162" s="15">
        <f t="shared" si="4"/>
        <v>-4.6146593798800373E-3</v>
      </c>
      <c r="G162" s="69">
        <v>45841</v>
      </c>
      <c r="H162" s="50">
        <v>25405.30078125</v>
      </c>
      <c r="I162" s="55">
        <f t="shared" si="5"/>
        <v>-1.8897125192245401E-3</v>
      </c>
    </row>
    <row r="163" spans="2:9" x14ac:dyDescent="0.25">
      <c r="B163" s="68">
        <v>45842</v>
      </c>
      <c r="C163" s="50">
        <v>1482.727905273438</v>
      </c>
      <c r="D163" s="15">
        <f t="shared" si="4"/>
        <v>2.8508200372063142E-2</v>
      </c>
      <c r="G163" s="69">
        <v>45842</v>
      </c>
      <c r="H163" s="50">
        <v>25461</v>
      </c>
      <c r="I163" s="55">
        <f t="shared" si="5"/>
        <v>2.1924250859925998E-3</v>
      </c>
    </row>
    <row r="164" spans="2:9" x14ac:dyDescent="0.25">
      <c r="B164" s="68">
        <v>45845</v>
      </c>
      <c r="C164" s="50">
        <v>1427.564453125</v>
      </c>
      <c r="D164" s="15">
        <f t="shared" si="4"/>
        <v>-3.7204029108944936E-2</v>
      </c>
      <c r="G164" s="69">
        <v>45845</v>
      </c>
      <c r="H164" s="50">
        <v>25461.30078125</v>
      </c>
      <c r="I164" s="55">
        <f t="shared" si="5"/>
        <v>1.1813410706551508E-5</v>
      </c>
    </row>
    <row r="165" spans="2:9" x14ac:dyDescent="0.25">
      <c r="B165" s="68">
        <v>45846</v>
      </c>
      <c r="C165" s="50">
        <v>1455.295776367188</v>
      </c>
      <c r="D165" s="15">
        <f t="shared" si="4"/>
        <v>1.9425619054525223E-2</v>
      </c>
      <c r="G165" s="69">
        <v>45846</v>
      </c>
      <c r="H165" s="50">
        <v>25522.5</v>
      </c>
      <c r="I165" s="55">
        <f t="shared" si="5"/>
        <v>2.4036171315751087E-3</v>
      </c>
    </row>
    <row r="166" spans="2:9" x14ac:dyDescent="0.25">
      <c r="B166" s="68">
        <v>45847</v>
      </c>
      <c r="C166" s="50">
        <v>1443.52490234375</v>
      </c>
      <c r="D166" s="15">
        <f t="shared" si="4"/>
        <v>-8.0883035700284323E-3</v>
      </c>
      <c r="G166" s="69">
        <v>45847</v>
      </c>
      <c r="H166" s="50">
        <v>25476.099609375</v>
      </c>
      <c r="I166" s="55">
        <f t="shared" si="5"/>
        <v>-1.8180190273288099E-3</v>
      </c>
    </row>
    <row r="167" spans="2:9" x14ac:dyDescent="0.25">
      <c r="B167" s="68">
        <v>45848</v>
      </c>
      <c r="C167" s="50">
        <v>1416.591674804688</v>
      </c>
      <c r="D167" s="15">
        <f t="shared" si="4"/>
        <v>-1.8657958373515027E-2</v>
      </c>
      <c r="G167" s="69">
        <v>45848</v>
      </c>
      <c r="H167" s="50">
        <v>25355.25</v>
      </c>
      <c r="I167" s="55">
        <f t="shared" si="5"/>
        <v>-4.7436464461980687E-3</v>
      </c>
    </row>
    <row r="168" spans="2:9" x14ac:dyDescent="0.25">
      <c r="B168" s="68">
        <v>45849</v>
      </c>
      <c r="C168" s="50">
        <v>1371.802490234375</v>
      </c>
      <c r="D168" s="15">
        <f t="shared" si="4"/>
        <v>-3.1617568680465613E-2</v>
      </c>
      <c r="G168" s="69">
        <v>45849</v>
      </c>
      <c r="H168" s="50">
        <v>25149.849609375</v>
      </c>
      <c r="I168" s="55">
        <f t="shared" si="5"/>
        <v>-8.1009018102760066E-3</v>
      </c>
    </row>
    <row r="169" spans="2:9" x14ac:dyDescent="0.25">
      <c r="B169" s="68">
        <v>45852</v>
      </c>
      <c r="C169" s="50">
        <v>1395.543823242188</v>
      </c>
      <c r="D169" s="15">
        <f t="shared" si="4"/>
        <v>1.7306670003023994E-2</v>
      </c>
      <c r="G169" s="69">
        <v>45852</v>
      </c>
      <c r="H169" s="50">
        <v>25082.30078125</v>
      </c>
      <c r="I169" s="55">
        <f t="shared" si="5"/>
        <v>-2.685854157148504E-3</v>
      </c>
    </row>
    <row r="170" spans="2:9" x14ac:dyDescent="0.25">
      <c r="B170" s="68">
        <v>45853</v>
      </c>
      <c r="C170" s="50">
        <v>1399.7333984375</v>
      </c>
      <c r="D170" s="15">
        <f t="shared" si="4"/>
        <v>3.002109375238815E-3</v>
      </c>
      <c r="G170" s="69">
        <v>45853</v>
      </c>
      <c r="H170" s="50">
        <v>25195.80078125</v>
      </c>
      <c r="I170" s="55">
        <f t="shared" si="5"/>
        <v>4.5251032187942908E-3</v>
      </c>
    </row>
    <row r="171" spans="2:9" x14ac:dyDescent="0.25">
      <c r="B171" s="68">
        <v>45854</v>
      </c>
      <c r="C171" s="50">
        <v>1389.957641601562</v>
      </c>
      <c r="D171" s="15">
        <f t="shared" si="4"/>
        <v>-6.9840134177340252E-3</v>
      </c>
      <c r="G171" s="69">
        <v>45854</v>
      </c>
      <c r="H171" s="50">
        <v>25212.05078125</v>
      </c>
      <c r="I171" s="55">
        <f t="shared" si="5"/>
        <v>6.4494874130338609E-4</v>
      </c>
    </row>
    <row r="172" spans="2:9" x14ac:dyDescent="0.25">
      <c r="B172" s="68">
        <v>45855</v>
      </c>
      <c r="C172" s="50">
        <v>1375.892456054688</v>
      </c>
      <c r="D172" s="15">
        <f t="shared" si="4"/>
        <v>-1.0119146890453234E-2</v>
      </c>
      <c r="G172" s="69">
        <v>45855</v>
      </c>
      <c r="H172" s="50">
        <v>25111.44921875</v>
      </c>
      <c r="I172" s="55">
        <f t="shared" si="5"/>
        <v>-3.9902173517283313E-3</v>
      </c>
    </row>
    <row r="173" spans="2:9" x14ac:dyDescent="0.25">
      <c r="B173" s="68">
        <v>45856</v>
      </c>
      <c r="C173" s="50">
        <v>1361.428344726562</v>
      </c>
      <c r="D173" s="15">
        <f t="shared" si="4"/>
        <v>-1.0512530441224355E-2</v>
      </c>
      <c r="G173" s="69">
        <v>45856</v>
      </c>
      <c r="H173" s="50">
        <v>24968.400390625</v>
      </c>
      <c r="I173" s="55">
        <f t="shared" si="5"/>
        <v>-5.6965580472427835E-3</v>
      </c>
    </row>
    <row r="174" spans="2:9" x14ac:dyDescent="0.25">
      <c r="B174" s="68">
        <v>45859</v>
      </c>
      <c r="C174" s="50">
        <v>1396.341796875</v>
      </c>
      <c r="D174" s="15">
        <f t="shared" si="4"/>
        <v>2.5644722532532693E-2</v>
      </c>
      <c r="G174" s="69">
        <v>45859</v>
      </c>
      <c r="H174" s="50">
        <v>25090.69921875</v>
      </c>
      <c r="I174" s="55">
        <f t="shared" si="5"/>
        <v>4.8981443028652816E-3</v>
      </c>
    </row>
    <row r="175" spans="2:9" x14ac:dyDescent="0.25">
      <c r="B175" s="68">
        <v>45860</v>
      </c>
      <c r="C175" s="50">
        <v>1455.196044921875</v>
      </c>
      <c r="D175" s="15">
        <f t="shared" si="4"/>
        <v>4.2148883732185283E-2</v>
      </c>
      <c r="G175" s="69">
        <v>45860</v>
      </c>
      <c r="H175" s="50">
        <v>25060.900390625</v>
      </c>
      <c r="I175" s="55">
        <f t="shared" si="5"/>
        <v>-1.1876443882732346E-3</v>
      </c>
    </row>
    <row r="176" spans="2:9" x14ac:dyDescent="0.25">
      <c r="B176" s="68">
        <v>45861</v>
      </c>
      <c r="C176" s="50">
        <v>1471.356079101562</v>
      </c>
      <c r="D176" s="15">
        <f t="shared" si="4"/>
        <v>1.1105056419085102E-2</v>
      </c>
      <c r="G176" s="69">
        <v>45861</v>
      </c>
      <c r="H176" s="50">
        <v>25219.900390625</v>
      </c>
      <c r="I176" s="55">
        <f t="shared" si="5"/>
        <v>6.3445445902445829E-3</v>
      </c>
    </row>
    <row r="177" spans="2:9" x14ac:dyDescent="0.25">
      <c r="B177" s="68">
        <v>45862</v>
      </c>
      <c r="C177" s="50">
        <v>1453.599975585938</v>
      </c>
      <c r="D177" s="15">
        <f t="shared" si="4"/>
        <v>-1.2067849358712857E-2</v>
      </c>
      <c r="G177" s="69">
        <v>45862</v>
      </c>
      <c r="H177" s="50">
        <v>25062.099609375</v>
      </c>
      <c r="I177" s="55">
        <f t="shared" si="5"/>
        <v>-6.2569946274910748E-3</v>
      </c>
    </row>
    <row r="178" spans="2:9" x14ac:dyDescent="0.25">
      <c r="B178" s="68">
        <v>45863</v>
      </c>
      <c r="C178" s="50">
        <v>1436.5</v>
      </c>
      <c r="D178" s="15">
        <f t="shared" si="4"/>
        <v>-1.1763879934742705E-2</v>
      </c>
      <c r="G178" s="69">
        <v>45863</v>
      </c>
      <c r="H178" s="50">
        <v>24837</v>
      </c>
      <c r="I178" s="55">
        <f t="shared" si="5"/>
        <v>-8.9816740370306514E-3</v>
      </c>
    </row>
    <row r="179" spans="2:9" x14ac:dyDescent="0.25">
      <c r="B179" s="68">
        <v>45866</v>
      </c>
      <c r="C179" s="50">
        <v>1409.5</v>
      </c>
      <c r="D179" s="15">
        <f t="shared" si="4"/>
        <v>-1.8795683954054954E-2</v>
      </c>
      <c r="G179" s="69">
        <v>45866</v>
      </c>
      <c r="H179" s="50">
        <v>24680.900390625</v>
      </c>
      <c r="I179" s="55">
        <f t="shared" si="5"/>
        <v>-6.2849623293875778E-3</v>
      </c>
    </row>
    <row r="180" spans="2:9" x14ac:dyDescent="0.25">
      <c r="B180" s="68">
        <v>45867</v>
      </c>
      <c r="C180" s="50">
        <v>1409.400024414062</v>
      </c>
      <c r="D180" s="15">
        <f t="shared" si="4"/>
        <v>-7.0929823297594119E-5</v>
      </c>
      <c r="G180" s="69">
        <v>45867</v>
      </c>
      <c r="H180" s="50">
        <v>24821.099609375</v>
      </c>
      <c r="I180" s="55">
        <f t="shared" si="5"/>
        <v>5.6804742343701253E-3</v>
      </c>
    </row>
    <row r="181" spans="2:9" x14ac:dyDescent="0.25">
      <c r="B181" s="68">
        <v>45868</v>
      </c>
      <c r="C181" s="50">
        <v>1395.599975585938</v>
      </c>
      <c r="D181" s="15">
        <f t="shared" si="4"/>
        <v>-9.7914350710056608E-3</v>
      </c>
      <c r="G181" s="69">
        <v>45868</v>
      </c>
      <c r="H181" s="50">
        <v>24855.05078125</v>
      </c>
      <c r="I181" s="55">
        <f t="shared" si="5"/>
        <v>1.367835124523431E-3</v>
      </c>
    </row>
    <row r="182" spans="2:9" x14ac:dyDescent="0.25">
      <c r="B182" s="68">
        <v>45869</v>
      </c>
      <c r="C182" s="50">
        <v>1392.300048828125</v>
      </c>
      <c r="D182" s="15">
        <f t="shared" si="4"/>
        <v>-2.3645219371887238E-3</v>
      </c>
      <c r="G182" s="69">
        <v>45869</v>
      </c>
      <c r="H182" s="50">
        <v>24768.349609375</v>
      </c>
      <c r="I182" s="55">
        <f t="shared" si="5"/>
        <v>-3.4882717656889994E-3</v>
      </c>
    </row>
    <row r="183" spans="2:9" x14ac:dyDescent="0.25">
      <c r="B183" s="68">
        <v>45870</v>
      </c>
      <c r="C183" s="50">
        <v>1367.900024414062</v>
      </c>
      <c r="D183" s="15">
        <f t="shared" si="4"/>
        <v>-1.7524975621885597E-2</v>
      </c>
      <c r="G183" s="69">
        <v>45870</v>
      </c>
      <c r="H183" s="50">
        <v>24565.349609375</v>
      </c>
      <c r="I183" s="55">
        <f t="shared" si="5"/>
        <v>-8.1959437427822079E-3</v>
      </c>
    </row>
    <row r="184" spans="2:9" x14ac:dyDescent="0.25">
      <c r="B184" s="68">
        <v>45873</v>
      </c>
      <c r="C184" s="50">
        <v>1370.900024414062</v>
      </c>
      <c r="D184" s="15">
        <f t="shared" si="4"/>
        <v>2.1931427344517029E-3</v>
      </c>
      <c r="G184" s="69">
        <v>45873</v>
      </c>
      <c r="H184" s="50">
        <v>24722.75</v>
      </c>
      <c r="I184" s="55">
        <f t="shared" si="5"/>
        <v>6.4074150430544208E-3</v>
      </c>
    </row>
    <row r="185" spans="2:9" x14ac:dyDescent="0.25">
      <c r="B185" s="68">
        <v>45874</v>
      </c>
      <c r="C185" s="50">
        <v>1341.699951171875</v>
      </c>
      <c r="D185" s="15">
        <f t="shared" si="4"/>
        <v>-2.1299929040899612E-2</v>
      </c>
      <c r="G185" s="69">
        <v>45874</v>
      </c>
      <c r="H185" s="50">
        <v>24649.55078125</v>
      </c>
      <c r="I185" s="55">
        <f t="shared" si="5"/>
        <v>-2.9608040671041946E-3</v>
      </c>
    </row>
    <row r="186" spans="2:9" x14ac:dyDescent="0.25">
      <c r="B186" s="68">
        <v>45875</v>
      </c>
      <c r="C186" s="50">
        <v>1322.400024414062</v>
      </c>
      <c r="D186" s="15">
        <f t="shared" si="4"/>
        <v>-1.4384681717366066E-2</v>
      </c>
      <c r="G186" s="69">
        <v>45875</v>
      </c>
      <c r="H186" s="50">
        <v>24574.19921875</v>
      </c>
      <c r="I186" s="55">
        <f t="shared" si="5"/>
        <v>-3.0569142281212658E-3</v>
      </c>
    </row>
    <row r="187" spans="2:9" x14ac:dyDescent="0.25">
      <c r="B187" s="68">
        <v>45876</v>
      </c>
      <c r="C187" s="50">
        <v>1361.699951171875</v>
      </c>
      <c r="D187" s="15">
        <f t="shared" si="4"/>
        <v>2.9718637350468979E-2</v>
      </c>
      <c r="G187" s="69">
        <v>45876</v>
      </c>
      <c r="H187" s="50">
        <v>24596.150390625</v>
      </c>
      <c r="I187" s="55">
        <f t="shared" si="5"/>
        <v>8.9326092295416437E-4</v>
      </c>
    </row>
    <row r="188" spans="2:9" x14ac:dyDescent="0.25">
      <c r="B188" s="68">
        <v>45877</v>
      </c>
      <c r="C188" s="50">
        <v>1332</v>
      </c>
      <c r="D188" s="15">
        <f t="shared" si="4"/>
        <v>-2.181093650353394E-2</v>
      </c>
      <c r="G188" s="69">
        <v>45877</v>
      </c>
      <c r="H188" s="50">
        <v>24363.30078125</v>
      </c>
      <c r="I188" s="55">
        <f t="shared" si="5"/>
        <v>-9.4669127354072291E-3</v>
      </c>
    </row>
    <row r="189" spans="2:9" x14ac:dyDescent="0.25">
      <c r="B189" s="68">
        <v>45880</v>
      </c>
      <c r="C189" s="50">
        <v>1320.599975585938</v>
      </c>
      <c r="D189" s="15">
        <f t="shared" si="4"/>
        <v>-8.5585768874339996E-3</v>
      </c>
      <c r="G189" s="69">
        <v>45880</v>
      </c>
      <c r="H189" s="50">
        <v>24585.05078125</v>
      </c>
      <c r="I189" s="55">
        <f t="shared" si="5"/>
        <v>9.1018044718578217E-3</v>
      </c>
    </row>
    <row r="190" spans="2:9" x14ac:dyDescent="0.25">
      <c r="B190" s="68">
        <v>45881</v>
      </c>
      <c r="C190" s="50">
        <v>1321.199951171875</v>
      </c>
      <c r="D190" s="15">
        <f t="shared" si="4"/>
        <v>4.5432045814686184E-4</v>
      </c>
      <c r="G190" s="69">
        <v>45881</v>
      </c>
      <c r="H190" s="50">
        <v>24487.400390625</v>
      </c>
      <c r="I190" s="55">
        <f t="shared" si="5"/>
        <v>-3.9719417907191357E-3</v>
      </c>
    </row>
    <row r="191" spans="2:9" x14ac:dyDescent="0.25">
      <c r="B191" s="68">
        <v>45882</v>
      </c>
      <c r="C191" s="50">
        <v>1325.900024414062</v>
      </c>
      <c r="D191" s="15">
        <f t="shared" si="4"/>
        <v>3.5574276535645932E-3</v>
      </c>
      <c r="G191" s="69">
        <v>45882</v>
      </c>
      <c r="H191" s="50">
        <v>24619.349609375</v>
      </c>
      <c r="I191" s="55">
        <f t="shared" si="5"/>
        <v>5.3884535167121328E-3</v>
      </c>
    </row>
    <row r="192" spans="2:9" x14ac:dyDescent="0.25">
      <c r="B192" s="68">
        <v>45883</v>
      </c>
      <c r="C192" s="50">
        <v>1365.400024414062</v>
      </c>
      <c r="D192" s="15">
        <f t="shared" si="4"/>
        <v>2.9791084752001318E-2</v>
      </c>
      <c r="G192" s="69">
        <v>45883</v>
      </c>
      <c r="H192" s="50">
        <v>24631.30078125</v>
      </c>
      <c r="I192" s="55">
        <f t="shared" si="5"/>
        <v>4.8543816407109475E-4</v>
      </c>
    </row>
    <row r="193" spans="2:9" x14ac:dyDescent="0.25">
      <c r="B193" s="68">
        <v>45887</v>
      </c>
      <c r="C193" s="50">
        <v>1353.599975585938</v>
      </c>
      <c r="D193" s="15">
        <f t="shared" si="4"/>
        <v>-8.6421917512327084E-3</v>
      </c>
      <c r="G193" s="69">
        <v>45887</v>
      </c>
      <c r="H193" s="50">
        <v>24876.94921875</v>
      </c>
      <c r="I193" s="55">
        <f t="shared" si="5"/>
        <v>9.9730192766349646E-3</v>
      </c>
    </row>
    <row r="194" spans="2:9" x14ac:dyDescent="0.25">
      <c r="B194" s="68">
        <v>45888</v>
      </c>
      <c r="C194" s="50">
        <v>1380.800048828125</v>
      </c>
      <c r="D194" s="15">
        <f t="shared" si="4"/>
        <v>2.0094617119369218E-2</v>
      </c>
      <c r="G194" s="69">
        <v>45888</v>
      </c>
      <c r="H194" s="50">
        <v>24980.650390625</v>
      </c>
      <c r="I194" s="55">
        <f t="shared" si="5"/>
        <v>4.1685646806257637E-3</v>
      </c>
    </row>
    <row r="195" spans="2:9" x14ac:dyDescent="0.25">
      <c r="B195" s="68">
        <v>45889</v>
      </c>
      <c r="C195" s="50">
        <v>1395.5</v>
      </c>
      <c r="D195" s="15">
        <f t="shared" si="4"/>
        <v>1.0645966578832766E-2</v>
      </c>
      <c r="G195" s="69">
        <v>45889</v>
      </c>
      <c r="H195" s="50">
        <v>25050.55078125</v>
      </c>
      <c r="I195" s="55">
        <f t="shared" si="5"/>
        <v>2.7981813736617234E-3</v>
      </c>
    </row>
    <row r="196" spans="2:9" x14ac:dyDescent="0.25">
      <c r="B196" s="68">
        <v>45890</v>
      </c>
      <c r="C196" s="50">
        <v>1412.800048828125</v>
      </c>
      <c r="D196" s="15">
        <f t="shared" si="4"/>
        <v>1.2397025315747046E-2</v>
      </c>
      <c r="G196" s="69">
        <v>45890</v>
      </c>
      <c r="H196" s="50">
        <v>25083.75</v>
      </c>
      <c r="I196" s="55">
        <f t="shared" si="5"/>
        <v>1.3252889742787488E-3</v>
      </c>
    </row>
    <row r="197" spans="2:9" x14ac:dyDescent="0.25">
      <c r="B197" s="68">
        <v>45891</v>
      </c>
      <c r="C197" s="50">
        <v>1380.599975585938</v>
      </c>
      <c r="D197" s="15">
        <f t="shared" si="4"/>
        <v>-2.2791670533205299E-2</v>
      </c>
      <c r="G197" s="69">
        <v>45891</v>
      </c>
      <c r="H197" s="50">
        <v>24870.099609375</v>
      </c>
      <c r="I197" s="55">
        <f t="shared" si="5"/>
        <v>-8.5174820600987244E-3</v>
      </c>
    </row>
    <row r="198" spans="2:9" x14ac:dyDescent="0.25">
      <c r="B198" s="68">
        <v>45894</v>
      </c>
      <c r="C198" s="50">
        <v>1406.099975585938</v>
      </c>
      <c r="D198" s="15">
        <f t="shared" si="4"/>
        <v>1.8470230661258302E-2</v>
      </c>
      <c r="G198" s="69">
        <v>45894</v>
      </c>
      <c r="H198" s="50">
        <v>24967.75</v>
      </c>
      <c r="I198" s="55">
        <f t="shared" si="5"/>
        <v>3.9264173509054867E-3</v>
      </c>
    </row>
    <row r="199" spans="2:9" x14ac:dyDescent="0.25">
      <c r="B199" s="68">
        <v>45895</v>
      </c>
      <c r="C199" s="50">
        <v>1395.699951171875</v>
      </c>
      <c r="D199" s="15">
        <f t="shared" si="4"/>
        <v>-7.3963619903549827E-3</v>
      </c>
      <c r="G199" s="69">
        <v>45895</v>
      </c>
      <c r="H199" s="50">
        <v>24712.05078125</v>
      </c>
      <c r="I199" s="55">
        <f t="shared" si="5"/>
        <v>-1.0241179872034878E-2</v>
      </c>
    </row>
    <row r="200" spans="2:9" x14ac:dyDescent="0.25">
      <c r="B200" s="68">
        <v>45897</v>
      </c>
      <c r="C200" s="50">
        <v>1386</v>
      </c>
      <c r="D200" s="15">
        <f t="shared" si="4"/>
        <v>-6.9498828625239595E-3</v>
      </c>
      <c r="G200" s="69">
        <v>45897</v>
      </c>
      <c r="H200" s="50">
        <v>24500.900390625</v>
      </c>
      <c r="I200" s="55">
        <f t="shared" si="5"/>
        <v>-8.5444301039235837E-3</v>
      </c>
    </row>
    <row r="201" spans="2:9" x14ac:dyDescent="0.25">
      <c r="B201" s="68">
        <v>45898</v>
      </c>
      <c r="C201" s="50">
        <v>1358.099975585938</v>
      </c>
      <c r="D201" s="15">
        <f t="shared" ref="D201:D251" si="6">C201/C200-1</f>
        <v>-2.0129887744633534E-2</v>
      </c>
      <c r="G201" s="69">
        <v>45898</v>
      </c>
      <c r="H201" s="50">
        <v>24426.849609375</v>
      </c>
      <c r="I201" s="55">
        <f t="shared" si="5"/>
        <v>-3.0223697933294824E-3</v>
      </c>
    </row>
    <row r="202" spans="2:9" x14ac:dyDescent="0.25">
      <c r="B202" s="68">
        <v>45901</v>
      </c>
      <c r="C202" s="50">
        <v>1371.699951171875</v>
      </c>
      <c r="D202" s="15">
        <f t="shared" si="6"/>
        <v>1.001397233666057E-2</v>
      </c>
      <c r="G202" s="69">
        <v>45901</v>
      </c>
      <c r="H202" s="50">
        <v>24625.05078125</v>
      </c>
      <c r="I202" s="55">
        <f t="shared" ref="I202:I253" si="7">H202/H201-1</f>
        <v>8.1140701746054145E-3</v>
      </c>
    </row>
    <row r="203" spans="2:9" x14ac:dyDescent="0.25">
      <c r="B203" s="68">
        <v>45902</v>
      </c>
      <c r="C203" s="50">
        <v>1364.5</v>
      </c>
      <c r="D203" s="15">
        <f t="shared" si="6"/>
        <v>-5.2489257331560513E-3</v>
      </c>
      <c r="G203" s="69">
        <v>45902</v>
      </c>
      <c r="H203" s="50">
        <v>24579.599609375</v>
      </c>
      <c r="I203" s="55">
        <f t="shared" si="7"/>
        <v>-1.8457290617897026E-3</v>
      </c>
    </row>
    <row r="204" spans="2:9" x14ac:dyDescent="0.25">
      <c r="B204" s="68">
        <v>45903</v>
      </c>
      <c r="C204" s="50">
        <v>1366.400024414062</v>
      </c>
      <c r="D204" s="15">
        <f t="shared" si="6"/>
        <v>1.3924693397302512E-3</v>
      </c>
      <c r="G204" s="69">
        <v>45903</v>
      </c>
      <c r="H204" s="50">
        <v>24715.05078125</v>
      </c>
      <c r="I204" s="55">
        <f t="shared" si="7"/>
        <v>5.5107151470170646E-3</v>
      </c>
    </row>
    <row r="205" spans="2:9" x14ac:dyDescent="0.25">
      <c r="B205" s="68">
        <v>45904</v>
      </c>
      <c r="C205" s="50">
        <v>1331.800048828125</v>
      </c>
      <c r="D205" s="15">
        <f t="shared" si="6"/>
        <v>-2.5321995731648284E-2</v>
      </c>
      <c r="G205" s="69">
        <v>45904</v>
      </c>
      <c r="H205" s="50">
        <v>24734.30078125</v>
      </c>
      <c r="I205" s="55">
        <f t="shared" si="7"/>
        <v>7.7887762280481887E-4</v>
      </c>
    </row>
    <row r="206" spans="2:9" x14ac:dyDescent="0.25">
      <c r="B206" s="68">
        <v>45905</v>
      </c>
      <c r="C206" s="50">
        <v>1347</v>
      </c>
      <c r="D206" s="15">
        <f t="shared" si="6"/>
        <v>1.1413088012160566E-2</v>
      </c>
      <c r="G206" s="69">
        <v>45905</v>
      </c>
      <c r="H206" s="50">
        <v>24741</v>
      </c>
      <c r="I206" s="55">
        <f t="shared" si="7"/>
        <v>2.7084730671167456E-4</v>
      </c>
    </row>
    <row r="207" spans="2:9" x14ac:dyDescent="0.25">
      <c r="B207" s="68">
        <v>45908</v>
      </c>
      <c r="C207" s="50">
        <v>1337</v>
      </c>
      <c r="D207" s="15">
        <f t="shared" si="6"/>
        <v>-7.4239049740163487E-3</v>
      </c>
      <c r="G207" s="69">
        <v>45908</v>
      </c>
      <c r="H207" s="50">
        <v>24773.150390625</v>
      </c>
      <c r="I207" s="55">
        <f t="shared" si="7"/>
        <v>1.2994782193525012E-3</v>
      </c>
    </row>
    <row r="208" spans="2:9" x14ac:dyDescent="0.25">
      <c r="B208" s="68">
        <v>45909</v>
      </c>
      <c r="C208" s="50">
        <v>1349.5</v>
      </c>
      <c r="D208" s="15">
        <f t="shared" si="6"/>
        <v>9.3492894540014859E-3</v>
      </c>
      <c r="G208" s="69">
        <v>45909</v>
      </c>
      <c r="H208" s="50">
        <v>24868.599609375</v>
      </c>
      <c r="I208" s="55">
        <f t="shared" si="7"/>
        <v>3.852930178235292E-3</v>
      </c>
    </row>
    <row r="209" spans="2:9" x14ac:dyDescent="0.25">
      <c r="B209" s="68">
        <v>45910</v>
      </c>
      <c r="C209" s="50">
        <v>1385.800048828125</v>
      </c>
      <c r="D209" s="15">
        <f t="shared" si="6"/>
        <v>2.6898887608836519E-2</v>
      </c>
      <c r="G209" s="69">
        <v>45910</v>
      </c>
      <c r="H209" s="50">
        <v>24973.099609375</v>
      </c>
      <c r="I209" s="55">
        <f t="shared" si="7"/>
        <v>4.2020862308871365E-3</v>
      </c>
    </row>
    <row r="210" spans="2:9" x14ac:dyDescent="0.25">
      <c r="B210" s="68">
        <v>45911</v>
      </c>
      <c r="C210" s="50">
        <v>1371.900024414062</v>
      </c>
      <c r="D210" s="15">
        <f t="shared" si="6"/>
        <v>-1.0030324667557378E-2</v>
      </c>
      <c r="G210" s="69">
        <v>45911</v>
      </c>
      <c r="H210" s="50">
        <v>25005.5</v>
      </c>
      <c r="I210" s="55">
        <f t="shared" si="7"/>
        <v>1.2974116602184615E-3</v>
      </c>
    </row>
    <row r="211" spans="2:9" x14ac:dyDescent="0.25">
      <c r="B211" s="68">
        <v>45912</v>
      </c>
      <c r="C211" s="50">
        <v>1360.599975585938</v>
      </c>
      <c r="D211" s="15">
        <f t="shared" si="6"/>
        <v>-8.2367873948762105E-3</v>
      </c>
      <c r="G211" s="69">
        <v>45912</v>
      </c>
      <c r="H211" s="50">
        <v>25114</v>
      </c>
      <c r="I211" s="55">
        <f t="shared" si="7"/>
        <v>4.3390454100098452E-3</v>
      </c>
    </row>
    <row r="212" spans="2:9" x14ac:dyDescent="0.25">
      <c r="B212" s="68">
        <v>45915</v>
      </c>
      <c r="C212" s="50">
        <v>1362.800048828125</v>
      </c>
      <c r="D212" s="15">
        <f t="shared" si="6"/>
        <v>1.616987565532968E-3</v>
      </c>
      <c r="G212" s="69">
        <v>45915</v>
      </c>
      <c r="H212" s="50">
        <v>25069.19921875</v>
      </c>
      <c r="I212" s="55">
        <f t="shared" si="7"/>
        <v>-1.7838966811339896E-3</v>
      </c>
    </row>
    <row r="213" spans="2:9" x14ac:dyDescent="0.25">
      <c r="B213" s="68">
        <v>45916</v>
      </c>
      <c r="C213" s="50">
        <v>1352.400024414062</v>
      </c>
      <c r="D213" s="15">
        <f t="shared" si="6"/>
        <v>-7.6313648675063739E-3</v>
      </c>
      <c r="G213" s="69">
        <v>45916</v>
      </c>
      <c r="H213" s="50">
        <v>25239.099609375</v>
      </c>
      <c r="I213" s="55">
        <f t="shared" si="7"/>
        <v>6.7772563910986072E-3</v>
      </c>
    </row>
    <row r="214" spans="2:9" x14ac:dyDescent="0.25">
      <c r="B214" s="68">
        <v>45917</v>
      </c>
      <c r="C214" s="50">
        <v>1375</v>
      </c>
      <c r="D214" s="15">
        <f t="shared" si="6"/>
        <v>1.6711013884911363E-2</v>
      </c>
      <c r="G214" s="69">
        <v>45917</v>
      </c>
      <c r="H214" s="50">
        <v>25330.25</v>
      </c>
      <c r="I214" s="55">
        <f t="shared" si="7"/>
        <v>3.6114755294653911E-3</v>
      </c>
    </row>
    <row r="215" spans="2:9" x14ac:dyDescent="0.25">
      <c r="B215" s="68">
        <v>45918</v>
      </c>
      <c r="C215" s="50">
        <v>1384.800048828125</v>
      </c>
      <c r="D215" s="15">
        <f t="shared" si="6"/>
        <v>7.1273082386362763E-3</v>
      </c>
      <c r="G215" s="69">
        <v>45918</v>
      </c>
      <c r="H215" s="50">
        <v>25423.599609375</v>
      </c>
      <c r="I215" s="55">
        <f t="shared" si="7"/>
        <v>3.6853015416349333E-3</v>
      </c>
    </row>
    <row r="216" spans="2:9" x14ac:dyDescent="0.25">
      <c r="B216" s="68">
        <v>45919</v>
      </c>
      <c r="C216" s="50">
        <v>1376.099975585938</v>
      </c>
      <c r="D216" s="15">
        <f t="shared" si="6"/>
        <v>-6.2825483358044387E-3</v>
      </c>
      <c r="G216" s="69">
        <v>45919</v>
      </c>
      <c r="H216" s="50">
        <v>25327.05078125</v>
      </c>
      <c r="I216" s="55">
        <f t="shared" si="7"/>
        <v>-3.7976065391384095E-3</v>
      </c>
    </row>
    <row r="217" spans="2:9" x14ac:dyDescent="0.25">
      <c r="B217" s="68">
        <v>45922</v>
      </c>
      <c r="C217" s="50">
        <v>1417.699951171875</v>
      </c>
      <c r="D217" s="15">
        <f t="shared" si="6"/>
        <v>3.0230343960455208E-2</v>
      </c>
      <c r="G217" s="69">
        <v>45922</v>
      </c>
      <c r="H217" s="50">
        <v>25202.349609375</v>
      </c>
      <c r="I217" s="55">
        <f t="shared" si="7"/>
        <v>-4.9236357186648316E-3</v>
      </c>
    </row>
    <row r="218" spans="2:9" x14ac:dyDescent="0.25">
      <c r="B218" s="68">
        <v>45923</v>
      </c>
      <c r="C218" s="50">
        <v>1393.900024414062</v>
      </c>
      <c r="D218" s="15">
        <f t="shared" si="6"/>
        <v>-1.6787703729650216E-2</v>
      </c>
      <c r="G218" s="69">
        <v>45923</v>
      </c>
      <c r="H218" s="50">
        <v>25169.5</v>
      </c>
      <c r="I218" s="55">
        <f t="shared" si="7"/>
        <v>-1.3034343973540308E-3</v>
      </c>
    </row>
    <row r="219" spans="2:9" x14ac:dyDescent="0.25">
      <c r="B219" s="68">
        <v>45924</v>
      </c>
      <c r="C219" s="50">
        <v>1385.300048828125</v>
      </c>
      <c r="D219" s="15">
        <f t="shared" si="6"/>
        <v>-6.1697219566031469E-3</v>
      </c>
      <c r="G219" s="69">
        <v>45924</v>
      </c>
      <c r="H219" s="50">
        <v>25056.900390625</v>
      </c>
      <c r="I219" s="55">
        <f t="shared" si="7"/>
        <v>-4.4736530076083802E-3</v>
      </c>
    </row>
    <row r="220" spans="2:9" x14ac:dyDescent="0.25">
      <c r="B220" s="68">
        <v>45925</v>
      </c>
      <c r="C220" s="50">
        <v>1358.599975585938</v>
      </c>
      <c r="D220" s="15">
        <f t="shared" si="6"/>
        <v>-1.9273855699906695E-2</v>
      </c>
      <c r="G220" s="69">
        <v>45925</v>
      </c>
      <c r="H220" s="50">
        <v>24890.849609375</v>
      </c>
      <c r="I220" s="55">
        <f t="shared" si="7"/>
        <v>-6.6269482123226808E-3</v>
      </c>
    </row>
    <row r="221" spans="2:9" x14ac:dyDescent="0.25">
      <c r="B221" s="68">
        <v>45926</v>
      </c>
      <c r="C221" s="50">
        <v>1316.199951171875</v>
      </c>
      <c r="D221" s="15">
        <f t="shared" si="6"/>
        <v>-3.1208615616069468E-2</v>
      </c>
      <c r="G221" s="69">
        <v>45926</v>
      </c>
      <c r="H221" s="50">
        <v>24654.69921875</v>
      </c>
      <c r="I221" s="55">
        <f t="shared" si="7"/>
        <v>-9.4874379272315013E-3</v>
      </c>
    </row>
    <row r="222" spans="2:9" x14ac:dyDescent="0.25">
      <c r="B222" s="68">
        <v>45929</v>
      </c>
      <c r="C222" s="50">
        <v>1315.800048828125</v>
      </c>
      <c r="D222" s="15">
        <f t="shared" si="6"/>
        <v>-3.0383099725384E-4</v>
      </c>
      <c r="G222" s="69">
        <v>45929</v>
      </c>
      <c r="H222" s="50">
        <v>24634.900390625</v>
      </c>
      <c r="I222" s="55">
        <f t="shared" si="7"/>
        <v>-8.0304480494097774E-4</v>
      </c>
    </row>
    <row r="223" spans="2:9" x14ac:dyDescent="0.25">
      <c r="B223" s="68">
        <v>45930</v>
      </c>
      <c r="C223" s="50">
        <v>1309.300048828125</v>
      </c>
      <c r="D223" s="15">
        <f t="shared" si="6"/>
        <v>-4.9399602969988354E-3</v>
      </c>
      <c r="G223" s="69">
        <v>45930</v>
      </c>
      <c r="H223" s="50">
        <v>24611.099609375</v>
      </c>
      <c r="I223" s="55">
        <f t="shared" si="7"/>
        <v>-9.6614075448253622E-4</v>
      </c>
    </row>
    <row r="224" spans="2:9" x14ac:dyDescent="0.25">
      <c r="B224" s="68">
        <v>45931</v>
      </c>
      <c r="C224" s="50">
        <v>1338.599975585938</v>
      </c>
      <c r="D224" s="15">
        <f t="shared" si="6"/>
        <v>2.2378313346919532E-2</v>
      </c>
      <c r="G224" s="69">
        <v>45931</v>
      </c>
      <c r="H224" s="50">
        <v>24836.30078125</v>
      </c>
      <c r="I224" s="55">
        <f t="shared" si="7"/>
        <v>9.1503904924759016E-3</v>
      </c>
    </row>
    <row r="225" spans="2:9" x14ac:dyDescent="0.25">
      <c r="B225" s="68">
        <v>45933</v>
      </c>
      <c r="C225" s="50">
        <v>1333.900024414062</v>
      </c>
      <c r="D225" s="15">
        <f t="shared" si="6"/>
        <v>-3.5110946194502057E-3</v>
      </c>
      <c r="G225" s="69">
        <v>45933</v>
      </c>
      <c r="H225" s="50">
        <v>24894.25</v>
      </c>
      <c r="I225" s="55">
        <f t="shared" si="7"/>
        <v>2.3332467769816567E-3</v>
      </c>
    </row>
    <row r="226" spans="2:9" x14ac:dyDescent="0.25">
      <c r="B226" s="68">
        <v>45936</v>
      </c>
      <c r="C226" s="50">
        <v>1379.900024414062</v>
      </c>
      <c r="D226" s="15">
        <f t="shared" si="6"/>
        <v>3.4485343097737875E-2</v>
      </c>
      <c r="G226" s="69">
        <v>45936</v>
      </c>
      <c r="H226" s="50">
        <v>25077.650390625</v>
      </c>
      <c r="I226" s="55">
        <f t="shared" si="7"/>
        <v>7.3671787912872322E-3</v>
      </c>
    </row>
    <row r="227" spans="2:9" x14ac:dyDescent="0.25">
      <c r="B227" s="68">
        <v>45937</v>
      </c>
      <c r="C227" s="50">
        <v>1383.599975585938</v>
      </c>
      <c r="D227" s="15">
        <f t="shared" si="6"/>
        <v>2.6813182885818687E-3</v>
      </c>
      <c r="G227" s="69">
        <v>45937</v>
      </c>
      <c r="H227" s="50">
        <v>25108.30078125</v>
      </c>
      <c r="I227" s="55">
        <f t="shared" si="7"/>
        <v>1.2222193924698033E-3</v>
      </c>
    </row>
    <row r="228" spans="2:9" x14ac:dyDescent="0.25">
      <c r="B228" s="68">
        <v>45938</v>
      </c>
      <c r="C228" s="50">
        <v>1367.5</v>
      </c>
      <c r="D228" s="15">
        <f t="shared" si="6"/>
        <v>-1.1636293632572348E-2</v>
      </c>
      <c r="G228" s="69">
        <v>45938</v>
      </c>
      <c r="H228" s="50">
        <v>25046.150390625</v>
      </c>
      <c r="I228" s="55">
        <f t="shared" si="7"/>
        <v>-2.4752925801897474E-3</v>
      </c>
    </row>
    <row r="229" spans="2:9" x14ac:dyDescent="0.25">
      <c r="B229" s="68">
        <v>45939</v>
      </c>
      <c r="C229" s="50">
        <v>1346.5</v>
      </c>
      <c r="D229" s="15">
        <f t="shared" si="6"/>
        <v>-1.5356489945155372E-2</v>
      </c>
      <c r="G229" s="69">
        <v>45939</v>
      </c>
      <c r="H229" s="50">
        <v>25181.80078125</v>
      </c>
      <c r="I229" s="55">
        <f t="shared" si="7"/>
        <v>5.4160175719368819E-3</v>
      </c>
    </row>
    <row r="230" spans="2:9" x14ac:dyDescent="0.25">
      <c r="B230" s="68">
        <v>45940</v>
      </c>
      <c r="C230" s="50">
        <v>1333.099975585938</v>
      </c>
      <c r="D230" s="15">
        <f t="shared" si="6"/>
        <v>-9.9517448303468869E-3</v>
      </c>
      <c r="G230" s="69">
        <v>45940</v>
      </c>
      <c r="H230" s="50">
        <v>25285.349609375</v>
      </c>
      <c r="I230" s="55">
        <f t="shared" si="7"/>
        <v>4.1120501676790155E-3</v>
      </c>
    </row>
    <row r="231" spans="2:9" x14ac:dyDescent="0.25">
      <c r="B231" s="68">
        <v>45943</v>
      </c>
      <c r="C231" s="50">
        <v>1333.5</v>
      </c>
      <c r="D231" s="15">
        <f t="shared" si="6"/>
        <v>3.000708284359721E-4</v>
      </c>
      <c r="G231" s="69">
        <v>45943</v>
      </c>
      <c r="H231" s="50">
        <v>25227.349609375</v>
      </c>
      <c r="I231" s="55">
        <f t="shared" si="7"/>
        <v>-2.2938183927065925E-3</v>
      </c>
    </row>
    <row r="232" spans="2:9" x14ac:dyDescent="0.25">
      <c r="B232" s="68">
        <v>45944</v>
      </c>
      <c r="C232" s="50">
        <v>1322.300048828125</v>
      </c>
      <c r="D232" s="15">
        <f t="shared" si="6"/>
        <v>-8.3989135147168881E-3</v>
      </c>
      <c r="G232" s="69">
        <v>45944</v>
      </c>
      <c r="H232" s="50">
        <v>25145.5</v>
      </c>
      <c r="I232" s="55">
        <f t="shared" si="7"/>
        <v>-3.2444791324643951E-3</v>
      </c>
    </row>
    <row r="233" spans="2:9" x14ac:dyDescent="0.25">
      <c r="B233" s="68">
        <v>45945</v>
      </c>
      <c r="C233" s="50">
        <v>1334.800048828125</v>
      </c>
      <c r="D233" s="15">
        <f t="shared" si="6"/>
        <v>9.4532250914443061E-3</v>
      </c>
      <c r="G233" s="69">
        <v>45945</v>
      </c>
      <c r="H233" s="50">
        <v>25323.55078125</v>
      </c>
      <c r="I233" s="55">
        <f t="shared" si="7"/>
        <v>7.0808208725219313E-3</v>
      </c>
    </row>
    <row r="234" spans="2:9" x14ac:dyDescent="0.25">
      <c r="B234" s="68">
        <v>45946</v>
      </c>
      <c r="C234" s="50">
        <v>1348.5</v>
      </c>
      <c r="D234" s="15">
        <f t="shared" si="6"/>
        <v>1.0263672962780301E-2</v>
      </c>
      <c r="G234" s="69">
        <v>45946</v>
      </c>
      <c r="H234" s="50">
        <v>25585.30078125</v>
      </c>
      <c r="I234" s="55">
        <f t="shared" si="7"/>
        <v>1.0336228211479837E-2</v>
      </c>
    </row>
    <row r="235" spans="2:9" x14ac:dyDescent="0.25">
      <c r="B235" s="68">
        <v>45947</v>
      </c>
      <c r="C235" s="50">
        <v>1328.300048828125</v>
      </c>
      <c r="D235" s="15">
        <f t="shared" si="6"/>
        <v>-1.4979570761494254E-2</v>
      </c>
      <c r="G235" s="69">
        <v>45947</v>
      </c>
      <c r="H235" s="50">
        <v>25709.849609375</v>
      </c>
      <c r="I235" s="55">
        <f t="shared" si="7"/>
        <v>4.8679837376106594E-3</v>
      </c>
    </row>
    <row r="236" spans="2:9" x14ac:dyDescent="0.25">
      <c r="B236" s="68">
        <v>45950</v>
      </c>
      <c r="C236" s="50">
        <v>1311.5</v>
      </c>
      <c r="D236" s="15">
        <f t="shared" si="6"/>
        <v>-1.2647781533206004E-2</v>
      </c>
      <c r="G236" s="69">
        <v>45950</v>
      </c>
      <c r="H236" s="50">
        <v>25843.150390625</v>
      </c>
      <c r="I236" s="55">
        <f t="shared" si="7"/>
        <v>5.184813729964155E-3</v>
      </c>
    </row>
    <row r="237" spans="2:9" x14ac:dyDescent="0.25">
      <c r="B237" s="68">
        <v>45951</v>
      </c>
      <c r="C237" s="50">
        <v>1317</v>
      </c>
      <c r="D237" s="15">
        <f t="shared" si="6"/>
        <v>4.1936713686618887E-3</v>
      </c>
      <c r="G237" s="69">
        <v>45951</v>
      </c>
      <c r="H237" s="50">
        <v>25868.599609375</v>
      </c>
      <c r="I237" s="55">
        <f t="shared" si="7"/>
        <v>9.8475682590271063E-4</v>
      </c>
    </row>
    <row r="238" spans="2:9" x14ac:dyDescent="0.25">
      <c r="B238" s="68">
        <v>45953</v>
      </c>
      <c r="C238" s="50">
        <v>1379.800048828125</v>
      </c>
      <c r="D238" s="15">
        <f t="shared" si="6"/>
        <v>4.7684167675113853E-2</v>
      </c>
      <c r="G238" s="69">
        <v>45953</v>
      </c>
      <c r="H238" s="50">
        <v>25891.400390625</v>
      </c>
      <c r="I238" s="55">
        <f t="shared" si="7"/>
        <v>8.8140763683774992E-4</v>
      </c>
    </row>
    <row r="239" spans="2:9" x14ac:dyDescent="0.25">
      <c r="B239" s="68">
        <v>45954</v>
      </c>
      <c r="C239" s="50">
        <v>1377.800048828125</v>
      </c>
      <c r="D239" s="15">
        <f t="shared" si="6"/>
        <v>-1.4494853813772357E-3</v>
      </c>
      <c r="G239" s="69">
        <v>45954</v>
      </c>
      <c r="H239" s="50">
        <v>25795.150390625</v>
      </c>
      <c r="I239" s="55">
        <f t="shared" si="7"/>
        <v>-3.7174505259611745E-3</v>
      </c>
    </row>
    <row r="240" spans="2:9" x14ac:dyDescent="0.25">
      <c r="B240" s="68">
        <v>45957</v>
      </c>
      <c r="C240" s="50">
        <v>1364.699951171875</v>
      </c>
      <c r="D240" s="15">
        <f t="shared" si="6"/>
        <v>-9.507981704161006E-3</v>
      </c>
      <c r="G240" s="69">
        <v>45957</v>
      </c>
      <c r="H240" s="50">
        <v>25966.05078125</v>
      </c>
      <c r="I240" s="55">
        <f t="shared" si="7"/>
        <v>6.625291500029773E-3</v>
      </c>
    </row>
    <row r="241" spans="2:9" x14ac:dyDescent="0.25">
      <c r="B241" s="68">
        <v>45958</v>
      </c>
      <c r="C241" s="50">
        <v>1385.699951171875</v>
      </c>
      <c r="D241" s="15">
        <f t="shared" si="6"/>
        <v>1.5387997912630569E-2</v>
      </c>
      <c r="G241" s="69">
        <v>45958</v>
      </c>
      <c r="H241" s="50">
        <v>25936.19921875</v>
      </c>
      <c r="I241" s="55">
        <f t="shared" si="7"/>
        <v>-1.149638146805021E-3</v>
      </c>
    </row>
    <row r="242" spans="2:9" x14ac:dyDescent="0.25">
      <c r="B242" s="68">
        <v>45959</v>
      </c>
      <c r="C242" s="50">
        <v>1389.099975585938</v>
      </c>
      <c r="D242" s="15">
        <f t="shared" si="6"/>
        <v>2.4536512476511785E-3</v>
      </c>
      <c r="G242" s="69">
        <v>45959</v>
      </c>
      <c r="H242" s="50">
        <v>26053.900390625</v>
      </c>
      <c r="I242" s="55">
        <f t="shared" si="7"/>
        <v>4.5381040946781415E-3</v>
      </c>
    </row>
    <row r="243" spans="2:9" x14ac:dyDescent="0.25">
      <c r="B243" s="68">
        <v>45960</v>
      </c>
      <c r="C243" s="50">
        <v>1384.099975585938</v>
      </c>
      <c r="D243" s="15">
        <f t="shared" si="6"/>
        <v>-3.5994529464238312E-3</v>
      </c>
      <c r="G243" s="69">
        <v>45960</v>
      </c>
      <c r="H243" s="50">
        <v>25877.849609375</v>
      </c>
      <c r="I243" s="55">
        <f t="shared" si="7"/>
        <v>-6.7571756478100875E-3</v>
      </c>
    </row>
    <row r="244" spans="2:9" x14ac:dyDescent="0.25">
      <c r="B244" s="68">
        <v>45961</v>
      </c>
      <c r="C244" s="50">
        <v>1378.300048828125</v>
      </c>
      <c r="D244" s="15">
        <f t="shared" si="6"/>
        <v>-4.1903958240860906E-3</v>
      </c>
      <c r="G244" s="69">
        <v>45961</v>
      </c>
      <c r="H244" s="50">
        <v>25722.099609375</v>
      </c>
      <c r="I244" s="55">
        <f t="shared" si="7"/>
        <v>-6.0186608373972161E-3</v>
      </c>
    </row>
    <row r="245" spans="2:9" x14ac:dyDescent="0.25">
      <c r="B245" s="68">
        <v>45964</v>
      </c>
      <c r="C245" s="50">
        <v>1359.599975585938</v>
      </c>
      <c r="D245" s="15">
        <f t="shared" si="6"/>
        <v>-1.3567490807307458E-2</v>
      </c>
      <c r="G245" s="69">
        <v>45964</v>
      </c>
      <c r="H245" s="50">
        <v>25763.349609375</v>
      </c>
      <c r="I245" s="55">
        <f t="shared" si="7"/>
        <v>1.6036793506921665E-3</v>
      </c>
    </row>
    <row r="246" spans="2:9" x14ac:dyDescent="0.25">
      <c r="B246" s="68">
        <v>45965</v>
      </c>
      <c r="C246" s="50">
        <v>1338.699951171875</v>
      </c>
      <c r="D246" s="15">
        <f t="shared" si="6"/>
        <v>-1.5372186517623176E-2</v>
      </c>
      <c r="G246" s="69">
        <v>45965</v>
      </c>
      <c r="H246" s="50">
        <v>25597.650390625</v>
      </c>
      <c r="I246" s="55">
        <f t="shared" si="7"/>
        <v>-6.431586779760301E-3</v>
      </c>
    </row>
    <row r="247" spans="2:9" x14ac:dyDescent="0.25">
      <c r="B247" s="68">
        <v>45966</v>
      </c>
      <c r="C247" s="50">
        <v>1338.699951171875</v>
      </c>
      <c r="D247" s="15">
        <f t="shared" si="6"/>
        <v>0</v>
      </c>
      <c r="G247" s="69">
        <v>45967</v>
      </c>
      <c r="H247" s="50">
        <v>25509.69921875</v>
      </c>
      <c r="I247" s="55">
        <f t="shared" si="7"/>
        <v>-3.4359080045569534E-3</v>
      </c>
    </row>
    <row r="248" spans="2:9" x14ac:dyDescent="0.25">
      <c r="B248" s="68">
        <v>45967</v>
      </c>
      <c r="C248" s="50">
        <v>1326.800048828125</v>
      </c>
      <c r="D248" s="15">
        <f t="shared" si="6"/>
        <v>-8.8891482615899298E-3</v>
      </c>
      <c r="G248" s="69">
        <v>45968</v>
      </c>
      <c r="H248" s="50">
        <v>25492.30078125</v>
      </c>
      <c r="I248" s="55">
        <f t="shared" si="7"/>
        <v>-6.8203224784446626E-4</v>
      </c>
    </row>
    <row r="249" spans="2:9" x14ac:dyDescent="0.25">
      <c r="B249" s="68">
        <v>45968</v>
      </c>
      <c r="C249" s="50">
        <v>1345.400024414062</v>
      </c>
      <c r="D249" s="15">
        <f t="shared" si="6"/>
        <v>1.4018672672167387E-2</v>
      </c>
      <c r="G249" s="69">
        <v>45971</v>
      </c>
      <c r="H249" s="50">
        <v>25574.349609375</v>
      </c>
      <c r="I249" s="55">
        <f t="shared" si="7"/>
        <v>3.2185728871263475E-3</v>
      </c>
    </row>
    <row r="250" spans="2:9" x14ac:dyDescent="0.25">
      <c r="B250" s="68">
        <v>45971</v>
      </c>
      <c r="C250" s="50">
        <v>1342.400024414062</v>
      </c>
      <c r="D250" s="15">
        <f t="shared" si="6"/>
        <v>-2.2298200873800411E-3</v>
      </c>
      <c r="G250" s="69">
        <v>45972</v>
      </c>
      <c r="H250" s="50">
        <v>25694.94921875</v>
      </c>
      <c r="I250" s="55">
        <f t="shared" si="7"/>
        <v>4.7156471705849246E-3</v>
      </c>
    </row>
    <row r="251" spans="2:9" x14ac:dyDescent="0.25">
      <c r="B251" s="68">
        <v>45972</v>
      </c>
      <c r="C251" s="50">
        <v>1341</v>
      </c>
      <c r="D251" s="15">
        <f t="shared" si="6"/>
        <v>-1.0429263919844445E-3</v>
      </c>
      <c r="G251" s="69">
        <v>45973</v>
      </c>
      <c r="H251" s="50">
        <v>25875.80078125</v>
      </c>
      <c r="I251" s="55">
        <f t="shared" si="7"/>
        <v>7.0384090258497345E-3</v>
      </c>
    </row>
    <row r="252" spans="2:9" x14ac:dyDescent="0.25">
      <c r="B252" s="68">
        <v>45973</v>
      </c>
      <c r="C252" s="50">
        <v>1376.400024414062</v>
      </c>
      <c r="D252" s="15">
        <f>C252/C251-1</f>
        <v>2.6398228496690601E-2</v>
      </c>
      <c r="G252" s="69">
        <v>45974</v>
      </c>
      <c r="H252" s="50">
        <v>25879.150390625</v>
      </c>
      <c r="I252" s="55">
        <f t="shared" si="7"/>
        <v>1.2944949620363744E-4</v>
      </c>
    </row>
    <row r="253" spans="2:9" x14ac:dyDescent="0.25">
      <c r="B253" s="68">
        <v>45974</v>
      </c>
      <c r="C253" s="50">
        <v>1347.300048828125</v>
      </c>
      <c r="D253" s="15">
        <f>C253/C252-1</f>
        <v>-2.1142091739154822E-2</v>
      </c>
      <c r="G253" s="69">
        <v>45975</v>
      </c>
      <c r="H253" s="50">
        <v>25910.05078125</v>
      </c>
      <c r="I253" s="55">
        <f t="shared" si="7"/>
        <v>1.194026471448284E-3</v>
      </c>
    </row>
    <row r="254" spans="2:9" x14ac:dyDescent="0.25">
      <c r="B254" s="68"/>
      <c r="C254" s="50"/>
      <c r="D254" s="15"/>
    </row>
    <row r="255" spans="2:9" x14ac:dyDescent="0.25">
      <c r="B255" s="68"/>
      <c r="D255" s="15"/>
    </row>
    <row r="256" spans="2:9" x14ac:dyDescent="0.25">
      <c r="B256" s="68"/>
      <c r="D256" s="15"/>
    </row>
    <row r="257" spans="2:4" x14ac:dyDescent="0.25">
      <c r="B257" s="68"/>
      <c r="D257" s="15"/>
    </row>
    <row r="258" spans="2:4" x14ac:dyDescent="0.25">
      <c r="B258" s="68"/>
      <c r="D258" s="15"/>
    </row>
    <row r="259" spans="2:4" x14ac:dyDescent="0.25">
      <c r="B259" s="68"/>
      <c r="D259" s="15"/>
    </row>
    <row r="260" spans="2:4" x14ac:dyDescent="0.25">
      <c r="B260" s="68"/>
      <c r="C260" s="50"/>
      <c r="D260" s="15"/>
    </row>
    <row r="261" spans="2:4" x14ac:dyDescent="0.25">
      <c r="B261" s="68"/>
      <c r="C261" s="50"/>
      <c r="D261" s="15"/>
    </row>
    <row r="262" spans="2:4" x14ac:dyDescent="0.25">
      <c r="B262" s="68"/>
      <c r="C262" s="50"/>
      <c r="D262" s="15"/>
    </row>
    <row r="263" spans="2:4" x14ac:dyDescent="0.25">
      <c r="B263" s="68"/>
      <c r="C263" s="50"/>
      <c r="D263" s="15"/>
    </row>
    <row r="264" spans="2:4" x14ac:dyDescent="0.25">
      <c r="B264" s="68"/>
      <c r="C264" s="50"/>
      <c r="D264" s="15"/>
    </row>
    <row r="265" spans="2:4" x14ac:dyDescent="0.25">
      <c r="B265" s="68"/>
      <c r="C265" s="50"/>
      <c r="D265" s="15"/>
    </row>
    <row r="266" spans="2:4" x14ac:dyDescent="0.25">
      <c r="B266" s="68"/>
      <c r="C266" s="50"/>
      <c r="D266" s="15"/>
    </row>
    <row r="267" spans="2:4" x14ac:dyDescent="0.25">
      <c r="B267" s="68"/>
      <c r="C267" s="50"/>
      <c r="D267" s="15"/>
    </row>
    <row r="268" spans="2:4" x14ac:dyDescent="0.25">
      <c r="B268" s="68"/>
      <c r="C268" s="50"/>
      <c r="D268" s="15"/>
    </row>
    <row r="269" spans="2:4" x14ac:dyDescent="0.25">
      <c r="B269" s="68"/>
      <c r="C269" s="50"/>
      <c r="D269" s="15"/>
    </row>
    <row r="270" spans="2:4" x14ac:dyDescent="0.25">
      <c r="B270" s="68"/>
      <c r="C270" s="50"/>
      <c r="D270" s="15"/>
    </row>
    <row r="271" spans="2:4" x14ac:dyDescent="0.25">
      <c r="B271" s="68"/>
      <c r="C271" s="50"/>
      <c r="D271" s="15"/>
    </row>
    <row r="272" spans="2:4" x14ac:dyDescent="0.25">
      <c r="B272" s="68"/>
      <c r="C272" s="50"/>
      <c r="D272" s="15"/>
    </row>
    <row r="273" spans="2:4" x14ac:dyDescent="0.25">
      <c r="B273" s="68"/>
      <c r="C273" s="50"/>
      <c r="D273" s="15"/>
    </row>
    <row r="274" spans="2:4" x14ac:dyDescent="0.25">
      <c r="B274" s="68"/>
      <c r="C274" s="50"/>
      <c r="D274" s="15"/>
    </row>
    <row r="275" spans="2:4" x14ac:dyDescent="0.25">
      <c r="B275" s="68"/>
      <c r="C275" s="50"/>
      <c r="D275" s="15"/>
    </row>
    <row r="276" spans="2:4" x14ac:dyDescent="0.25">
      <c r="B276" s="68"/>
      <c r="C276" s="50"/>
      <c r="D276" s="15"/>
    </row>
    <row r="277" spans="2:4" x14ac:dyDescent="0.25">
      <c r="B277" s="68"/>
      <c r="C277" s="50"/>
      <c r="D277" s="15"/>
    </row>
    <row r="278" spans="2:4" x14ac:dyDescent="0.25">
      <c r="B278" s="68"/>
      <c r="C278" s="50"/>
      <c r="D278" s="15"/>
    </row>
    <row r="279" spans="2:4" x14ac:dyDescent="0.25">
      <c r="B279" s="68"/>
      <c r="C279" s="50"/>
      <c r="D279" s="15"/>
    </row>
    <row r="280" spans="2:4" x14ac:dyDescent="0.25">
      <c r="B280" s="68"/>
      <c r="C280" s="50"/>
      <c r="D280" s="15"/>
    </row>
    <row r="281" spans="2:4" x14ac:dyDescent="0.25">
      <c r="B281" s="68"/>
      <c r="C281" s="50"/>
      <c r="D281" s="15"/>
    </row>
    <row r="282" spans="2:4" x14ac:dyDescent="0.25">
      <c r="B282" s="68"/>
      <c r="C282" s="50"/>
      <c r="D282" s="15"/>
    </row>
    <row r="283" spans="2:4" x14ac:dyDescent="0.25">
      <c r="B283" s="68"/>
      <c r="C283" s="50"/>
      <c r="D283" s="15"/>
    </row>
    <row r="284" spans="2:4" x14ac:dyDescent="0.25">
      <c r="B284" s="68"/>
      <c r="C284" s="50"/>
      <c r="D284" s="15"/>
    </row>
    <row r="285" spans="2:4" x14ac:dyDescent="0.25">
      <c r="B285" s="68"/>
      <c r="C285" s="50"/>
      <c r="D285" s="15"/>
    </row>
    <row r="286" spans="2:4" x14ac:dyDescent="0.25">
      <c r="B286" s="68"/>
      <c r="C286" s="50"/>
      <c r="D286" s="15"/>
    </row>
    <row r="287" spans="2:4" x14ac:dyDescent="0.25">
      <c r="B287" s="68"/>
      <c r="C287" s="50"/>
      <c r="D287" s="15"/>
    </row>
    <row r="288" spans="2:4" x14ac:dyDescent="0.25">
      <c r="B288" s="68"/>
      <c r="C288" s="50"/>
      <c r="D288" s="15"/>
    </row>
    <row r="289" spans="2:4" x14ac:dyDescent="0.25">
      <c r="B289" s="68"/>
      <c r="C289" s="50"/>
      <c r="D289" s="15"/>
    </row>
    <row r="290" spans="2:4" x14ac:dyDescent="0.25">
      <c r="B290" s="68"/>
      <c r="C290" s="50"/>
      <c r="D290" s="15"/>
    </row>
    <row r="291" spans="2:4" x14ac:dyDescent="0.25">
      <c r="B291" s="68"/>
      <c r="C291" s="50"/>
      <c r="D291" s="15"/>
    </row>
    <row r="292" spans="2:4" x14ac:dyDescent="0.25">
      <c r="B292" s="68"/>
      <c r="C292" s="50"/>
      <c r="D292" s="15"/>
    </row>
    <row r="293" spans="2:4" x14ac:dyDescent="0.25">
      <c r="B293" s="68"/>
      <c r="C293" s="50"/>
      <c r="D293" s="15"/>
    </row>
    <row r="294" spans="2:4" x14ac:dyDescent="0.25">
      <c r="B294" s="68"/>
      <c r="C294" s="50"/>
      <c r="D294" s="15"/>
    </row>
    <row r="295" spans="2:4" x14ac:dyDescent="0.25">
      <c r="B295" s="68"/>
      <c r="C295" s="50"/>
      <c r="D295" s="15"/>
    </row>
    <row r="296" spans="2:4" x14ac:dyDescent="0.25">
      <c r="B296" s="68"/>
      <c r="C296" s="50"/>
      <c r="D296" s="15"/>
    </row>
    <row r="297" spans="2:4" x14ac:dyDescent="0.25">
      <c r="B297" s="68"/>
      <c r="C297" s="50"/>
      <c r="D297" s="15"/>
    </row>
    <row r="298" spans="2:4" x14ac:dyDescent="0.25">
      <c r="B298" s="68"/>
      <c r="C298" s="50"/>
      <c r="D298" s="15"/>
    </row>
    <row r="299" spans="2:4" x14ac:dyDescent="0.25">
      <c r="B299" s="68"/>
      <c r="C299" s="50"/>
      <c r="D299" s="15"/>
    </row>
    <row r="300" spans="2:4" x14ac:dyDescent="0.25">
      <c r="B300" s="68"/>
      <c r="C300" s="50"/>
      <c r="D300" s="15"/>
    </row>
    <row r="301" spans="2:4" x14ac:dyDescent="0.25">
      <c r="B301" s="68"/>
      <c r="C301" s="50"/>
      <c r="D301" s="15"/>
    </row>
    <row r="302" spans="2:4" x14ac:dyDescent="0.25">
      <c r="B302" s="68"/>
      <c r="C302" s="50"/>
      <c r="D302" s="15"/>
    </row>
    <row r="303" spans="2:4" x14ac:dyDescent="0.25">
      <c r="B303" s="68"/>
      <c r="C303" s="50"/>
      <c r="D303" s="15"/>
    </row>
    <row r="304" spans="2:4" x14ac:dyDescent="0.25">
      <c r="B304" s="68"/>
      <c r="C304" s="50"/>
      <c r="D304" s="15"/>
    </row>
    <row r="305" spans="2:4" x14ac:dyDescent="0.25">
      <c r="B305" s="68"/>
      <c r="C305" s="50"/>
      <c r="D305" s="15"/>
    </row>
    <row r="306" spans="2:4" x14ac:dyDescent="0.25">
      <c r="B306" s="68"/>
      <c r="C306" s="50"/>
      <c r="D306" s="15"/>
    </row>
    <row r="307" spans="2:4" x14ac:dyDescent="0.25">
      <c r="B307" s="68"/>
      <c r="C307" s="50"/>
      <c r="D307" s="15"/>
    </row>
    <row r="308" spans="2:4" x14ac:dyDescent="0.25">
      <c r="B308" s="68"/>
      <c r="C308" s="50"/>
      <c r="D308" s="15"/>
    </row>
    <row r="309" spans="2:4" x14ac:dyDescent="0.25">
      <c r="B309" s="68"/>
      <c r="C309" s="50"/>
      <c r="D309" s="15"/>
    </row>
    <row r="310" spans="2:4" x14ac:dyDescent="0.25">
      <c r="B310" s="68"/>
      <c r="C310" s="50"/>
      <c r="D310" s="15"/>
    </row>
    <row r="311" spans="2:4" x14ac:dyDescent="0.25">
      <c r="B311" s="68"/>
      <c r="C311" s="50"/>
      <c r="D311" s="15"/>
    </row>
    <row r="312" spans="2:4" x14ac:dyDescent="0.25">
      <c r="B312" s="68"/>
      <c r="C312" s="50"/>
      <c r="D312" s="15"/>
    </row>
    <row r="313" spans="2:4" x14ac:dyDescent="0.25">
      <c r="B313" s="68"/>
      <c r="C313" s="50"/>
      <c r="D313" s="15"/>
    </row>
    <row r="314" spans="2:4" x14ac:dyDescent="0.25">
      <c r="B314" s="68"/>
      <c r="C314" s="50"/>
      <c r="D314" s="15"/>
    </row>
    <row r="315" spans="2:4" x14ac:dyDescent="0.25">
      <c r="B315" s="68"/>
      <c r="C315" s="50"/>
      <c r="D315" s="15"/>
    </row>
    <row r="316" spans="2:4" x14ac:dyDescent="0.25">
      <c r="B316" s="68"/>
      <c r="C316" s="50"/>
      <c r="D316" s="15"/>
    </row>
    <row r="317" spans="2:4" x14ac:dyDescent="0.25">
      <c r="B317" s="68"/>
      <c r="C317" s="50"/>
      <c r="D317" s="15"/>
    </row>
    <row r="318" spans="2:4" x14ac:dyDescent="0.25">
      <c r="B318" s="68"/>
      <c r="C318" s="50"/>
      <c r="D318" s="15"/>
    </row>
    <row r="319" spans="2:4" x14ac:dyDescent="0.25">
      <c r="B319" s="68"/>
      <c r="C319" s="50"/>
      <c r="D319" s="15"/>
    </row>
    <row r="320" spans="2:4" x14ac:dyDescent="0.25">
      <c r="B320" s="68"/>
      <c r="C320" s="50"/>
      <c r="D320" s="15"/>
    </row>
    <row r="321" spans="2:4" x14ac:dyDescent="0.25">
      <c r="B321" s="68"/>
      <c r="C321" s="50"/>
      <c r="D321" s="15"/>
    </row>
    <row r="322" spans="2:4" x14ac:dyDescent="0.25">
      <c r="B322" s="68"/>
      <c r="C322" s="50"/>
      <c r="D322" s="15"/>
    </row>
    <row r="323" spans="2:4" x14ac:dyDescent="0.25">
      <c r="B323" s="68"/>
      <c r="C323" s="50"/>
      <c r="D323" s="15"/>
    </row>
    <row r="324" spans="2:4" x14ac:dyDescent="0.25">
      <c r="B324" s="68"/>
      <c r="C324" s="50"/>
      <c r="D324" s="15"/>
    </row>
    <row r="325" spans="2:4" x14ac:dyDescent="0.25">
      <c r="B325" s="68"/>
      <c r="C325" s="50"/>
      <c r="D325" s="15"/>
    </row>
    <row r="326" spans="2:4" x14ac:dyDescent="0.25">
      <c r="B326" s="68"/>
      <c r="C326" s="50"/>
      <c r="D326" s="15"/>
    </row>
    <row r="327" spans="2:4" x14ac:dyDescent="0.25">
      <c r="B327" s="68"/>
      <c r="C327" s="50"/>
      <c r="D327" s="15"/>
    </row>
    <row r="328" spans="2:4" x14ac:dyDescent="0.25">
      <c r="B328" s="68"/>
      <c r="C328" s="50"/>
      <c r="D328" s="15"/>
    </row>
    <row r="329" spans="2:4" x14ac:dyDescent="0.25">
      <c r="B329" s="68"/>
      <c r="C329" s="50"/>
      <c r="D329" s="15"/>
    </row>
    <row r="330" spans="2:4" x14ac:dyDescent="0.25">
      <c r="B330" s="68"/>
      <c r="C330" s="50"/>
      <c r="D330" s="15"/>
    </row>
    <row r="331" spans="2:4" x14ac:dyDescent="0.25">
      <c r="B331" s="68"/>
      <c r="C331" s="50"/>
      <c r="D331" s="15"/>
    </row>
    <row r="332" spans="2:4" x14ac:dyDescent="0.25">
      <c r="B332" s="68"/>
      <c r="C332" s="50"/>
      <c r="D332" s="15"/>
    </row>
    <row r="333" spans="2:4" x14ac:dyDescent="0.25">
      <c r="B333" s="68"/>
      <c r="C333" s="50"/>
      <c r="D333" s="15"/>
    </row>
    <row r="334" spans="2:4" x14ac:dyDescent="0.25">
      <c r="B334" s="68"/>
      <c r="C334" s="50"/>
      <c r="D334" s="15"/>
    </row>
    <row r="335" spans="2:4" x14ac:dyDescent="0.25">
      <c r="B335" s="68"/>
      <c r="C335" s="50"/>
      <c r="D335" s="15"/>
    </row>
    <row r="336" spans="2:4" x14ac:dyDescent="0.25">
      <c r="B336" s="68"/>
      <c r="C336" s="50"/>
      <c r="D336" s="15"/>
    </row>
    <row r="337" spans="2:4" x14ac:dyDescent="0.25">
      <c r="B337" s="68"/>
      <c r="C337" s="50"/>
      <c r="D337" s="15"/>
    </row>
    <row r="338" spans="2:4" x14ac:dyDescent="0.25">
      <c r="B338" s="68"/>
      <c r="C338" s="50"/>
      <c r="D338" s="15"/>
    </row>
    <row r="339" spans="2:4" x14ac:dyDescent="0.25">
      <c r="B339" s="68"/>
      <c r="C339" s="50"/>
      <c r="D339" s="15"/>
    </row>
    <row r="340" spans="2:4" x14ac:dyDescent="0.25">
      <c r="B340" s="68"/>
      <c r="C340" s="50"/>
      <c r="D340" s="15"/>
    </row>
    <row r="341" spans="2:4" x14ac:dyDescent="0.25">
      <c r="B341" s="68"/>
      <c r="C341" s="50"/>
      <c r="D341" s="15"/>
    </row>
    <row r="342" spans="2:4" x14ac:dyDescent="0.25">
      <c r="B342" s="68"/>
      <c r="C342" s="50"/>
      <c r="D342" s="15"/>
    </row>
    <row r="343" spans="2:4" x14ac:dyDescent="0.25">
      <c r="B343" s="68"/>
      <c r="C343" s="50"/>
      <c r="D343" s="15"/>
    </row>
    <row r="344" spans="2:4" x14ac:dyDescent="0.25">
      <c r="B344" s="68"/>
      <c r="C344" s="50"/>
      <c r="D344" s="15"/>
    </row>
    <row r="345" spans="2:4" x14ac:dyDescent="0.25">
      <c r="B345" s="68"/>
      <c r="C345" s="50"/>
      <c r="D345" s="15"/>
    </row>
    <row r="346" spans="2:4" x14ac:dyDescent="0.25">
      <c r="B346" s="68"/>
      <c r="C346" s="50"/>
      <c r="D346" s="15"/>
    </row>
    <row r="347" spans="2:4" x14ac:dyDescent="0.25">
      <c r="B347" s="68"/>
      <c r="C347" s="50"/>
      <c r="D347" s="15"/>
    </row>
    <row r="348" spans="2:4" x14ac:dyDescent="0.25">
      <c r="B348" s="68"/>
      <c r="C348" s="50"/>
      <c r="D348" s="15"/>
    </row>
    <row r="349" spans="2:4" x14ac:dyDescent="0.25">
      <c r="B349" s="68"/>
      <c r="C349" s="50"/>
      <c r="D349" s="15"/>
    </row>
    <row r="350" spans="2:4" x14ac:dyDescent="0.25">
      <c r="B350" s="68"/>
      <c r="C350" s="50"/>
      <c r="D350" s="15"/>
    </row>
    <row r="351" spans="2:4" x14ac:dyDescent="0.25">
      <c r="B351" s="68"/>
      <c r="C351" s="50"/>
      <c r="D351" s="15"/>
    </row>
    <row r="352" spans="2:4" x14ac:dyDescent="0.25">
      <c r="B352" s="68"/>
      <c r="C352" s="50"/>
      <c r="D352" s="15"/>
    </row>
    <row r="353" spans="2:4" x14ac:dyDescent="0.25">
      <c r="B353" s="68"/>
      <c r="C353" s="50"/>
      <c r="D353" s="15"/>
    </row>
    <row r="354" spans="2:4" x14ac:dyDescent="0.25">
      <c r="B354" s="68"/>
      <c r="C354" s="50"/>
      <c r="D354" s="15"/>
    </row>
    <row r="355" spans="2:4" x14ac:dyDescent="0.25">
      <c r="B355" s="68"/>
      <c r="C355" s="50"/>
      <c r="D355" s="15"/>
    </row>
    <row r="356" spans="2:4" x14ac:dyDescent="0.25">
      <c r="B356" s="68"/>
      <c r="C356" s="50"/>
      <c r="D356" s="15"/>
    </row>
    <row r="357" spans="2:4" x14ac:dyDescent="0.25">
      <c r="B357" s="68"/>
      <c r="C357" s="50"/>
      <c r="D357" s="15"/>
    </row>
    <row r="358" spans="2:4" x14ac:dyDescent="0.25">
      <c r="B358" s="68"/>
      <c r="C358" s="50"/>
      <c r="D358" s="15"/>
    </row>
    <row r="359" spans="2:4" x14ac:dyDescent="0.25">
      <c r="B359" s="68"/>
      <c r="C359" s="50"/>
      <c r="D359" s="15"/>
    </row>
    <row r="360" spans="2:4" x14ac:dyDescent="0.25">
      <c r="B360" s="68"/>
      <c r="C360" s="50"/>
      <c r="D360" s="15"/>
    </row>
    <row r="361" spans="2:4" x14ac:dyDescent="0.25">
      <c r="B361" s="68"/>
      <c r="C361" s="50"/>
      <c r="D361" s="15"/>
    </row>
    <row r="362" spans="2:4" x14ac:dyDescent="0.25">
      <c r="B362" s="68"/>
      <c r="C362" s="50"/>
      <c r="D362" s="15"/>
    </row>
    <row r="363" spans="2:4" x14ac:dyDescent="0.25">
      <c r="B363" s="68"/>
      <c r="C363" s="50"/>
      <c r="D363" s="15"/>
    </row>
    <row r="364" spans="2:4" x14ac:dyDescent="0.25">
      <c r="B364" s="68"/>
      <c r="C364" s="50"/>
      <c r="D364" s="15"/>
    </row>
    <row r="365" spans="2:4" x14ac:dyDescent="0.25">
      <c r="B365" s="68"/>
      <c r="C365" s="50"/>
      <c r="D365" s="15"/>
    </row>
    <row r="366" spans="2:4" x14ac:dyDescent="0.25">
      <c r="B366" s="68"/>
      <c r="C366" s="50"/>
      <c r="D366" s="15"/>
    </row>
    <row r="367" spans="2:4" x14ac:dyDescent="0.25">
      <c r="B367" s="68"/>
      <c r="C367" s="50"/>
      <c r="D367" s="15"/>
    </row>
    <row r="368" spans="2:4" x14ac:dyDescent="0.25">
      <c r="B368" s="68"/>
      <c r="C368" s="50"/>
      <c r="D368" s="15"/>
    </row>
    <row r="369" spans="2:4" x14ac:dyDescent="0.25">
      <c r="B369" s="68"/>
      <c r="C369" s="50"/>
      <c r="D369" s="15"/>
    </row>
    <row r="370" spans="2:4" x14ac:dyDescent="0.25">
      <c r="B370" s="68"/>
      <c r="C370" s="50"/>
      <c r="D370" s="15"/>
    </row>
    <row r="371" spans="2:4" x14ac:dyDescent="0.25">
      <c r="B371" s="68"/>
      <c r="C371" s="50"/>
      <c r="D371" s="15"/>
    </row>
    <row r="372" spans="2:4" x14ac:dyDescent="0.25">
      <c r="B372" s="68"/>
      <c r="C372" s="50"/>
      <c r="D372" s="15"/>
    </row>
    <row r="373" spans="2:4" x14ac:dyDescent="0.25">
      <c r="B373" s="68"/>
      <c r="C373" s="50"/>
      <c r="D373" s="15"/>
    </row>
    <row r="374" spans="2:4" x14ac:dyDescent="0.25">
      <c r="B374" s="68"/>
      <c r="C374" s="50"/>
      <c r="D374" s="15"/>
    </row>
    <row r="375" spans="2:4" x14ac:dyDescent="0.25">
      <c r="B375" s="68"/>
      <c r="C375" s="50"/>
      <c r="D375" s="15"/>
    </row>
    <row r="376" spans="2:4" x14ac:dyDescent="0.25">
      <c r="B376" s="68"/>
      <c r="C376" s="50"/>
      <c r="D376" s="15"/>
    </row>
    <row r="377" spans="2:4" x14ac:dyDescent="0.25">
      <c r="B377" s="68"/>
      <c r="C377" s="50"/>
      <c r="D377" s="15"/>
    </row>
    <row r="378" spans="2:4" x14ac:dyDescent="0.25">
      <c r="B378" s="68"/>
      <c r="C378" s="50"/>
      <c r="D378" s="15"/>
    </row>
    <row r="379" spans="2:4" x14ac:dyDescent="0.25">
      <c r="B379" s="68"/>
      <c r="C379" s="50"/>
      <c r="D379" s="15"/>
    </row>
    <row r="380" spans="2:4" x14ac:dyDescent="0.25">
      <c r="B380" s="68"/>
      <c r="C380" s="50"/>
      <c r="D380" s="15"/>
    </row>
    <row r="381" spans="2:4" x14ac:dyDescent="0.25">
      <c r="B381" s="68"/>
      <c r="C381" s="50"/>
      <c r="D381" s="15"/>
    </row>
    <row r="382" spans="2:4" x14ac:dyDescent="0.25">
      <c r="B382" s="68"/>
      <c r="C382" s="50"/>
      <c r="D382" s="15"/>
    </row>
    <row r="383" spans="2:4" x14ac:dyDescent="0.25">
      <c r="B383" s="68"/>
      <c r="C383" s="50"/>
      <c r="D383" s="15"/>
    </row>
    <row r="384" spans="2:4" x14ac:dyDescent="0.25">
      <c r="B384" s="68"/>
      <c r="C384" s="50"/>
      <c r="D384" s="15"/>
    </row>
    <row r="385" spans="2:4" x14ac:dyDescent="0.25">
      <c r="B385" s="68"/>
      <c r="C385" s="50"/>
      <c r="D385" s="15"/>
    </row>
    <row r="386" spans="2:4" x14ac:dyDescent="0.25">
      <c r="B386" s="68"/>
      <c r="C386" s="50"/>
      <c r="D386" s="15"/>
    </row>
    <row r="387" spans="2:4" x14ac:dyDescent="0.25">
      <c r="B387" s="68"/>
      <c r="C387" s="50"/>
      <c r="D387" s="15"/>
    </row>
    <row r="388" spans="2:4" x14ac:dyDescent="0.25">
      <c r="B388" s="68"/>
      <c r="C388" s="50"/>
      <c r="D388" s="15"/>
    </row>
    <row r="389" spans="2:4" x14ac:dyDescent="0.25">
      <c r="B389" s="68"/>
      <c r="C389" s="50"/>
      <c r="D389" s="15"/>
    </row>
    <row r="390" spans="2:4" x14ac:dyDescent="0.25">
      <c r="B390" s="68"/>
      <c r="C390" s="50"/>
      <c r="D390" s="15"/>
    </row>
    <row r="391" spans="2:4" x14ac:dyDescent="0.25">
      <c r="B391" s="68"/>
      <c r="C391" s="50"/>
      <c r="D391" s="15"/>
    </row>
    <row r="392" spans="2:4" x14ac:dyDescent="0.25">
      <c r="B392" s="68"/>
      <c r="C392" s="50"/>
      <c r="D392" s="15"/>
    </row>
    <row r="393" spans="2:4" x14ac:dyDescent="0.25">
      <c r="B393" s="68"/>
      <c r="C393" s="50"/>
      <c r="D393" s="15"/>
    </row>
    <row r="394" spans="2:4" x14ac:dyDescent="0.25">
      <c r="B394" s="68"/>
      <c r="C394" s="50"/>
      <c r="D394" s="15"/>
    </row>
    <row r="395" spans="2:4" x14ac:dyDescent="0.25">
      <c r="B395" s="68"/>
      <c r="C395" s="50"/>
      <c r="D395" s="15"/>
    </row>
    <row r="396" spans="2:4" x14ac:dyDescent="0.25">
      <c r="B396" s="68"/>
      <c r="C396" s="50"/>
      <c r="D396" s="15"/>
    </row>
    <row r="397" spans="2:4" x14ac:dyDescent="0.25">
      <c r="B397" s="68"/>
      <c r="C397" s="50"/>
      <c r="D397" s="15"/>
    </row>
    <row r="398" spans="2:4" x14ac:dyDescent="0.25">
      <c r="B398" s="68"/>
      <c r="C398" s="50"/>
      <c r="D398" s="15"/>
    </row>
    <row r="399" spans="2:4" x14ac:dyDescent="0.25">
      <c r="B399" s="68"/>
      <c r="C399" s="50"/>
      <c r="D399" s="15"/>
    </row>
    <row r="400" spans="2:4" x14ac:dyDescent="0.25">
      <c r="B400" s="68"/>
      <c r="C400" s="50"/>
      <c r="D400" s="15"/>
    </row>
    <row r="401" spans="2:4" x14ac:dyDescent="0.25">
      <c r="B401" s="68"/>
      <c r="C401" s="50"/>
      <c r="D401" s="15"/>
    </row>
    <row r="402" spans="2:4" x14ac:dyDescent="0.25">
      <c r="B402" s="68"/>
      <c r="C402" s="50"/>
      <c r="D402" s="15"/>
    </row>
    <row r="403" spans="2:4" x14ac:dyDescent="0.25">
      <c r="B403" s="68"/>
      <c r="C403" s="50"/>
      <c r="D403" s="15"/>
    </row>
    <row r="404" spans="2:4" x14ac:dyDescent="0.25">
      <c r="B404" s="68"/>
      <c r="C404" s="50"/>
      <c r="D404" s="15"/>
    </row>
    <row r="405" spans="2:4" x14ac:dyDescent="0.25">
      <c r="B405" s="68"/>
      <c r="C405" s="50"/>
      <c r="D405" s="15"/>
    </row>
    <row r="406" spans="2:4" x14ac:dyDescent="0.25">
      <c r="B406" s="68"/>
      <c r="C406" s="50"/>
      <c r="D406" s="15"/>
    </row>
    <row r="407" spans="2:4" x14ac:dyDescent="0.25">
      <c r="B407" s="68"/>
      <c r="C407" s="50"/>
      <c r="D407" s="15"/>
    </row>
    <row r="408" spans="2:4" x14ac:dyDescent="0.25">
      <c r="B408" s="68"/>
      <c r="C408" s="50"/>
      <c r="D408" s="15"/>
    </row>
    <row r="409" spans="2:4" x14ac:dyDescent="0.25">
      <c r="B409" s="68"/>
      <c r="C409" s="50"/>
      <c r="D409" s="15"/>
    </row>
    <row r="410" spans="2:4" x14ac:dyDescent="0.25">
      <c r="B410" s="68"/>
      <c r="C410" s="50"/>
      <c r="D410" s="15"/>
    </row>
    <row r="411" spans="2:4" x14ac:dyDescent="0.25">
      <c r="B411" s="68"/>
      <c r="C411" s="50"/>
      <c r="D411" s="15"/>
    </row>
    <row r="412" spans="2:4" x14ac:dyDescent="0.25">
      <c r="B412" s="68"/>
      <c r="C412" s="50"/>
      <c r="D412" s="15"/>
    </row>
    <row r="413" spans="2:4" x14ac:dyDescent="0.25">
      <c r="B413" s="68"/>
      <c r="C413" s="50"/>
      <c r="D413" s="15"/>
    </row>
    <row r="414" spans="2:4" x14ac:dyDescent="0.25">
      <c r="B414" s="68"/>
      <c r="C414" s="50"/>
      <c r="D414" s="15"/>
    </row>
    <row r="415" spans="2:4" x14ac:dyDescent="0.25">
      <c r="B415" s="68"/>
      <c r="C415" s="50"/>
      <c r="D415" s="15"/>
    </row>
    <row r="416" spans="2:4" x14ac:dyDescent="0.25">
      <c r="B416" s="68"/>
      <c r="C416" s="50"/>
      <c r="D416" s="15"/>
    </row>
    <row r="417" spans="2:4" x14ac:dyDescent="0.25">
      <c r="B417" s="68"/>
      <c r="C417" s="50"/>
      <c r="D417" s="15"/>
    </row>
    <row r="418" spans="2:4" x14ac:dyDescent="0.25">
      <c r="B418" s="68"/>
      <c r="C418" s="50"/>
      <c r="D418" s="15"/>
    </row>
    <row r="419" spans="2:4" x14ac:dyDescent="0.25">
      <c r="B419" s="68"/>
      <c r="C419" s="50"/>
      <c r="D419" s="15"/>
    </row>
    <row r="420" spans="2:4" x14ac:dyDescent="0.25">
      <c r="B420" s="68"/>
      <c r="C420" s="50"/>
      <c r="D420" s="15"/>
    </row>
    <row r="421" spans="2:4" x14ac:dyDescent="0.25">
      <c r="B421" s="68"/>
      <c r="C421" s="50"/>
      <c r="D421" s="15"/>
    </row>
    <row r="422" spans="2:4" x14ac:dyDescent="0.25">
      <c r="B422" s="68"/>
      <c r="C422" s="50"/>
      <c r="D422" s="15"/>
    </row>
    <row r="423" spans="2:4" x14ac:dyDescent="0.25">
      <c r="B423" s="68"/>
      <c r="C423" s="50"/>
      <c r="D423" s="15"/>
    </row>
    <row r="424" spans="2:4" x14ac:dyDescent="0.25">
      <c r="B424" s="68"/>
      <c r="C424" s="50"/>
      <c r="D424" s="15"/>
    </row>
    <row r="425" spans="2:4" x14ac:dyDescent="0.25">
      <c r="B425" s="68"/>
      <c r="C425" s="50"/>
      <c r="D425" s="15"/>
    </row>
    <row r="426" spans="2:4" x14ac:dyDescent="0.25">
      <c r="B426" s="68"/>
      <c r="C426" s="50"/>
      <c r="D426" s="15"/>
    </row>
    <row r="427" spans="2:4" x14ac:dyDescent="0.25">
      <c r="B427" s="68"/>
      <c r="C427" s="50"/>
      <c r="D427" s="15"/>
    </row>
    <row r="428" spans="2:4" x14ac:dyDescent="0.25">
      <c r="B428" s="68"/>
      <c r="C428" s="50"/>
      <c r="D428" s="15"/>
    </row>
    <row r="429" spans="2:4" x14ac:dyDescent="0.25">
      <c r="B429" s="68"/>
      <c r="C429" s="50"/>
      <c r="D429" s="15"/>
    </row>
    <row r="430" spans="2:4" x14ac:dyDescent="0.25">
      <c r="B430" s="68"/>
      <c r="C430" s="50"/>
      <c r="D430" s="15"/>
    </row>
    <row r="431" spans="2:4" x14ac:dyDescent="0.25">
      <c r="B431" s="68"/>
      <c r="C431" s="50"/>
      <c r="D431" s="15"/>
    </row>
    <row r="432" spans="2:4" x14ac:dyDescent="0.25">
      <c r="B432" s="68"/>
      <c r="C432" s="50"/>
      <c r="D432" s="15"/>
    </row>
    <row r="433" spans="2:4" x14ac:dyDescent="0.25">
      <c r="B433" s="68"/>
      <c r="C433" s="50"/>
      <c r="D433" s="15"/>
    </row>
    <row r="434" spans="2:4" x14ac:dyDescent="0.25">
      <c r="B434" s="68"/>
      <c r="C434" s="50"/>
      <c r="D434" s="15"/>
    </row>
    <row r="435" spans="2:4" x14ac:dyDescent="0.25">
      <c r="B435" s="68"/>
      <c r="C435" s="50"/>
      <c r="D435" s="15"/>
    </row>
    <row r="436" spans="2:4" x14ac:dyDescent="0.25">
      <c r="B436" s="68"/>
      <c r="C436" s="50"/>
      <c r="D436" s="15"/>
    </row>
    <row r="437" spans="2:4" x14ac:dyDescent="0.25">
      <c r="B437" s="68"/>
      <c r="C437" s="50"/>
      <c r="D437" s="15"/>
    </row>
    <row r="438" spans="2:4" x14ac:dyDescent="0.25">
      <c r="B438" s="68"/>
      <c r="C438" s="50"/>
      <c r="D438" s="15"/>
    </row>
    <row r="439" spans="2:4" x14ac:dyDescent="0.25">
      <c r="B439" s="68"/>
      <c r="C439" s="50"/>
      <c r="D439" s="15"/>
    </row>
    <row r="440" spans="2:4" x14ac:dyDescent="0.25">
      <c r="B440" s="68"/>
      <c r="C440" s="50"/>
      <c r="D440" s="15"/>
    </row>
    <row r="441" spans="2:4" x14ac:dyDescent="0.25">
      <c r="B441" s="68"/>
      <c r="C441" s="50"/>
      <c r="D441" s="15"/>
    </row>
    <row r="442" spans="2:4" x14ac:dyDescent="0.25">
      <c r="B442" s="68"/>
      <c r="C442" s="50"/>
      <c r="D442" s="15"/>
    </row>
    <row r="443" spans="2:4" x14ac:dyDescent="0.25">
      <c r="B443" s="68"/>
      <c r="C443" s="50"/>
      <c r="D443" s="15"/>
    </row>
    <row r="444" spans="2:4" x14ac:dyDescent="0.25">
      <c r="B444" s="68"/>
      <c r="C444" s="50"/>
      <c r="D444" s="15"/>
    </row>
    <row r="445" spans="2:4" x14ac:dyDescent="0.25">
      <c r="B445" s="68"/>
      <c r="C445" s="50"/>
      <c r="D445" s="15"/>
    </row>
    <row r="446" spans="2:4" x14ac:dyDescent="0.25">
      <c r="B446" s="68"/>
      <c r="C446" s="50"/>
      <c r="D446" s="15"/>
    </row>
    <row r="447" spans="2:4" x14ac:dyDescent="0.25">
      <c r="B447" s="68"/>
      <c r="C447" s="50"/>
      <c r="D447" s="15"/>
    </row>
    <row r="448" spans="2:4" x14ac:dyDescent="0.25">
      <c r="B448" s="68"/>
      <c r="C448" s="50"/>
      <c r="D448" s="15"/>
    </row>
    <row r="449" spans="2:4" x14ac:dyDescent="0.25">
      <c r="B449" s="68"/>
      <c r="C449" s="50"/>
      <c r="D449" s="15"/>
    </row>
    <row r="450" spans="2:4" x14ac:dyDescent="0.25">
      <c r="B450" s="68"/>
      <c r="C450" s="50"/>
      <c r="D450" s="15"/>
    </row>
    <row r="451" spans="2:4" x14ac:dyDescent="0.25">
      <c r="B451" s="68"/>
      <c r="C451" s="50"/>
      <c r="D451" s="15"/>
    </row>
    <row r="452" spans="2:4" x14ac:dyDescent="0.25">
      <c r="B452" s="68"/>
      <c r="C452" s="50"/>
      <c r="D452" s="15"/>
    </row>
    <row r="453" spans="2:4" x14ac:dyDescent="0.25">
      <c r="B453" s="68"/>
      <c r="C453" s="50"/>
      <c r="D453" s="15"/>
    </row>
    <row r="454" spans="2:4" x14ac:dyDescent="0.25">
      <c r="B454" s="68"/>
      <c r="C454" s="50"/>
      <c r="D454" s="15"/>
    </row>
    <row r="455" spans="2:4" x14ac:dyDescent="0.25">
      <c r="B455" s="68"/>
      <c r="C455" s="50"/>
      <c r="D455" s="15"/>
    </row>
    <row r="456" spans="2:4" x14ac:dyDescent="0.25">
      <c r="B456" s="68"/>
      <c r="C456" s="50"/>
      <c r="D456" s="15"/>
    </row>
    <row r="457" spans="2:4" x14ac:dyDescent="0.25">
      <c r="B457" s="68"/>
      <c r="C457" s="50"/>
      <c r="D457" s="15"/>
    </row>
    <row r="458" spans="2:4" x14ac:dyDescent="0.25">
      <c r="B458" s="68"/>
      <c r="C458" s="50"/>
      <c r="D458" s="15"/>
    </row>
    <row r="459" spans="2:4" x14ac:dyDescent="0.25">
      <c r="B459" s="68"/>
      <c r="C459" s="50"/>
      <c r="D459" s="15"/>
    </row>
    <row r="460" spans="2:4" x14ac:dyDescent="0.25">
      <c r="B460" s="68"/>
      <c r="C460" s="50"/>
      <c r="D460" s="15"/>
    </row>
    <row r="461" spans="2:4" x14ac:dyDescent="0.25">
      <c r="B461" s="68"/>
      <c r="C461" s="50"/>
      <c r="D461" s="15"/>
    </row>
    <row r="462" spans="2:4" x14ac:dyDescent="0.25">
      <c r="B462" s="68"/>
      <c r="C462" s="50"/>
      <c r="D462" s="15"/>
    </row>
    <row r="463" spans="2:4" x14ac:dyDescent="0.25">
      <c r="B463" s="68"/>
      <c r="C463" s="50"/>
      <c r="D463" s="15"/>
    </row>
    <row r="464" spans="2:4" x14ac:dyDescent="0.25">
      <c r="B464" s="68"/>
      <c r="C464" s="50"/>
      <c r="D464" s="15"/>
    </row>
    <row r="465" spans="2:4" x14ac:dyDescent="0.25">
      <c r="B465" s="68"/>
      <c r="C465" s="50"/>
      <c r="D465" s="15"/>
    </row>
    <row r="466" spans="2:4" x14ac:dyDescent="0.25">
      <c r="B466" s="68"/>
      <c r="C466" s="50"/>
      <c r="D466" s="15"/>
    </row>
    <row r="467" spans="2:4" x14ac:dyDescent="0.25">
      <c r="B467" s="68"/>
      <c r="C467" s="50"/>
      <c r="D467" s="15"/>
    </row>
    <row r="468" spans="2:4" x14ac:dyDescent="0.25">
      <c r="B468" s="68"/>
      <c r="C468" s="50"/>
      <c r="D468" s="15"/>
    </row>
    <row r="469" spans="2:4" x14ac:dyDescent="0.25">
      <c r="B469" s="68"/>
      <c r="C469" s="50"/>
      <c r="D469" s="15"/>
    </row>
    <row r="470" spans="2:4" x14ac:dyDescent="0.25">
      <c r="B470" s="68"/>
      <c r="C470" s="50"/>
      <c r="D470" s="15"/>
    </row>
    <row r="471" spans="2:4" x14ac:dyDescent="0.25">
      <c r="B471" s="68"/>
      <c r="C471" s="50"/>
      <c r="D471" s="15"/>
    </row>
    <row r="472" spans="2:4" x14ac:dyDescent="0.25">
      <c r="B472" s="68"/>
      <c r="C472" s="50"/>
      <c r="D472" s="15"/>
    </row>
    <row r="473" spans="2:4" x14ac:dyDescent="0.25">
      <c r="B473" s="68"/>
      <c r="C473" s="50"/>
      <c r="D473" s="15"/>
    </row>
    <row r="474" spans="2:4" x14ac:dyDescent="0.25">
      <c r="B474" s="68"/>
      <c r="C474" s="50"/>
      <c r="D474" s="15"/>
    </row>
    <row r="475" spans="2:4" x14ac:dyDescent="0.25">
      <c r="B475" s="68"/>
      <c r="C475" s="50"/>
      <c r="D475" s="15"/>
    </row>
    <row r="476" spans="2:4" x14ac:dyDescent="0.25">
      <c r="B476" s="68"/>
      <c r="C476" s="50"/>
      <c r="D476" s="15"/>
    </row>
    <row r="477" spans="2:4" x14ac:dyDescent="0.25">
      <c r="B477" s="68"/>
      <c r="C477" s="50"/>
      <c r="D477" s="15"/>
    </row>
    <row r="478" spans="2:4" x14ac:dyDescent="0.25">
      <c r="B478" s="68"/>
      <c r="C478" s="50"/>
      <c r="D478" s="15"/>
    </row>
    <row r="479" spans="2:4" x14ac:dyDescent="0.25">
      <c r="B479" s="68"/>
      <c r="C479" s="50"/>
      <c r="D479" s="15"/>
    </row>
    <row r="480" spans="2:4" x14ac:dyDescent="0.25">
      <c r="B480" s="68"/>
      <c r="C480" s="50"/>
      <c r="D480" s="15"/>
    </row>
    <row r="481" spans="2:4" x14ac:dyDescent="0.25">
      <c r="B481" s="68"/>
      <c r="C481" s="50"/>
      <c r="D481" s="15"/>
    </row>
    <row r="482" spans="2:4" x14ac:dyDescent="0.25">
      <c r="B482" s="68"/>
      <c r="C482" s="50"/>
      <c r="D482" s="15"/>
    </row>
    <row r="483" spans="2:4" x14ac:dyDescent="0.25">
      <c r="B483" s="68"/>
      <c r="C483" s="50"/>
      <c r="D483" s="15"/>
    </row>
    <row r="484" spans="2:4" x14ac:dyDescent="0.25">
      <c r="B484" s="68"/>
      <c r="C484" s="50"/>
      <c r="D484" s="15"/>
    </row>
    <row r="485" spans="2:4" x14ac:dyDescent="0.25">
      <c r="B485" s="68"/>
      <c r="C485" s="50"/>
      <c r="D485" s="15"/>
    </row>
    <row r="486" spans="2:4" x14ac:dyDescent="0.25">
      <c r="B486" s="68"/>
      <c r="C486" s="50"/>
      <c r="D486" s="15"/>
    </row>
    <row r="487" spans="2:4" x14ac:dyDescent="0.25">
      <c r="B487" s="68"/>
      <c r="C487" s="50"/>
      <c r="D487" s="15"/>
    </row>
    <row r="488" spans="2:4" x14ac:dyDescent="0.25">
      <c r="B488" s="68"/>
      <c r="C488" s="50"/>
      <c r="D488" s="15"/>
    </row>
    <row r="489" spans="2:4" x14ac:dyDescent="0.25">
      <c r="B489" s="68"/>
      <c r="C489" s="50"/>
      <c r="D489" s="15"/>
    </row>
    <row r="490" spans="2:4" x14ac:dyDescent="0.25">
      <c r="B490" s="68"/>
      <c r="C490" s="50"/>
      <c r="D490" s="15"/>
    </row>
    <row r="491" spans="2:4" x14ac:dyDescent="0.25">
      <c r="B491" s="68"/>
      <c r="C491" s="50"/>
      <c r="D491" s="15"/>
    </row>
    <row r="492" spans="2:4" x14ac:dyDescent="0.25">
      <c r="B492" s="68"/>
      <c r="C492" s="50"/>
      <c r="D492" s="15"/>
    </row>
    <row r="493" spans="2:4" x14ac:dyDescent="0.25">
      <c r="B493" s="68"/>
      <c r="C493" s="50"/>
      <c r="D493" s="15"/>
    </row>
    <row r="494" spans="2:4" x14ac:dyDescent="0.25">
      <c r="B494" s="68"/>
      <c r="C494" s="50"/>
      <c r="D494" s="15"/>
    </row>
    <row r="495" spans="2:4" x14ac:dyDescent="0.25">
      <c r="B495" s="68"/>
      <c r="C495" s="50"/>
      <c r="D495" s="15"/>
    </row>
    <row r="496" spans="2:4" x14ac:dyDescent="0.25">
      <c r="B496" s="68"/>
      <c r="C496" s="50"/>
      <c r="D496" s="15"/>
    </row>
    <row r="497" spans="2:4" x14ac:dyDescent="0.25">
      <c r="B497" s="68"/>
      <c r="C497" s="50"/>
      <c r="D497" s="15"/>
    </row>
    <row r="498" spans="2:4" x14ac:dyDescent="0.25">
      <c r="B498" s="68"/>
      <c r="C498" s="50"/>
      <c r="D498" s="15"/>
    </row>
    <row r="499" spans="2:4" x14ac:dyDescent="0.25">
      <c r="B499" s="68"/>
      <c r="C499" s="50"/>
      <c r="D499" s="15"/>
    </row>
    <row r="500" spans="2:4" x14ac:dyDescent="0.25">
      <c r="B500" s="68"/>
      <c r="C500" s="50"/>
      <c r="D500" s="15"/>
    </row>
    <row r="501" spans="2:4" x14ac:dyDescent="0.25">
      <c r="B501" s="68"/>
      <c r="C501" s="50"/>
      <c r="D501" s="15"/>
    </row>
    <row r="502" spans="2:4" x14ac:dyDescent="0.25">
      <c r="B502" s="68"/>
      <c r="C502" s="50"/>
      <c r="D502" s="15"/>
    </row>
    <row r="503" spans="2:4" x14ac:dyDescent="0.25">
      <c r="B503" s="68"/>
      <c r="C503" s="50"/>
      <c r="D503" s="15"/>
    </row>
    <row r="504" spans="2:4" x14ac:dyDescent="0.25">
      <c r="B504" s="68"/>
      <c r="C504" s="50"/>
      <c r="D504" s="15"/>
    </row>
    <row r="505" spans="2:4" x14ac:dyDescent="0.25">
      <c r="B505" s="68"/>
      <c r="C505" s="50"/>
      <c r="D505" s="15"/>
    </row>
    <row r="506" spans="2:4" x14ac:dyDescent="0.25">
      <c r="B506" s="68"/>
      <c r="C506" s="50"/>
      <c r="D506" s="15"/>
    </row>
    <row r="507" spans="2:4" x14ac:dyDescent="0.25">
      <c r="B507" s="68"/>
      <c r="C507" s="50"/>
      <c r="D507" s="15"/>
    </row>
    <row r="508" spans="2:4" x14ac:dyDescent="0.25">
      <c r="B508" s="68"/>
      <c r="C508" s="50"/>
      <c r="D508" s="15"/>
    </row>
    <row r="509" spans="2:4" x14ac:dyDescent="0.25">
      <c r="B509" s="68"/>
      <c r="C509" s="50"/>
      <c r="D509" s="15"/>
    </row>
    <row r="510" spans="2:4" x14ac:dyDescent="0.25">
      <c r="B510" s="68"/>
      <c r="C510" s="50"/>
      <c r="D510" s="15"/>
    </row>
    <row r="511" spans="2:4" x14ac:dyDescent="0.25">
      <c r="B511" s="68"/>
      <c r="C511" s="50"/>
      <c r="D511" s="15"/>
    </row>
    <row r="512" spans="2:4" x14ac:dyDescent="0.25">
      <c r="B512" s="68"/>
      <c r="C512" s="50"/>
      <c r="D512" s="15"/>
    </row>
    <row r="513" spans="2:4" x14ac:dyDescent="0.25">
      <c r="B513" s="68"/>
      <c r="C513" s="50"/>
      <c r="D513" s="15"/>
    </row>
    <row r="514" spans="2:4" x14ac:dyDescent="0.25">
      <c r="B514" s="68"/>
      <c r="C514" s="50"/>
      <c r="D514" s="15"/>
    </row>
    <row r="515" spans="2:4" x14ac:dyDescent="0.25">
      <c r="B515" s="68"/>
      <c r="C515" s="50"/>
      <c r="D515" s="15"/>
    </row>
    <row r="516" spans="2:4" x14ac:dyDescent="0.25">
      <c r="B516" s="68"/>
      <c r="C516" s="50"/>
      <c r="D516" s="15"/>
    </row>
    <row r="517" spans="2:4" x14ac:dyDescent="0.25">
      <c r="B517" s="68"/>
      <c r="C517" s="50"/>
      <c r="D517" s="15"/>
    </row>
    <row r="518" spans="2:4" x14ac:dyDescent="0.25">
      <c r="B518" s="68"/>
      <c r="C518" s="50"/>
      <c r="D518" s="15"/>
    </row>
    <row r="519" spans="2:4" x14ac:dyDescent="0.25">
      <c r="B519" s="68"/>
      <c r="C519" s="50"/>
      <c r="D519" s="15"/>
    </row>
    <row r="520" spans="2:4" x14ac:dyDescent="0.25">
      <c r="B520" s="68"/>
      <c r="C520" s="50"/>
      <c r="D520" s="15"/>
    </row>
    <row r="521" spans="2:4" x14ac:dyDescent="0.25">
      <c r="B521" s="68"/>
      <c r="C521" s="50"/>
      <c r="D521" s="15"/>
    </row>
    <row r="522" spans="2:4" x14ac:dyDescent="0.25">
      <c r="B522" s="68"/>
      <c r="C522" s="50"/>
      <c r="D522" s="15"/>
    </row>
    <row r="523" spans="2:4" x14ac:dyDescent="0.25">
      <c r="B523" s="68"/>
      <c r="C523" s="50"/>
      <c r="D523" s="15"/>
    </row>
    <row r="524" spans="2:4" x14ac:dyDescent="0.25">
      <c r="B524" s="68"/>
      <c r="C524" s="50"/>
      <c r="D524" s="15"/>
    </row>
    <row r="525" spans="2:4" x14ac:dyDescent="0.25">
      <c r="B525" s="68"/>
      <c r="C525" s="50"/>
      <c r="D525" s="15"/>
    </row>
    <row r="526" spans="2:4" x14ac:dyDescent="0.25">
      <c r="B526" s="68"/>
      <c r="C526" s="50"/>
      <c r="D526" s="15"/>
    </row>
    <row r="527" spans="2:4" x14ac:dyDescent="0.25">
      <c r="B527" s="68"/>
      <c r="C527" s="50"/>
      <c r="D527" s="15"/>
    </row>
    <row r="528" spans="2:4" x14ac:dyDescent="0.25">
      <c r="B528" s="68"/>
      <c r="C528" s="50"/>
      <c r="D528" s="15"/>
    </row>
    <row r="529" spans="2:4" x14ac:dyDescent="0.25">
      <c r="B529" s="68"/>
      <c r="C529" s="50"/>
      <c r="D529" s="15"/>
    </row>
    <row r="530" spans="2:4" x14ac:dyDescent="0.25">
      <c r="B530" s="68"/>
      <c r="C530" s="50"/>
      <c r="D530" s="15"/>
    </row>
    <row r="531" spans="2:4" x14ac:dyDescent="0.25">
      <c r="B531" s="68"/>
      <c r="C531" s="50"/>
      <c r="D531" s="15"/>
    </row>
    <row r="532" spans="2:4" x14ac:dyDescent="0.25">
      <c r="B532" s="68"/>
      <c r="C532" s="50"/>
      <c r="D532" s="15"/>
    </row>
    <row r="533" spans="2:4" x14ac:dyDescent="0.25">
      <c r="B533" s="68"/>
      <c r="C533" s="50"/>
      <c r="D533" s="15"/>
    </row>
    <row r="534" spans="2:4" x14ac:dyDescent="0.25">
      <c r="B534" s="68"/>
      <c r="C534" s="50"/>
      <c r="D534" s="15"/>
    </row>
    <row r="535" spans="2:4" x14ac:dyDescent="0.25">
      <c r="B535" s="68"/>
      <c r="C535" s="50"/>
      <c r="D535" s="15"/>
    </row>
    <row r="536" spans="2:4" x14ac:dyDescent="0.25">
      <c r="B536" s="68"/>
      <c r="C536" s="50"/>
      <c r="D536" s="15"/>
    </row>
    <row r="537" spans="2:4" x14ac:dyDescent="0.25">
      <c r="B537" s="68"/>
      <c r="C537" s="50"/>
      <c r="D537" s="15"/>
    </row>
    <row r="538" spans="2:4" x14ac:dyDescent="0.25">
      <c r="B538" s="68"/>
      <c r="C538" s="50"/>
      <c r="D538" s="15"/>
    </row>
    <row r="539" spans="2:4" x14ac:dyDescent="0.25">
      <c r="B539" s="68"/>
      <c r="C539" s="50"/>
      <c r="D539" s="15"/>
    </row>
    <row r="540" spans="2:4" x14ac:dyDescent="0.25">
      <c r="B540" s="68"/>
      <c r="C540" s="50"/>
      <c r="D540" s="15"/>
    </row>
    <row r="541" spans="2:4" x14ac:dyDescent="0.25">
      <c r="B541" s="68"/>
      <c r="C541" s="50"/>
      <c r="D541" s="15"/>
    </row>
    <row r="542" spans="2:4" x14ac:dyDescent="0.25">
      <c r="B542" s="68"/>
      <c r="C542" s="50"/>
      <c r="D542" s="15"/>
    </row>
    <row r="543" spans="2:4" x14ac:dyDescent="0.25">
      <c r="B543" s="68"/>
      <c r="C543" s="50"/>
      <c r="D543" s="15"/>
    </row>
    <row r="544" spans="2:4" x14ac:dyDescent="0.25">
      <c r="B544" s="68"/>
      <c r="C544" s="50"/>
      <c r="D544" s="15"/>
    </row>
    <row r="545" spans="2:4" x14ac:dyDescent="0.25">
      <c r="B545" s="68"/>
      <c r="C545" s="50"/>
      <c r="D545" s="15"/>
    </row>
    <row r="546" spans="2:4" x14ac:dyDescent="0.25">
      <c r="B546" s="68"/>
      <c r="C546" s="50"/>
      <c r="D546" s="15"/>
    </row>
    <row r="547" spans="2:4" x14ac:dyDescent="0.25">
      <c r="B547" s="68"/>
      <c r="C547" s="50"/>
      <c r="D547" s="15"/>
    </row>
    <row r="548" spans="2:4" x14ac:dyDescent="0.25">
      <c r="B548" s="68"/>
      <c r="C548" s="50"/>
      <c r="D548" s="15"/>
    </row>
    <row r="549" spans="2:4" x14ac:dyDescent="0.25">
      <c r="B549" s="68"/>
      <c r="C549" s="50"/>
      <c r="D549" s="15"/>
    </row>
    <row r="550" spans="2:4" x14ac:dyDescent="0.25">
      <c r="B550" s="68"/>
      <c r="C550" s="50"/>
      <c r="D550" s="15"/>
    </row>
    <row r="551" spans="2:4" x14ac:dyDescent="0.25">
      <c r="B551" s="68"/>
      <c r="C551" s="50"/>
      <c r="D551" s="15"/>
    </row>
    <row r="552" spans="2:4" x14ac:dyDescent="0.25">
      <c r="B552" s="68"/>
      <c r="C552" s="50"/>
      <c r="D552" s="15"/>
    </row>
    <row r="553" spans="2:4" x14ac:dyDescent="0.25">
      <c r="B553" s="68"/>
      <c r="C553" s="50"/>
      <c r="D553" s="15"/>
    </row>
    <row r="554" spans="2:4" x14ac:dyDescent="0.25">
      <c r="B554" s="68"/>
      <c r="C554" s="50"/>
      <c r="D554" s="15"/>
    </row>
    <row r="555" spans="2:4" x14ac:dyDescent="0.25">
      <c r="B555" s="68"/>
      <c r="C555" s="50"/>
      <c r="D555" s="15"/>
    </row>
    <row r="556" spans="2:4" x14ac:dyDescent="0.25">
      <c r="B556" s="68"/>
      <c r="C556" s="50"/>
      <c r="D556" s="15"/>
    </row>
    <row r="557" spans="2:4" x14ac:dyDescent="0.25">
      <c r="B557" s="68"/>
      <c r="C557" s="50"/>
      <c r="D557" s="15"/>
    </row>
    <row r="558" spans="2:4" x14ac:dyDescent="0.25">
      <c r="B558" s="68"/>
      <c r="C558" s="50"/>
      <c r="D558" s="15"/>
    </row>
    <row r="559" spans="2:4" x14ac:dyDescent="0.25">
      <c r="B559" s="68"/>
      <c r="C559" s="50"/>
      <c r="D559" s="15"/>
    </row>
    <row r="560" spans="2:4" x14ac:dyDescent="0.25">
      <c r="B560" s="68"/>
      <c r="C560" s="50"/>
      <c r="D560" s="15"/>
    </row>
    <row r="561" spans="2:4" x14ac:dyDescent="0.25">
      <c r="B561" s="68"/>
      <c r="C561" s="50"/>
      <c r="D561" s="15"/>
    </row>
    <row r="562" spans="2:4" x14ac:dyDescent="0.25">
      <c r="B562" s="68"/>
      <c r="C562" s="50"/>
      <c r="D562" s="15"/>
    </row>
    <row r="563" spans="2:4" x14ac:dyDescent="0.25">
      <c r="B563" s="68"/>
      <c r="C563" s="50"/>
      <c r="D563" s="15"/>
    </row>
    <row r="564" spans="2:4" x14ac:dyDescent="0.25">
      <c r="B564" s="68"/>
      <c r="C564" s="50"/>
      <c r="D564" s="15"/>
    </row>
    <row r="565" spans="2:4" x14ac:dyDescent="0.25">
      <c r="B565" s="68"/>
      <c r="C565" s="50"/>
      <c r="D565" s="15"/>
    </row>
    <row r="566" spans="2:4" x14ac:dyDescent="0.25">
      <c r="B566" s="68"/>
      <c r="C566" s="50"/>
      <c r="D566" s="15"/>
    </row>
    <row r="567" spans="2:4" x14ac:dyDescent="0.25">
      <c r="B567" s="68"/>
      <c r="C567" s="50"/>
      <c r="D567" s="15"/>
    </row>
    <row r="568" spans="2:4" x14ac:dyDescent="0.25">
      <c r="B568" s="68"/>
      <c r="C568" s="50"/>
      <c r="D568" s="15"/>
    </row>
    <row r="569" spans="2:4" x14ac:dyDescent="0.25">
      <c r="B569" s="68"/>
      <c r="C569" s="50"/>
      <c r="D569" s="15"/>
    </row>
    <row r="570" spans="2:4" x14ac:dyDescent="0.25">
      <c r="B570" s="68"/>
      <c r="C570" s="50"/>
      <c r="D570" s="15"/>
    </row>
    <row r="571" spans="2:4" x14ac:dyDescent="0.25">
      <c r="B571" s="68"/>
      <c r="C571" s="50"/>
      <c r="D571" s="15"/>
    </row>
    <row r="572" spans="2:4" x14ac:dyDescent="0.25">
      <c r="B572" s="68"/>
      <c r="C572" s="50"/>
      <c r="D572" s="15"/>
    </row>
    <row r="573" spans="2:4" x14ac:dyDescent="0.25">
      <c r="B573" s="68"/>
      <c r="C573" s="50"/>
      <c r="D573" s="15"/>
    </row>
    <row r="574" spans="2:4" x14ac:dyDescent="0.25">
      <c r="B574" s="68"/>
      <c r="C574" s="50"/>
      <c r="D574" s="15"/>
    </row>
    <row r="575" spans="2:4" x14ac:dyDescent="0.25">
      <c r="B575" s="68"/>
      <c r="C575" s="50"/>
      <c r="D575" s="15"/>
    </row>
    <row r="576" spans="2:4" x14ac:dyDescent="0.25">
      <c r="B576" s="68"/>
      <c r="C576" s="50"/>
      <c r="D576" s="15"/>
    </row>
    <row r="577" spans="2:4" x14ac:dyDescent="0.25">
      <c r="B577" s="68"/>
      <c r="C577" s="50"/>
      <c r="D577" s="15"/>
    </row>
    <row r="578" spans="2:4" x14ac:dyDescent="0.25">
      <c r="B578" s="68"/>
      <c r="C578" s="50"/>
      <c r="D578" s="15"/>
    </row>
    <row r="579" spans="2:4" x14ac:dyDescent="0.25">
      <c r="B579" s="68"/>
      <c r="C579" s="50"/>
      <c r="D579" s="15"/>
    </row>
    <row r="580" spans="2:4" x14ac:dyDescent="0.25">
      <c r="B580" s="68"/>
      <c r="C580" s="50"/>
      <c r="D580" s="15"/>
    </row>
    <row r="581" spans="2:4" x14ac:dyDescent="0.25">
      <c r="B581" s="68"/>
      <c r="C581" s="50"/>
      <c r="D581" s="15"/>
    </row>
    <row r="582" spans="2:4" x14ac:dyDescent="0.25">
      <c r="B582" s="68"/>
      <c r="C582" s="50"/>
      <c r="D582" s="15"/>
    </row>
    <row r="583" spans="2:4" x14ac:dyDescent="0.25">
      <c r="B583" s="68"/>
      <c r="C583" s="50"/>
      <c r="D583" s="15"/>
    </row>
    <row r="584" spans="2:4" x14ac:dyDescent="0.25">
      <c r="B584" s="68"/>
      <c r="C584" s="50"/>
      <c r="D584" s="15"/>
    </row>
    <row r="585" spans="2:4" x14ac:dyDescent="0.25">
      <c r="B585" s="68"/>
      <c r="C585" s="50"/>
      <c r="D585" s="15"/>
    </row>
    <row r="586" spans="2:4" x14ac:dyDescent="0.25">
      <c r="B586" s="68"/>
      <c r="C586" s="50"/>
      <c r="D586" s="15"/>
    </row>
    <row r="587" spans="2:4" x14ac:dyDescent="0.25">
      <c r="B587" s="68"/>
      <c r="C587" s="50"/>
      <c r="D587" s="15"/>
    </row>
    <row r="588" spans="2:4" x14ac:dyDescent="0.25">
      <c r="B588" s="68"/>
      <c r="C588" s="50"/>
      <c r="D588" s="15"/>
    </row>
    <row r="589" spans="2:4" x14ac:dyDescent="0.25">
      <c r="B589" s="68"/>
      <c r="C589" s="50"/>
      <c r="D589" s="15"/>
    </row>
    <row r="590" spans="2:4" x14ac:dyDescent="0.25">
      <c r="B590" s="68"/>
      <c r="C590" s="50"/>
      <c r="D590" s="15"/>
    </row>
    <row r="591" spans="2:4" x14ac:dyDescent="0.25">
      <c r="B591" s="68"/>
      <c r="C591" s="50"/>
      <c r="D591" s="15"/>
    </row>
    <row r="592" spans="2:4" x14ac:dyDescent="0.25">
      <c r="B592" s="68"/>
      <c r="C592" s="50"/>
      <c r="D592" s="15"/>
    </row>
    <row r="593" spans="2:4" x14ac:dyDescent="0.25">
      <c r="B593" s="68"/>
      <c r="C593" s="50"/>
      <c r="D593" s="15"/>
    </row>
    <row r="594" spans="2:4" x14ac:dyDescent="0.25">
      <c r="B594" s="68"/>
      <c r="C594" s="50"/>
      <c r="D594" s="15"/>
    </row>
    <row r="595" spans="2:4" x14ac:dyDescent="0.25">
      <c r="B595" s="68"/>
      <c r="C595" s="50"/>
      <c r="D595" s="15"/>
    </row>
    <row r="596" spans="2:4" x14ac:dyDescent="0.25">
      <c r="B596" s="68"/>
      <c r="C596" s="50"/>
      <c r="D596" s="15"/>
    </row>
    <row r="597" spans="2:4" x14ac:dyDescent="0.25">
      <c r="B597" s="68"/>
      <c r="C597" s="50"/>
      <c r="D597" s="15"/>
    </row>
    <row r="598" spans="2:4" x14ac:dyDescent="0.25">
      <c r="B598" s="68"/>
      <c r="C598" s="50"/>
      <c r="D598" s="15"/>
    </row>
    <row r="599" spans="2:4" x14ac:dyDescent="0.25">
      <c r="B599" s="68"/>
      <c r="C599" s="50"/>
      <c r="D599" s="15"/>
    </row>
    <row r="600" spans="2:4" x14ac:dyDescent="0.25">
      <c r="B600" s="68"/>
      <c r="C600" s="50"/>
      <c r="D600" s="15"/>
    </row>
    <row r="601" spans="2:4" x14ac:dyDescent="0.25">
      <c r="B601" s="68"/>
      <c r="C601" s="50"/>
      <c r="D601" s="15"/>
    </row>
    <row r="602" spans="2:4" x14ac:dyDescent="0.25">
      <c r="B602" s="68"/>
      <c r="C602" s="50"/>
      <c r="D602" s="15"/>
    </row>
    <row r="603" spans="2:4" x14ac:dyDescent="0.25">
      <c r="B603" s="68"/>
      <c r="C603" s="50"/>
      <c r="D603" s="15"/>
    </row>
    <row r="604" spans="2:4" x14ac:dyDescent="0.25">
      <c r="B604" s="68"/>
      <c r="C604" s="50"/>
      <c r="D604" s="15"/>
    </row>
    <row r="605" spans="2:4" x14ac:dyDescent="0.25">
      <c r="B605" s="68"/>
      <c r="C605" s="50"/>
      <c r="D605" s="15"/>
    </row>
    <row r="606" spans="2:4" x14ac:dyDescent="0.25">
      <c r="B606" s="68"/>
      <c r="C606" s="50"/>
      <c r="D606" s="15"/>
    </row>
    <row r="607" spans="2:4" x14ac:dyDescent="0.25">
      <c r="B607" s="68"/>
      <c r="C607" s="50"/>
      <c r="D607" s="15"/>
    </row>
    <row r="608" spans="2:4" x14ac:dyDescent="0.25">
      <c r="B608" s="68"/>
      <c r="C608" s="50"/>
      <c r="D608" s="15"/>
    </row>
    <row r="609" spans="2:4" x14ac:dyDescent="0.25">
      <c r="B609" s="68"/>
      <c r="C609" s="50"/>
      <c r="D609" s="15"/>
    </row>
    <row r="610" spans="2:4" x14ac:dyDescent="0.25">
      <c r="B610" s="68"/>
      <c r="C610" s="50"/>
      <c r="D610" s="15"/>
    </row>
    <row r="611" spans="2:4" x14ac:dyDescent="0.25">
      <c r="B611" s="68"/>
      <c r="C611" s="50"/>
      <c r="D611" s="15"/>
    </row>
    <row r="612" spans="2:4" x14ac:dyDescent="0.25">
      <c r="B612" s="68"/>
      <c r="C612" s="50"/>
      <c r="D612" s="15"/>
    </row>
    <row r="613" spans="2:4" x14ac:dyDescent="0.25">
      <c r="B613" s="68"/>
      <c r="C613" s="50"/>
      <c r="D613" s="15"/>
    </row>
    <row r="614" spans="2:4" x14ac:dyDescent="0.25">
      <c r="B614" s="68"/>
      <c r="C614" s="50"/>
      <c r="D614" s="15"/>
    </row>
    <row r="615" spans="2:4" x14ac:dyDescent="0.25">
      <c r="B615" s="68"/>
      <c r="C615" s="50"/>
      <c r="D615" s="15"/>
    </row>
    <row r="616" spans="2:4" x14ac:dyDescent="0.25">
      <c r="B616" s="68"/>
      <c r="C616" s="50"/>
      <c r="D616" s="15"/>
    </row>
    <row r="617" spans="2:4" x14ac:dyDescent="0.25">
      <c r="B617" s="68"/>
      <c r="C617" s="50"/>
      <c r="D617" s="15"/>
    </row>
    <row r="618" spans="2:4" x14ac:dyDescent="0.25">
      <c r="B618" s="68"/>
      <c r="C618" s="50"/>
      <c r="D618" s="15"/>
    </row>
    <row r="619" spans="2:4" x14ac:dyDescent="0.25">
      <c r="B619" s="68"/>
      <c r="C619" s="50"/>
      <c r="D619" s="15"/>
    </row>
    <row r="620" spans="2:4" x14ac:dyDescent="0.25">
      <c r="B620" s="68"/>
      <c r="C620" s="50"/>
      <c r="D620" s="15"/>
    </row>
    <row r="621" spans="2:4" x14ac:dyDescent="0.25">
      <c r="B621" s="68"/>
      <c r="C621" s="50"/>
      <c r="D621" s="15"/>
    </row>
    <row r="622" spans="2:4" x14ac:dyDescent="0.25">
      <c r="B622" s="68"/>
      <c r="C622" s="50"/>
      <c r="D622" s="15"/>
    </row>
    <row r="623" spans="2:4" x14ac:dyDescent="0.25">
      <c r="B623" s="68"/>
      <c r="C623" s="50"/>
      <c r="D623" s="15"/>
    </row>
    <row r="624" spans="2:4" x14ac:dyDescent="0.25">
      <c r="B624" s="68"/>
      <c r="C624" s="50"/>
      <c r="D624" s="15"/>
    </row>
    <row r="625" spans="2:4" x14ac:dyDescent="0.25">
      <c r="B625" s="68"/>
      <c r="C625" s="50"/>
      <c r="D625" s="15"/>
    </row>
    <row r="626" spans="2:4" x14ac:dyDescent="0.25">
      <c r="B626" s="68"/>
      <c r="C626" s="50"/>
      <c r="D626" s="15"/>
    </row>
    <row r="627" spans="2:4" x14ac:dyDescent="0.25">
      <c r="B627" s="68"/>
      <c r="C627" s="50"/>
      <c r="D627" s="15"/>
    </row>
    <row r="628" spans="2:4" x14ac:dyDescent="0.25">
      <c r="B628" s="68"/>
      <c r="C628" s="50"/>
      <c r="D628" s="15"/>
    </row>
    <row r="629" spans="2:4" x14ac:dyDescent="0.25">
      <c r="B629" s="68"/>
      <c r="C629" s="50"/>
      <c r="D629" s="15"/>
    </row>
    <row r="630" spans="2:4" x14ac:dyDescent="0.25">
      <c r="B630" s="68"/>
      <c r="C630" s="50"/>
      <c r="D630" s="15"/>
    </row>
    <row r="631" spans="2:4" x14ac:dyDescent="0.25">
      <c r="B631" s="68"/>
      <c r="C631" s="50"/>
      <c r="D631" s="15"/>
    </row>
    <row r="632" spans="2:4" x14ac:dyDescent="0.25">
      <c r="B632" s="68"/>
      <c r="C632" s="50"/>
      <c r="D632" s="15"/>
    </row>
    <row r="633" spans="2:4" x14ac:dyDescent="0.25">
      <c r="B633" s="68"/>
      <c r="C633" s="50"/>
      <c r="D633" s="15"/>
    </row>
    <row r="634" spans="2:4" x14ac:dyDescent="0.25">
      <c r="B634" s="68"/>
      <c r="C634" s="50"/>
      <c r="D634" s="15"/>
    </row>
    <row r="635" spans="2:4" x14ac:dyDescent="0.25">
      <c r="B635" s="68"/>
      <c r="C635" s="50"/>
      <c r="D635" s="15"/>
    </row>
    <row r="636" spans="2:4" x14ac:dyDescent="0.25">
      <c r="B636" s="68"/>
      <c r="C636" s="50"/>
      <c r="D636" s="15"/>
    </row>
    <row r="637" spans="2:4" x14ac:dyDescent="0.25">
      <c r="B637" s="68"/>
      <c r="C637" s="50"/>
      <c r="D637" s="15"/>
    </row>
    <row r="638" spans="2:4" x14ac:dyDescent="0.25">
      <c r="B638" s="68"/>
      <c r="C638" s="50"/>
      <c r="D638" s="15"/>
    </row>
    <row r="639" spans="2:4" x14ac:dyDescent="0.25">
      <c r="B639" s="68"/>
      <c r="C639" s="50"/>
      <c r="D639" s="15"/>
    </row>
    <row r="640" spans="2:4" x14ac:dyDescent="0.25">
      <c r="B640" s="68"/>
      <c r="C640" s="50"/>
      <c r="D640" s="15"/>
    </row>
    <row r="641" spans="2:4" x14ac:dyDescent="0.25">
      <c r="B641" s="68"/>
      <c r="C641" s="50"/>
      <c r="D641" s="15"/>
    </row>
    <row r="642" spans="2:4" x14ac:dyDescent="0.25">
      <c r="B642" s="68"/>
      <c r="C642" s="50"/>
      <c r="D642" s="15"/>
    </row>
    <row r="643" spans="2:4" x14ac:dyDescent="0.25">
      <c r="B643" s="68"/>
      <c r="C643" s="50"/>
      <c r="D643" s="15"/>
    </row>
    <row r="644" spans="2:4" x14ac:dyDescent="0.25">
      <c r="B644" s="68"/>
      <c r="C644" s="50"/>
      <c r="D644" s="15"/>
    </row>
    <row r="645" spans="2:4" x14ac:dyDescent="0.25">
      <c r="B645" s="68"/>
      <c r="C645" s="50"/>
      <c r="D645" s="15"/>
    </row>
    <row r="646" spans="2:4" x14ac:dyDescent="0.25">
      <c r="B646" s="68"/>
      <c r="C646" s="50"/>
      <c r="D646" s="15"/>
    </row>
    <row r="647" spans="2:4" x14ac:dyDescent="0.25">
      <c r="B647" s="68"/>
      <c r="C647" s="50"/>
      <c r="D647" s="15"/>
    </row>
    <row r="648" spans="2:4" x14ac:dyDescent="0.25">
      <c r="B648" s="68"/>
      <c r="C648" s="50"/>
      <c r="D648" s="15"/>
    </row>
    <row r="649" spans="2:4" x14ac:dyDescent="0.25">
      <c r="B649" s="68"/>
      <c r="C649" s="50"/>
      <c r="D649" s="15"/>
    </row>
    <row r="650" spans="2:4" x14ac:dyDescent="0.25">
      <c r="B650" s="68"/>
      <c r="C650" s="50"/>
      <c r="D650" s="15"/>
    </row>
    <row r="651" spans="2:4" x14ac:dyDescent="0.25">
      <c r="B651" s="68"/>
      <c r="C651" s="50"/>
      <c r="D651" s="15"/>
    </row>
    <row r="652" spans="2:4" x14ac:dyDescent="0.25">
      <c r="B652" s="68"/>
      <c r="C652" s="50"/>
      <c r="D652" s="15"/>
    </row>
    <row r="653" spans="2:4" x14ac:dyDescent="0.25">
      <c r="B653" s="68"/>
      <c r="C653" s="50"/>
      <c r="D653" s="15"/>
    </row>
    <row r="654" spans="2:4" x14ac:dyDescent="0.25">
      <c r="B654" s="68"/>
      <c r="C654" s="50"/>
      <c r="D654" s="15"/>
    </row>
    <row r="655" spans="2:4" x14ac:dyDescent="0.25">
      <c r="B655" s="68"/>
      <c r="C655" s="50"/>
      <c r="D655" s="15"/>
    </row>
    <row r="656" spans="2:4" x14ac:dyDescent="0.25">
      <c r="B656" s="68"/>
      <c r="C656" s="50"/>
      <c r="D656" s="15"/>
    </row>
    <row r="657" spans="2:4" x14ac:dyDescent="0.25">
      <c r="B657" s="68"/>
      <c r="C657" s="50"/>
      <c r="D657" s="15"/>
    </row>
    <row r="658" spans="2:4" x14ac:dyDescent="0.25">
      <c r="B658" s="68"/>
      <c r="C658" s="50"/>
      <c r="D658" s="15"/>
    </row>
    <row r="659" spans="2:4" x14ac:dyDescent="0.25">
      <c r="B659" s="68"/>
      <c r="C659" s="50"/>
      <c r="D659" s="15"/>
    </row>
    <row r="660" spans="2:4" x14ac:dyDescent="0.25">
      <c r="B660" s="68"/>
      <c r="C660" s="50"/>
      <c r="D660" s="15"/>
    </row>
    <row r="661" spans="2:4" x14ac:dyDescent="0.25">
      <c r="B661" s="68"/>
      <c r="C661" s="50"/>
      <c r="D661" s="15"/>
    </row>
    <row r="662" spans="2:4" x14ac:dyDescent="0.25">
      <c r="B662" s="68"/>
      <c r="C662" s="50"/>
      <c r="D662" s="15"/>
    </row>
    <row r="663" spans="2:4" x14ac:dyDescent="0.25">
      <c r="B663" s="68"/>
      <c r="C663" s="50"/>
      <c r="D663" s="15"/>
    </row>
    <row r="664" spans="2:4" x14ac:dyDescent="0.25">
      <c r="B664" s="68"/>
      <c r="C664" s="50"/>
      <c r="D664" s="15"/>
    </row>
    <row r="665" spans="2:4" x14ac:dyDescent="0.25">
      <c r="B665" s="68"/>
      <c r="C665" s="50"/>
      <c r="D665" s="15"/>
    </row>
    <row r="666" spans="2:4" x14ac:dyDescent="0.25">
      <c r="B666" s="68"/>
      <c r="C666" s="50"/>
      <c r="D666" s="15"/>
    </row>
    <row r="667" spans="2:4" x14ac:dyDescent="0.25">
      <c r="B667" s="68"/>
      <c r="C667" s="50"/>
      <c r="D667" s="15"/>
    </row>
    <row r="668" spans="2:4" x14ac:dyDescent="0.25">
      <c r="B668" s="68"/>
      <c r="C668" s="50"/>
      <c r="D668" s="15"/>
    </row>
    <row r="669" spans="2:4" x14ac:dyDescent="0.25">
      <c r="B669" s="68"/>
      <c r="C669" s="50"/>
      <c r="D669" s="15"/>
    </row>
    <row r="670" spans="2:4" x14ac:dyDescent="0.25">
      <c r="B670" s="68"/>
      <c r="C670" s="50"/>
      <c r="D670" s="15"/>
    </row>
    <row r="671" spans="2:4" x14ac:dyDescent="0.25">
      <c r="B671" s="68"/>
      <c r="C671" s="50"/>
      <c r="D671" s="15"/>
    </row>
    <row r="672" spans="2:4" x14ac:dyDescent="0.25">
      <c r="B672" s="68"/>
      <c r="C672" s="50"/>
      <c r="D672" s="15"/>
    </row>
    <row r="673" spans="2:4" x14ac:dyDescent="0.25">
      <c r="B673" s="68"/>
      <c r="C673" s="50"/>
      <c r="D673" s="15"/>
    </row>
    <row r="674" spans="2:4" x14ac:dyDescent="0.25">
      <c r="B674" s="68"/>
      <c r="C674" s="50"/>
      <c r="D674" s="15"/>
    </row>
    <row r="675" spans="2:4" x14ac:dyDescent="0.25">
      <c r="B675" s="68"/>
      <c r="C675" s="50"/>
      <c r="D675" s="15"/>
    </row>
    <row r="676" spans="2:4" x14ac:dyDescent="0.25">
      <c r="B676" s="68"/>
      <c r="C676" s="50"/>
      <c r="D676" s="15"/>
    </row>
    <row r="677" spans="2:4" x14ac:dyDescent="0.25">
      <c r="B677" s="68"/>
      <c r="C677" s="50"/>
      <c r="D677" s="15"/>
    </row>
    <row r="678" spans="2:4" x14ac:dyDescent="0.25">
      <c r="B678" s="68"/>
      <c r="C678" s="50"/>
      <c r="D678" s="15"/>
    </row>
    <row r="679" spans="2:4" x14ac:dyDescent="0.25">
      <c r="B679" s="68"/>
      <c r="C679" s="50"/>
      <c r="D679" s="15"/>
    </row>
    <row r="680" spans="2:4" x14ac:dyDescent="0.25">
      <c r="B680" s="68"/>
      <c r="C680" s="50"/>
      <c r="D680" s="15"/>
    </row>
    <row r="681" spans="2:4" x14ac:dyDescent="0.25">
      <c r="B681" s="68"/>
      <c r="C681" s="50"/>
      <c r="D681" s="15"/>
    </row>
    <row r="682" spans="2:4" x14ac:dyDescent="0.25">
      <c r="B682" s="68"/>
      <c r="C682" s="50"/>
      <c r="D682" s="15"/>
    </row>
    <row r="683" spans="2:4" x14ac:dyDescent="0.25">
      <c r="B683" s="68"/>
      <c r="C683" s="50"/>
      <c r="D683" s="15"/>
    </row>
    <row r="684" spans="2:4" x14ac:dyDescent="0.25">
      <c r="B684" s="68"/>
      <c r="C684" s="50"/>
      <c r="D684" s="15"/>
    </row>
    <row r="685" spans="2:4" x14ac:dyDescent="0.25">
      <c r="B685" s="68"/>
      <c r="C685" s="50"/>
      <c r="D685" s="15"/>
    </row>
    <row r="686" spans="2:4" x14ac:dyDescent="0.25">
      <c r="B686" s="68"/>
      <c r="C686" s="50"/>
      <c r="D686" s="15"/>
    </row>
    <row r="687" spans="2:4" x14ac:dyDescent="0.25">
      <c r="B687" s="68"/>
      <c r="C687" s="50"/>
      <c r="D687" s="15"/>
    </row>
    <row r="688" spans="2:4" x14ac:dyDescent="0.25">
      <c r="B688" s="68"/>
      <c r="C688" s="50"/>
      <c r="D688" s="15"/>
    </row>
    <row r="689" spans="2:4" x14ac:dyDescent="0.25">
      <c r="B689" s="68"/>
      <c r="C689" s="50"/>
      <c r="D689" s="15"/>
    </row>
    <row r="690" spans="2:4" x14ac:dyDescent="0.25">
      <c r="B690" s="68"/>
      <c r="C690" s="50"/>
      <c r="D690" s="15"/>
    </row>
    <row r="691" spans="2:4" x14ac:dyDescent="0.25">
      <c r="B691" s="68"/>
      <c r="C691" s="50"/>
      <c r="D691" s="15"/>
    </row>
    <row r="692" spans="2:4" x14ac:dyDescent="0.25">
      <c r="B692" s="68"/>
      <c r="C692" s="50"/>
      <c r="D692" s="15"/>
    </row>
    <row r="693" spans="2:4" x14ac:dyDescent="0.25">
      <c r="B693" s="68"/>
      <c r="C693" s="50"/>
      <c r="D693" s="15"/>
    </row>
    <row r="694" spans="2:4" x14ac:dyDescent="0.25">
      <c r="B694" s="68"/>
      <c r="C694" s="50"/>
      <c r="D694" s="15"/>
    </row>
    <row r="695" spans="2:4" x14ac:dyDescent="0.25">
      <c r="B695" s="68"/>
      <c r="C695" s="50"/>
      <c r="D695" s="15"/>
    </row>
    <row r="696" spans="2:4" x14ac:dyDescent="0.25">
      <c r="B696" s="68"/>
      <c r="C696" s="50"/>
      <c r="D696" s="15"/>
    </row>
    <row r="697" spans="2:4" x14ac:dyDescent="0.25">
      <c r="B697" s="68"/>
      <c r="C697" s="50"/>
      <c r="D697" s="15"/>
    </row>
    <row r="698" spans="2:4" x14ac:dyDescent="0.25">
      <c r="B698" s="68"/>
      <c r="C698" s="50"/>
      <c r="D698" s="15"/>
    </row>
    <row r="699" spans="2:4" x14ac:dyDescent="0.25">
      <c r="B699" s="68"/>
      <c r="C699" s="50"/>
      <c r="D699" s="15"/>
    </row>
    <row r="700" spans="2:4" x14ac:dyDescent="0.25">
      <c r="B700" s="68"/>
      <c r="C700" s="50"/>
      <c r="D700" s="15"/>
    </row>
    <row r="701" spans="2:4" x14ac:dyDescent="0.25">
      <c r="B701" s="68"/>
      <c r="C701" s="50"/>
      <c r="D701" s="15"/>
    </row>
    <row r="702" spans="2:4" x14ac:dyDescent="0.25">
      <c r="B702" s="68"/>
      <c r="C702" s="50"/>
      <c r="D702" s="15"/>
    </row>
    <row r="703" spans="2:4" x14ac:dyDescent="0.25">
      <c r="B703" s="68"/>
      <c r="C703" s="50"/>
      <c r="D703" s="15"/>
    </row>
    <row r="704" spans="2:4" x14ac:dyDescent="0.25">
      <c r="B704" s="68"/>
      <c r="C704" s="50"/>
      <c r="D704" s="15"/>
    </row>
    <row r="705" spans="2:4" x14ac:dyDescent="0.25">
      <c r="B705" s="68"/>
      <c r="C705" s="50"/>
      <c r="D705" s="15"/>
    </row>
    <row r="706" spans="2:4" x14ac:dyDescent="0.25">
      <c r="B706" s="68"/>
      <c r="C706" s="50"/>
      <c r="D706" s="15"/>
    </row>
    <row r="707" spans="2:4" x14ac:dyDescent="0.25">
      <c r="B707" s="68"/>
      <c r="C707" s="50"/>
      <c r="D707" s="15"/>
    </row>
    <row r="708" spans="2:4" x14ac:dyDescent="0.25">
      <c r="B708" s="68"/>
      <c r="C708" s="50"/>
      <c r="D708" s="15"/>
    </row>
    <row r="709" spans="2:4" x14ac:dyDescent="0.25">
      <c r="B709" s="68"/>
      <c r="C709" s="50"/>
      <c r="D709" s="15"/>
    </row>
    <row r="710" spans="2:4" x14ac:dyDescent="0.25">
      <c r="B710" s="68"/>
      <c r="C710" s="50"/>
      <c r="D710" s="15"/>
    </row>
    <row r="711" spans="2:4" x14ac:dyDescent="0.25">
      <c r="B711" s="68"/>
      <c r="C711" s="50"/>
      <c r="D711" s="15"/>
    </row>
    <row r="712" spans="2:4" x14ac:dyDescent="0.25">
      <c r="B712" s="68"/>
      <c r="C712" s="50"/>
      <c r="D712" s="15"/>
    </row>
    <row r="713" spans="2:4" x14ac:dyDescent="0.25">
      <c r="B713" s="68"/>
      <c r="C713" s="50"/>
      <c r="D713" s="15"/>
    </row>
    <row r="714" spans="2:4" x14ac:dyDescent="0.25">
      <c r="B714" s="68"/>
      <c r="C714" s="50"/>
      <c r="D714" s="15"/>
    </row>
    <row r="715" spans="2:4" x14ac:dyDescent="0.25">
      <c r="B715" s="68"/>
      <c r="C715" s="50"/>
      <c r="D715" s="15"/>
    </row>
    <row r="716" spans="2:4" x14ac:dyDescent="0.25">
      <c r="B716" s="68"/>
      <c r="C716" s="50"/>
      <c r="D716" s="15"/>
    </row>
    <row r="717" spans="2:4" x14ac:dyDescent="0.25">
      <c r="B717" s="68"/>
      <c r="C717" s="50"/>
      <c r="D717" s="15"/>
    </row>
    <row r="718" spans="2:4" x14ac:dyDescent="0.25">
      <c r="B718" s="68"/>
      <c r="C718" s="50"/>
      <c r="D718" s="15"/>
    </row>
    <row r="719" spans="2:4" x14ac:dyDescent="0.25">
      <c r="B719" s="68"/>
      <c r="C719" s="50"/>
      <c r="D719" s="15"/>
    </row>
    <row r="720" spans="2:4" x14ac:dyDescent="0.25">
      <c r="B720" s="68"/>
      <c r="C720" s="50"/>
      <c r="D720" s="15"/>
    </row>
    <row r="721" spans="2:4" x14ac:dyDescent="0.25">
      <c r="B721" s="68"/>
      <c r="C721" s="50"/>
      <c r="D721" s="15"/>
    </row>
    <row r="722" spans="2:4" x14ac:dyDescent="0.25">
      <c r="B722" s="68"/>
      <c r="C722" s="50"/>
      <c r="D722" s="15"/>
    </row>
    <row r="723" spans="2:4" x14ac:dyDescent="0.25">
      <c r="B723" s="68"/>
      <c r="C723" s="50"/>
      <c r="D723" s="15"/>
    </row>
    <row r="724" spans="2:4" x14ac:dyDescent="0.25">
      <c r="B724" s="68"/>
      <c r="C724" s="50"/>
      <c r="D724" s="15"/>
    </row>
    <row r="725" spans="2:4" x14ac:dyDescent="0.25">
      <c r="B725" s="68"/>
      <c r="C725" s="50"/>
      <c r="D725" s="15"/>
    </row>
    <row r="726" spans="2:4" x14ac:dyDescent="0.25">
      <c r="B726" s="68"/>
      <c r="C726" s="50"/>
      <c r="D726" s="15"/>
    </row>
    <row r="727" spans="2:4" x14ac:dyDescent="0.25">
      <c r="B727" s="68"/>
      <c r="C727" s="50"/>
      <c r="D727" s="15"/>
    </row>
    <row r="728" spans="2:4" x14ac:dyDescent="0.25">
      <c r="B728" s="68"/>
      <c r="C728" s="50"/>
      <c r="D728" s="15"/>
    </row>
    <row r="729" spans="2:4" x14ac:dyDescent="0.25">
      <c r="B729" s="68"/>
      <c r="C729" s="50"/>
      <c r="D729" s="15"/>
    </row>
    <row r="730" spans="2:4" x14ac:dyDescent="0.25">
      <c r="B730" s="68"/>
      <c r="C730" s="50"/>
      <c r="D730" s="15"/>
    </row>
    <row r="731" spans="2:4" x14ac:dyDescent="0.25">
      <c r="B731" s="68"/>
      <c r="C731" s="50"/>
      <c r="D731" s="15"/>
    </row>
    <row r="732" spans="2:4" x14ac:dyDescent="0.25">
      <c r="B732" s="68"/>
      <c r="C732" s="50"/>
      <c r="D732" s="15"/>
    </row>
    <row r="733" spans="2:4" x14ac:dyDescent="0.25">
      <c r="B733" s="68"/>
      <c r="C733" s="50"/>
      <c r="D733" s="15"/>
    </row>
    <row r="734" spans="2:4" x14ac:dyDescent="0.25">
      <c r="B734" s="68"/>
      <c r="C734" s="50"/>
      <c r="D734" s="15"/>
    </row>
    <row r="735" spans="2:4" x14ac:dyDescent="0.25">
      <c r="B735" s="68"/>
      <c r="C735" s="50"/>
      <c r="D735" s="15"/>
    </row>
    <row r="736" spans="2:4" x14ac:dyDescent="0.25">
      <c r="B736" s="68"/>
      <c r="C736" s="50"/>
      <c r="D736" s="15"/>
    </row>
    <row r="737" spans="2:4" x14ac:dyDescent="0.25">
      <c r="B737" s="68"/>
      <c r="C737" s="50"/>
      <c r="D737" s="15"/>
    </row>
    <row r="738" spans="2:4" x14ac:dyDescent="0.25">
      <c r="B738" s="68"/>
      <c r="C738" s="50"/>
      <c r="D738" s="15"/>
    </row>
    <row r="739" spans="2:4" x14ac:dyDescent="0.25">
      <c r="B739" s="68"/>
      <c r="C739" s="50"/>
      <c r="D739" s="15"/>
    </row>
    <row r="740" spans="2:4" x14ac:dyDescent="0.25">
      <c r="B740" s="68"/>
      <c r="C740" s="50"/>
      <c r="D740" s="15"/>
    </row>
    <row r="741" spans="2:4" x14ac:dyDescent="0.25">
      <c r="B741" s="68"/>
      <c r="C741" s="50"/>
      <c r="D741" s="15"/>
    </row>
    <row r="742" spans="2:4" x14ac:dyDescent="0.25">
      <c r="B742" s="68"/>
      <c r="C742" s="50"/>
      <c r="D742" s="15"/>
    </row>
    <row r="743" spans="2:4" x14ac:dyDescent="0.25">
      <c r="B743" s="68"/>
      <c r="C743" s="50"/>
      <c r="D743" s="15"/>
    </row>
    <row r="744" spans="2:4" x14ac:dyDescent="0.25">
      <c r="B744" s="68"/>
      <c r="C744" s="50"/>
      <c r="D744" s="15"/>
    </row>
    <row r="745" spans="2:4" x14ac:dyDescent="0.25">
      <c r="B745" s="68"/>
      <c r="C745" s="50"/>
      <c r="D745" s="15"/>
    </row>
    <row r="746" spans="2:4" x14ac:dyDescent="0.25">
      <c r="B746" s="68"/>
      <c r="C746" s="50"/>
      <c r="D746" s="15"/>
    </row>
    <row r="747" spans="2:4" x14ac:dyDescent="0.25">
      <c r="B747" s="68"/>
      <c r="C747" s="50"/>
      <c r="D747" s="15"/>
    </row>
    <row r="748" spans="2:4" x14ac:dyDescent="0.25">
      <c r="B748" s="68"/>
      <c r="C748" s="50"/>
      <c r="D748" s="15"/>
    </row>
    <row r="749" spans="2:4" x14ac:dyDescent="0.25">
      <c r="B749" s="68"/>
      <c r="C749" s="50"/>
      <c r="D749" s="15"/>
    </row>
    <row r="750" spans="2:4" x14ac:dyDescent="0.25">
      <c r="B750" s="68"/>
      <c r="C750" s="50"/>
      <c r="D750" s="15"/>
    </row>
    <row r="751" spans="2:4" x14ac:dyDescent="0.25">
      <c r="B751" s="68"/>
      <c r="C751" s="50"/>
      <c r="D751" s="15"/>
    </row>
    <row r="752" spans="2:4" x14ac:dyDescent="0.25">
      <c r="B752" s="68"/>
      <c r="C752" s="50"/>
      <c r="D752" s="15"/>
    </row>
    <row r="753" spans="2:4" x14ac:dyDescent="0.25">
      <c r="B753" s="68"/>
      <c r="C753" s="50"/>
      <c r="D753" s="15"/>
    </row>
    <row r="754" spans="2:4" x14ac:dyDescent="0.25">
      <c r="B754" s="68"/>
      <c r="C754" s="50"/>
      <c r="D754" s="15"/>
    </row>
    <row r="755" spans="2:4" x14ac:dyDescent="0.25">
      <c r="B755" s="68"/>
      <c r="C755" s="50"/>
      <c r="D755" s="15"/>
    </row>
    <row r="756" spans="2:4" x14ac:dyDescent="0.25">
      <c r="B756" s="68"/>
      <c r="C756" s="50"/>
      <c r="D756" s="15"/>
    </row>
    <row r="757" spans="2:4" x14ac:dyDescent="0.25">
      <c r="B757" s="68"/>
      <c r="C757" s="50"/>
      <c r="D757" s="15"/>
    </row>
    <row r="758" spans="2:4" x14ac:dyDescent="0.25">
      <c r="B758" s="68"/>
      <c r="C758" s="50"/>
      <c r="D758" s="15"/>
    </row>
    <row r="759" spans="2:4" x14ac:dyDescent="0.25">
      <c r="B759" s="68"/>
      <c r="C759" s="50"/>
      <c r="D759" s="15"/>
    </row>
    <row r="760" spans="2:4" x14ac:dyDescent="0.25">
      <c r="B760" s="68"/>
      <c r="C760" s="50"/>
      <c r="D760" s="15"/>
    </row>
    <row r="761" spans="2:4" x14ac:dyDescent="0.25">
      <c r="B761" s="68"/>
      <c r="C761" s="50"/>
      <c r="D761" s="15"/>
    </row>
    <row r="762" spans="2:4" x14ac:dyDescent="0.25">
      <c r="B762" s="68"/>
      <c r="C762" s="50"/>
      <c r="D762" s="15"/>
    </row>
    <row r="763" spans="2:4" x14ac:dyDescent="0.25">
      <c r="B763" s="68"/>
      <c r="C763" s="50"/>
      <c r="D763" s="15"/>
    </row>
    <row r="764" spans="2:4" x14ac:dyDescent="0.25">
      <c r="B764" s="68"/>
      <c r="C764" s="50"/>
      <c r="D764" s="15"/>
    </row>
    <row r="765" spans="2:4" x14ac:dyDescent="0.25">
      <c r="B765" s="68"/>
      <c r="C765" s="50"/>
      <c r="D765" s="15"/>
    </row>
    <row r="766" spans="2:4" x14ac:dyDescent="0.25">
      <c r="B766" s="68"/>
      <c r="C766" s="50"/>
      <c r="D766" s="15"/>
    </row>
    <row r="767" spans="2:4" x14ac:dyDescent="0.25">
      <c r="B767" s="68"/>
      <c r="C767" s="50"/>
      <c r="D767" s="15"/>
    </row>
    <row r="768" spans="2:4" x14ac:dyDescent="0.25">
      <c r="B768" s="68"/>
      <c r="C768" s="50"/>
      <c r="D768" s="15"/>
    </row>
    <row r="769" spans="2:4" x14ac:dyDescent="0.25">
      <c r="B769" s="68"/>
      <c r="C769" s="50"/>
      <c r="D769" s="15"/>
    </row>
    <row r="770" spans="2:4" x14ac:dyDescent="0.25">
      <c r="B770" s="68"/>
      <c r="C770" s="50"/>
      <c r="D770" s="15"/>
    </row>
    <row r="771" spans="2:4" x14ac:dyDescent="0.25">
      <c r="B771" s="68"/>
      <c r="C771" s="50"/>
      <c r="D771" s="15"/>
    </row>
    <row r="772" spans="2:4" x14ac:dyDescent="0.25">
      <c r="B772" s="68"/>
      <c r="C772" s="50"/>
      <c r="D772" s="15"/>
    </row>
    <row r="773" spans="2:4" x14ac:dyDescent="0.25">
      <c r="B773" s="68"/>
      <c r="C773" s="50"/>
      <c r="D773" s="15"/>
    </row>
    <row r="774" spans="2:4" x14ac:dyDescent="0.25">
      <c r="B774" s="68"/>
      <c r="C774" s="50"/>
      <c r="D774" s="15"/>
    </row>
    <row r="775" spans="2:4" x14ac:dyDescent="0.25">
      <c r="B775" s="68"/>
      <c r="C775" s="50"/>
      <c r="D775" s="15"/>
    </row>
    <row r="776" spans="2:4" x14ac:dyDescent="0.25">
      <c r="B776" s="68"/>
      <c r="C776" s="50"/>
      <c r="D776" s="15"/>
    </row>
    <row r="777" spans="2:4" x14ac:dyDescent="0.25">
      <c r="B777" s="68"/>
      <c r="C777" s="50"/>
      <c r="D777" s="15"/>
    </row>
    <row r="778" spans="2:4" x14ac:dyDescent="0.25">
      <c r="B778" s="68"/>
      <c r="C778" s="50"/>
      <c r="D778" s="15"/>
    </row>
    <row r="779" spans="2:4" x14ac:dyDescent="0.25">
      <c r="B779" s="68"/>
      <c r="C779" s="50"/>
      <c r="D779" s="15"/>
    </row>
    <row r="780" spans="2:4" x14ac:dyDescent="0.25">
      <c r="B780" s="68"/>
      <c r="C780" s="50"/>
      <c r="D780" s="15"/>
    </row>
    <row r="781" spans="2:4" x14ac:dyDescent="0.25">
      <c r="B781" s="68"/>
      <c r="C781" s="50"/>
      <c r="D781" s="15"/>
    </row>
    <row r="782" spans="2:4" x14ac:dyDescent="0.25">
      <c r="B782" s="68"/>
      <c r="C782" s="50"/>
      <c r="D782" s="15"/>
    </row>
    <row r="783" spans="2:4" x14ac:dyDescent="0.25">
      <c r="B783" s="68"/>
      <c r="C783" s="50"/>
      <c r="D783" s="15"/>
    </row>
    <row r="784" spans="2:4" x14ac:dyDescent="0.25">
      <c r="B784" s="68"/>
      <c r="C784" s="50"/>
      <c r="D784" s="15"/>
    </row>
    <row r="785" spans="2:4" x14ac:dyDescent="0.25">
      <c r="B785" s="68"/>
      <c r="C785" s="50"/>
      <c r="D785" s="15"/>
    </row>
    <row r="786" spans="2:4" x14ac:dyDescent="0.25">
      <c r="B786" s="68"/>
      <c r="C786" s="50"/>
      <c r="D786" s="15"/>
    </row>
    <row r="787" spans="2:4" x14ac:dyDescent="0.25">
      <c r="B787" s="68"/>
      <c r="C787" s="50"/>
      <c r="D787" s="15"/>
    </row>
    <row r="788" spans="2:4" x14ac:dyDescent="0.25">
      <c r="B788" s="68"/>
      <c r="C788" s="50"/>
      <c r="D788" s="15"/>
    </row>
    <row r="789" spans="2:4" x14ac:dyDescent="0.25">
      <c r="B789" s="68"/>
      <c r="C789" s="50"/>
      <c r="D789" s="15"/>
    </row>
    <row r="790" spans="2:4" x14ac:dyDescent="0.25">
      <c r="B790" s="68"/>
      <c r="C790" s="50"/>
      <c r="D790" s="15"/>
    </row>
    <row r="791" spans="2:4" x14ac:dyDescent="0.25">
      <c r="B791" s="68"/>
      <c r="C791" s="50"/>
      <c r="D791" s="15"/>
    </row>
    <row r="792" spans="2:4" x14ac:dyDescent="0.25">
      <c r="B792" s="68"/>
      <c r="C792" s="50"/>
      <c r="D792" s="15"/>
    </row>
    <row r="793" spans="2:4" x14ac:dyDescent="0.25">
      <c r="B793" s="68"/>
      <c r="C793" s="50"/>
      <c r="D793" s="15"/>
    </row>
    <row r="794" spans="2:4" x14ac:dyDescent="0.25">
      <c r="B794" s="68"/>
      <c r="C794" s="50"/>
      <c r="D794" s="15"/>
    </row>
    <row r="795" spans="2:4" x14ac:dyDescent="0.25">
      <c r="B795" s="68"/>
      <c r="C795" s="50"/>
      <c r="D795" s="15"/>
    </row>
    <row r="796" spans="2:4" x14ac:dyDescent="0.25">
      <c r="B796" s="68"/>
      <c r="C796" s="50"/>
      <c r="D796" s="15"/>
    </row>
    <row r="797" spans="2:4" x14ac:dyDescent="0.25">
      <c r="B797" s="68"/>
      <c r="C797" s="50"/>
      <c r="D797" s="15"/>
    </row>
    <row r="798" spans="2:4" x14ac:dyDescent="0.25">
      <c r="B798" s="68"/>
      <c r="C798" s="50"/>
      <c r="D798" s="15"/>
    </row>
    <row r="799" spans="2:4" x14ac:dyDescent="0.25">
      <c r="B799" s="68"/>
      <c r="C799" s="50"/>
      <c r="D799" s="15"/>
    </row>
    <row r="800" spans="2:4" x14ac:dyDescent="0.25">
      <c r="B800" s="68"/>
      <c r="C800" s="50"/>
      <c r="D800" s="15"/>
    </row>
    <row r="801" spans="2:4" x14ac:dyDescent="0.25">
      <c r="B801" s="68"/>
      <c r="C801" s="50"/>
      <c r="D801" s="15"/>
    </row>
    <row r="802" spans="2:4" x14ac:dyDescent="0.25">
      <c r="B802" s="68"/>
      <c r="C802" s="50"/>
      <c r="D802" s="15"/>
    </row>
    <row r="803" spans="2:4" x14ac:dyDescent="0.25">
      <c r="B803" s="68"/>
      <c r="C803" s="50"/>
      <c r="D803" s="15"/>
    </row>
    <row r="804" spans="2:4" x14ac:dyDescent="0.25">
      <c r="B804" s="68"/>
      <c r="C804" s="50"/>
      <c r="D804" s="15"/>
    </row>
    <row r="805" spans="2:4" x14ac:dyDescent="0.25">
      <c r="B805" s="68"/>
      <c r="C805" s="50"/>
      <c r="D805" s="15"/>
    </row>
    <row r="806" spans="2:4" x14ac:dyDescent="0.25">
      <c r="B806" s="68"/>
      <c r="C806" s="50"/>
      <c r="D806" s="15"/>
    </row>
    <row r="807" spans="2:4" x14ac:dyDescent="0.25">
      <c r="B807" s="68"/>
      <c r="C807" s="50"/>
      <c r="D807" s="15"/>
    </row>
    <row r="808" spans="2:4" x14ac:dyDescent="0.25">
      <c r="B808" s="68"/>
      <c r="C808" s="50"/>
      <c r="D808" s="15"/>
    </row>
    <row r="809" spans="2:4" x14ac:dyDescent="0.25">
      <c r="B809" s="68"/>
      <c r="C809" s="50"/>
      <c r="D809" s="15"/>
    </row>
    <row r="810" spans="2:4" x14ac:dyDescent="0.25">
      <c r="B810" s="68"/>
      <c r="C810" s="50"/>
      <c r="D810" s="15"/>
    </row>
    <row r="811" spans="2:4" x14ac:dyDescent="0.25">
      <c r="B811" s="68"/>
      <c r="C811" s="50"/>
      <c r="D811" s="15"/>
    </row>
    <row r="812" spans="2:4" x14ac:dyDescent="0.25">
      <c r="B812" s="68"/>
      <c r="C812" s="50"/>
      <c r="D812" s="15"/>
    </row>
    <row r="813" spans="2:4" x14ac:dyDescent="0.25">
      <c r="B813" s="68"/>
      <c r="C813" s="50"/>
      <c r="D813" s="15"/>
    </row>
    <row r="814" spans="2:4" x14ac:dyDescent="0.25">
      <c r="B814" s="68"/>
      <c r="C814" s="50"/>
      <c r="D814" s="15"/>
    </row>
    <row r="815" spans="2:4" x14ac:dyDescent="0.25">
      <c r="B815" s="68"/>
      <c r="C815" s="50"/>
      <c r="D815" s="15"/>
    </row>
    <row r="816" spans="2:4" x14ac:dyDescent="0.25">
      <c r="B816" s="68"/>
      <c r="C816" s="50"/>
      <c r="D816" s="15"/>
    </row>
    <row r="817" spans="2:4" x14ac:dyDescent="0.25">
      <c r="B817" s="68"/>
      <c r="C817" s="50"/>
      <c r="D817" s="15"/>
    </row>
    <row r="818" spans="2:4" x14ac:dyDescent="0.25">
      <c r="B818" s="68"/>
      <c r="C818" s="50"/>
      <c r="D818" s="15"/>
    </row>
    <row r="819" spans="2:4" x14ac:dyDescent="0.25">
      <c r="B819" s="68"/>
      <c r="C819" s="50"/>
      <c r="D819" s="15"/>
    </row>
    <row r="820" spans="2:4" x14ac:dyDescent="0.25">
      <c r="B820" s="68"/>
      <c r="C820" s="50"/>
      <c r="D820" s="15"/>
    </row>
    <row r="821" spans="2:4" x14ac:dyDescent="0.25">
      <c r="B821" s="68"/>
      <c r="C821" s="50"/>
      <c r="D821" s="15"/>
    </row>
    <row r="822" spans="2:4" x14ac:dyDescent="0.25">
      <c r="B822" s="68"/>
      <c r="C822" s="50"/>
      <c r="D822" s="15"/>
    </row>
    <row r="823" spans="2:4" x14ac:dyDescent="0.25">
      <c r="B823" s="68"/>
      <c r="C823" s="50"/>
      <c r="D823" s="15"/>
    </row>
    <row r="824" spans="2:4" x14ac:dyDescent="0.25">
      <c r="B824" s="68"/>
      <c r="C824" s="50"/>
      <c r="D824" s="15"/>
    </row>
    <row r="825" spans="2:4" x14ac:dyDescent="0.25">
      <c r="B825" s="68"/>
      <c r="C825" s="50"/>
      <c r="D825" s="15"/>
    </row>
    <row r="826" spans="2:4" x14ac:dyDescent="0.25">
      <c r="B826" s="68"/>
      <c r="C826" s="50"/>
      <c r="D826" s="15"/>
    </row>
    <row r="827" spans="2:4" x14ac:dyDescent="0.25">
      <c r="B827" s="68"/>
      <c r="C827" s="50"/>
      <c r="D827" s="15"/>
    </row>
    <row r="828" spans="2:4" x14ac:dyDescent="0.25">
      <c r="B828" s="68"/>
      <c r="C828" s="50"/>
      <c r="D828" s="15"/>
    </row>
    <row r="829" spans="2:4" x14ac:dyDescent="0.25">
      <c r="B829" s="68"/>
      <c r="C829" s="50"/>
      <c r="D829" s="15"/>
    </row>
    <row r="830" spans="2:4" x14ac:dyDescent="0.25">
      <c r="B830" s="68"/>
      <c r="C830" s="50"/>
      <c r="D830" s="15"/>
    </row>
    <row r="831" spans="2:4" x14ac:dyDescent="0.25">
      <c r="B831" s="68"/>
      <c r="C831" s="50"/>
      <c r="D831" s="15"/>
    </row>
    <row r="832" spans="2:4" x14ac:dyDescent="0.25">
      <c r="B832" s="68"/>
      <c r="C832" s="50"/>
      <c r="D832" s="15"/>
    </row>
    <row r="833" spans="2:4" x14ac:dyDescent="0.25">
      <c r="B833" s="68"/>
      <c r="C833" s="50"/>
      <c r="D833" s="15"/>
    </row>
    <row r="834" spans="2:4" x14ac:dyDescent="0.25">
      <c r="B834" s="68"/>
      <c r="C834" s="50"/>
      <c r="D834" s="15"/>
    </row>
    <row r="835" spans="2:4" x14ac:dyDescent="0.25">
      <c r="B835" s="68"/>
      <c r="C835" s="50"/>
      <c r="D835" s="15"/>
    </row>
    <row r="836" spans="2:4" x14ac:dyDescent="0.25">
      <c r="B836" s="68"/>
      <c r="C836" s="50"/>
      <c r="D836" s="15"/>
    </row>
    <row r="837" spans="2:4" x14ac:dyDescent="0.25">
      <c r="B837" s="68"/>
      <c r="C837" s="50"/>
      <c r="D837" s="15"/>
    </row>
    <row r="838" spans="2:4" x14ac:dyDescent="0.25">
      <c r="B838" s="68"/>
      <c r="C838" s="50"/>
      <c r="D838" s="15"/>
    </row>
    <row r="839" spans="2:4" x14ac:dyDescent="0.25">
      <c r="B839" s="68"/>
      <c r="C839" s="50"/>
      <c r="D839" s="15"/>
    </row>
    <row r="840" spans="2:4" x14ac:dyDescent="0.25">
      <c r="B840" s="68"/>
      <c r="C840" s="50"/>
      <c r="D840" s="15"/>
    </row>
    <row r="841" spans="2:4" x14ac:dyDescent="0.25">
      <c r="B841" s="68"/>
      <c r="C841" s="50"/>
      <c r="D841" s="15"/>
    </row>
    <row r="842" spans="2:4" x14ac:dyDescent="0.25">
      <c r="B842" s="68"/>
      <c r="C842" s="50"/>
      <c r="D842" s="15"/>
    </row>
    <row r="843" spans="2:4" x14ac:dyDescent="0.25">
      <c r="B843" s="68"/>
      <c r="C843" s="50"/>
      <c r="D843" s="15"/>
    </row>
    <row r="844" spans="2:4" x14ac:dyDescent="0.25">
      <c r="B844" s="68"/>
      <c r="C844" s="50"/>
      <c r="D844" s="15"/>
    </row>
    <row r="845" spans="2:4" x14ac:dyDescent="0.25">
      <c r="B845" s="68"/>
      <c r="C845" s="50"/>
      <c r="D845" s="15"/>
    </row>
    <row r="846" spans="2:4" x14ac:dyDescent="0.25">
      <c r="B846" s="68"/>
      <c r="C846" s="50"/>
      <c r="D846" s="15"/>
    </row>
    <row r="847" spans="2:4" x14ac:dyDescent="0.25">
      <c r="B847" s="68"/>
      <c r="C847" s="50"/>
      <c r="D847" s="15"/>
    </row>
    <row r="848" spans="2:4" x14ac:dyDescent="0.25">
      <c r="B848" s="68"/>
      <c r="C848" s="50"/>
      <c r="D848" s="15"/>
    </row>
    <row r="849" spans="2:4" x14ac:dyDescent="0.25">
      <c r="B849" s="68"/>
      <c r="C849" s="50"/>
      <c r="D849" s="15"/>
    </row>
    <row r="850" spans="2:4" x14ac:dyDescent="0.25">
      <c r="B850" s="68"/>
      <c r="C850" s="50"/>
      <c r="D850" s="15"/>
    </row>
    <row r="851" spans="2:4" x14ac:dyDescent="0.25">
      <c r="B851" s="68"/>
      <c r="C851" s="50"/>
      <c r="D851" s="15"/>
    </row>
    <row r="852" spans="2:4" x14ac:dyDescent="0.25">
      <c r="B852" s="68"/>
      <c r="C852" s="50"/>
      <c r="D852" s="15"/>
    </row>
    <row r="853" spans="2:4" x14ac:dyDescent="0.25">
      <c r="B853" s="68"/>
      <c r="C853" s="50"/>
      <c r="D853" s="15"/>
    </row>
    <row r="854" spans="2:4" x14ac:dyDescent="0.25">
      <c r="B854" s="68"/>
      <c r="C854" s="50"/>
      <c r="D854" s="15"/>
    </row>
    <row r="855" spans="2:4" x14ac:dyDescent="0.25">
      <c r="B855" s="68"/>
      <c r="C855" s="50"/>
      <c r="D855" s="15"/>
    </row>
    <row r="856" spans="2:4" x14ac:dyDescent="0.25">
      <c r="B856" s="68"/>
      <c r="C856" s="50"/>
      <c r="D856" s="15"/>
    </row>
    <row r="857" spans="2:4" x14ac:dyDescent="0.25">
      <c r="B857" s="68"/>
      <c r="C857" s="50"/>
      <c r="D857" s="15"/>
    </row>
    <row r="858" spans="2:4" x14ac:dyDescent="0.25">
      <c r="B858" s="68"/>
      <c r="C858" s="50"/>
      <c r="D858" s="15"/>
    </row>
    <row r="859" spans="2:4" x14ac:dyDescent="0.25">
      <c r="B859" s="68"/>
      <c r="C859" s="50"/>
      <c r="D859" s="15"/>
    </row>
    <row r="860" spans="2:4" x14ac:dyDescent="0.25">
      <c r="B860" s="68"/>
      <c r="C860" s="50"/>
      <c r="D860" s="15"/>
    </row>
    <row r="861" spans="2:4" x14ac:dyDescent="0.25">
      <c r="B861" s="68"/>
      <c r="C861" s="50"/>
      <c r="D861" s="15"/>
    </row>
    <row r="862" spans="2:4" x14ac:dyDescent="0.25">
      <c r="B862" s="68"/>
      <c r="C862" s="50"/>
      <c r="D862" s="15"/>
    </row>
    <row r="863" spans="2:4" x14ac:dyDescent="0.25">
      <c r="B863" s="68"/>
      <c r="C863" s="50"/>
      <c r="D863" s="15"/>
    </row>
    <row r="864" spans="2:4" x14ac:dyDescent="0.25">
      <c r="B864" s="68"/>
      <c r="C864" s="50"/>
      <c r="D864" s="15"/>
    </row>
    <row r="865" spans="2:4" x14ac:dyDescent="0.25">
      <c r="B865" s="68"/>
      <c r="C865" s="50"/>
      <c r="D865" s="15"/>
    </row>
    <row r="866" spans="2:4" x14ac:dyDescent="0.25">
      <c r="B866" s="68"/>
      <c r="C866" s="50"/>
      <c r="D866" s="15"/>
    </row>
    <row r="867" spans="2:4" x14ac:dyDescent="0.25">
      <c r="B867" s="68"/>
      <c r="C867" s="50"/>
      <c r="D867" s="15"/>
    </row>
    <row r="868" spans="2:4" x14ac:dyDescent="0.25">
      <c r="B868" s="68"/>
      <c r="C868" s="50"/>
      <c r="D868" s="15"/>
    </row>
    <row r="869" spans="2:4" x14ac:dyDescent="0.25">
      <c r="B869" s="68"/>
      <c r="C869" s="50"/>
      <c r="D869" s="15"/>
    </row>
    <row r="870" spans="2:4" x14ac:dyDescent="0.25">
      <c r="B870" s="68"/>
      <c r="C870" s="50"/>
      <c r="D870" s="15"/>
    </row>
    <row r="871" spans="2:4" x14ac:dyDescent="0.25">
      <c r="B871" s="68"/>
      <c r="C871" s="50"/>
      <c r="D871" s="15"/>
    </row>
    <row r="872" spans="2:4" x14ac:dyDescent="0.25">
      <c r="B872" s="68"/>
      <c r="C872" s="50"/>
      <c r="D872" s="15"/>
    </row>
    <row r="873" spans="2:4" x14ac:dyDescent="0.25">
      <c r="B873" s="68"/>
      <c r="C873" s="50"/>
      <c r="D873" s="15"/>
    </row>
    <row r="874" spans="2:4" x14ac:dyDescent="0.25">
      <c r="B874" s="68"/>
      <c r="C874" s="50"/>
      <c r="D874" s="15"/>
    </row>
    <row r="875" spans="2:4" x14ac:dyDescent="0.25">
      <c r="B875" s="68"/>
      <c r="C875" s="50"/>
      <c r="D875" s="15"/>
    </row>
    <row r="876" spans="2:4" x14ac:dyDescent="0.25">
      <c r="B876" s="68"/>
      <c r="C876" s="50"/>
      <c r="D876" s="15"/>
    </row>
    <row r="877" spans="2:4" x14ac:dyDescent="0.25">
      <c r="B877" s="68"/>
      <c r="C877" s="50"/>
      <c r="D877" s="15"/>
    </row>
    <row r="878" spans="2:4" x14ac:dyDescent="0.25">
      <c r="B878" s="68"/>
      <c r="C878" s="50"/>
      <c r="D878" s="15"/>
    </row>
    <row r="879" spans="2:4" x14ac:dyDescent="0.25">
      <c r="B879" s="68"/>
      <c r="C879" s="50"/>
      <c r="D879" s="15"/>
    </row>
    <row r="880" spans="2:4" x14ac:dyDescent="0.25">
      <c r="B880" s="68"/>
      <c r="C880" s="50"/>
      <c r="D880" s="15"/>
    </row>
    <row r="881" spans="2:4" x14ac:dyDescent="0.25">
      <c r="B881" s="68"/>
      <c r="C881" s="50"/>
      <c r="D881" s="15"/>
    </row>
    <row r="882" spans="2:4" x14ac:dyDescent="0.25">
      <c r="B882" s="68"/>
      <c r="C882" s="50"/>
      <c r="D882" s="15"/>
    </row>
    <row r="883" spans="2:4" x14ac:dyDescent="0.25">
      <c r="B883" s="68"/>
      <c r="C883" s="50"/>
      <c r="D883" s="15"/>
    </row>
    <row r="884" spans="2:4" x14ac:dyDescent="0.25">
      <c r="B884" s="68"/>
      <c r="C884" s="50"/>
      <c r="D884" s="15"/>
    </row>
    <row r="885" spans="2:4" x14ac:dyDescent="0.25">
      <c r="B885" s="68"/>
      <c r="C885" s="50"/>
      <c r="D885" s="15"/>
    </row>
    <row r="886" spans="2:4" x14ac:dyDescent="0.25">
      <c r="B886" s="68"/>
      <c r="C886" s="50"/>
      <c r="D886" s="15"/>
    </row>
    <row r="887" spans="2:4" x14ac:dyDescent="0.25">
      <c r="B887" s="68"/>
      <c r="C887" s="50"/>
      <c r="D887" s="15"/>
    </row>
    <row r="888" spans="2:4" x14ac:dyDescent="0.25">
      <c r="B888" s="68"/>
      <c r="C888" s="50"/>
      <c r="D888" s="15"/>
    </row>
    <row r="889" spans="2:4" x14ac:dyDescent="0.25">
      <c r="B889" s="68"/>
      <c r="C889" s="50"/>
      <c r="D889" s="15"/>
    </row>
    <row r="890" spans="2:4" x14ac:dyDescent="0.25">
      <c r="B890" s="68"/>
      <c r="C890" s="50"/>
      <c r="D890" s="15"/>
    </row>
    <row r="891" spans="2:4" x14ac:dyDescent="0.25">
      <c r="B891" s="68"/>
      <c r="C891" s="50"/>
      <c r="D891" s="15"/>
    </row>
    <row r="892" spans="2:4" x14ac:dyDescent="0.25">
      <c r="B892" s="68"/>
      <c r="C892" s="50"/>
      <c r="D892" s="15"/>
    </row>
    <row r="893" spans="2:4" x14ac:dyDescent="0.25">
      <c r="B893" s="68"/>
      <c r="C893" s="50"/>
      <c r="D893" s="15"/>
    </row>
    <row r="894" spans="2:4" x14ac:dyDescent="0.25">
      <c r="B894" s="68"/>
      <c r="C894" s="50"/>
      <c r="D894" s="15"/>
    </row>
    <row r="895" spans="2:4" x14ac:dyDescent="0.25">
      <c r="B895" s="68"/>
      <c r="C895" s="50"/>
      <c r="D895" s="15"/>
    </row>
    <row r="896" spans="2:4" x14ac:dyDescent="0.25">
      <c r="B896" s="68"/>
      <c r="C896" s="50"/>
      <c r="D896" s="15"/>
    </row>
    <row r="897" spans="2:4" x14ac:dyDescent="0.25">
      <c r="B897" s="68"/>
      <c r="C897" s="50"/>
      <c r="D897" s="15"/>
    </row>
    <row r="898" spans="2:4" x14ac:dyDescent="0.25">
      <c r="B898" s="68"/>
      <c r="C898" s="50"/>
      <c r="D898" s="15"/>
    </row>
    <row r="899" spans="2:4" x14ac:dyDescent="0.25">
      <c r="B899" s="68"/>
      <c r="C899" s="50"/>
      <c r="D899" s="15"/>
    </row>
    <row r="900" spans="2:4" x14ac:dyDescent="0.25">
      <c r="B900" s="68"/>
      <c r="C900" s="50"/>
      <c r="D900" s="15"/>
    </row>
    <row r="901" spans="2:4" x14ac:dyDescent="0.25">
      <c r="B901" s="68"/>
      <c r="C901" s="50"/>
      <c r="D901" s="15"/>
    </row>
    <row r="902" spans="2:4" x14ac:dyDescent="0.25">
      <c r="B902" s="68"/>
      <c r="C902" s="50"/>
      <c r="D902" s="15"/>
    </row>
    <row r="903" spans="2:4" x14ac:dyDescent="0.25">
      <c r="B903" s="68"/>
      <c r="C903" s="50"/>
      <c r="D903" s="15"/>
    </row>
    <row r="904" spans="2:4" x14ac:dyDescent="0.25">
      <c r="B904" s="68"/>
      <c r="C904" s="50"/>
      <c r="D904" s="15"/>
    </row>
    <row r="905" spans="2:4" x14ac:dyDescent="0.25">
      <c r="B905" s="68"/>
      <c r="C905" s="50"/>
      <c r="D905" s="15"/>
    </row>
    <row r="906" spans="2:4" x14ac:dyDescent="0.25">
      <c r="B906" s="68"/>
      <c r="C906" s="50"/>
      <c r="D906" s="15"/>
    </row>
    <row r="907" spans="2:4" x14ac:dyDescent="0.25">
      <c r="B907" s="68"/>
      <c r="C907" s="50"/>
      <c r="D907" s="15"/>
    </row>
    <row r="908" spans="2:4" x14ac:dyDescent="0.25">
      <c r="B908" s="68"/>
      <c r="C908" s="50"/>
      <c r="D908" s="15"/>
    </row>
    <row r="909" spans="2:4" x14ac:dyDescent="0.25">
      <c r="B909" s="68"/>
      <c r="C909" s="50"/>
      <c r="D909" s="15"/>
    </row>
    <row r="910" spans="2:4" x14ac:dyDescent="0.25">
      <c r="B910" s="68"/>
      <c r="C910" s="50"/>
      <c r="D910" s="15"/>
    </row>
    <row r="911" spans="2:4" x14ac:dyDescent="0.25">
      <c r="B911" s="68"/>
      <c r="C911" s="50"/>
      <c r="D911" s="15"/>
    </row>
    <row r="912" spans="2:4" x14ac:dyDescent="0.25">
      <c r="B912" s="68"/>
      <c r="C912" s="50"/>
      <c r="D912" s="15"/>
    </row>
    <row r="913" spans="2:4" x14ac:dyDescent="0.25">
      <c r="B913" s="68"/>
      <c r="C913" s="50"/>
      <c r="D913" s="15"/>
    </row>
    <row r="914" spans="2:4" x14ac:dyDescent="0.25">
      <c r="B914" s="68"/>
      <c r="C914" s="50"/>
      <c r="D914" s="15"/>
    </row>
    <row r="915" spans="2:4" x14ac:dyDescent="0.25">
      <c r="B915" s="68"/>
      <c r="C915" s="50"/>
      <c r="D915" s="15"/>
    </row>
    <row r="916" spans="2:4" x14ac:dyDescent="0.25">
      <c r="B916" s="68"/>
      <c r="C916" s="50"/>
      <c r="D916" s="15"/>
    </row>
    <row r="917" spans="2:4" x14ac:dyDescent="0.25">
      <c r="B917" s="68"/>
      <c r="C917" s="50"/>
      <c r="D917" s="15"/>
    </row>
    <row r="918" spans="2:4" x14ac:dyDescent="0.25">
      <c r="B918" s="68"/>
      <c r="C918" s="50"/>
      <c r="D918" s="15"/>
    </row>
    <row r="919" spans="2:4" x14ac:dyDescent="0.25">
      <c r="B919" s="68"/>
      <c r="C919" s="50"/>
      <c r="D919" s="15"/>
    </row>
    <row r="920" spans="2:4" x14ac:dyDescent="0.25">
      <c r="B920" s="68"/>
      <c r="C920" s="50"/>
      <c r="D920" s="15"/>
    </row>
    <row r="921" spans="2:4" x14ac:dyDescent="0.25">
      <c r="B921" s="68"/>
      <c r="C921" s="50"/>
      <c r="D921" s="15"/>
    </row>
    <row r="922" spans="2:4" x14ac:dyDescent="0.25">
      <c r="B922" s="68"/>
      <c r="C922" s="50"/>
      <c r="D922" s="15"/>
    </row>
    <row r="923" spans="2:4" x14ac:dyDescent="0.25">
      <c r="B923" s="68"/>
      <c r="C923" s="50"/>
      <c r="D923" s="15"/>
    </row>
    <row r="924" spans="2:4" x14ac:dyDescent="0.25">
      <c r="B924" s="68"/>
      <c r="C924" s="50"/>
      <c r="D924" s="15"/>
    </row>
    <row r="925" spans="2:4" x14ac:dyDescent="0.25">
      <c r="B925" s="68"/>
      <c r="C925" s="50"/>
      <c r="D925" s="15"/>
    </row>
    <row r="926" spans="2:4" x14ac:dyDescent="0.25">
      <c r="B926" s="68"/>
      <c r="C926" s="50"/>
      <c r="D926" s="15"/>
    </row>
    <row r="927" spans="2:4" x14ac:dyDescent="0.25">
      <c r="B927" s="68"/>
      <c r="C927" s="50"/>
      <c r="D927" s="15"/>
    </row>
    <row r="928" spans="2:4" x14ac:dyDescent="0.25">
      <c r="B928" s="68"/>
      <c r="C928" s="50"/>
      <c r="D928" s="15"/>
    </row>
    <row r="929" spans="2:4" x14ac:dyDescent="0.25">
      <c r="B929" s="68"/>
      <c r="C929" s="50"/>
      <c r="D929" s="15"/>
    </row>
    <row r="930" spans="2:4" x14ac:dyDescent="0.25">
      <c r="B930" s="68"/>
      <c r="C930" s="50"/>
      <c r="D930" s="15"/>
    </row>
    <row r="931" spans="2:4" x14ac:dyDescent="0.25">
      <c r="B931" s="68"/>
      <c r="C931" s="50"/>
      <c r="D931" s="15"/>
    </row>
    <row r="932" spans="2:4" x14ac:dyDescent="0.25">
      <c r="B932" s="68"/>
      <c r="C932" s="50"/>
      <c r="D932" s="15"/>
    </row>
    <row r="933" spans="2:4" x14ac:dyDescent="0.25">
      <c r="B933" s="68"/>
      <c r="C933" s="50"/>
      <c r="D933" s="15"/>
    </row>
    <row r="934" spans="2:4" x14ac:dyDescent="0.25">
      <c r="B934" s="68"/>
      <c r="C934" s="50"/>
      <c r="D934" s="15"/>
    </row>
    <row r="935" spans="2:4" x14ac:dyDescent="0.25">
      <c r="B935" s="68"/>
      <c r="C935" s="50"/>
      <c r="D935" s="15"/>
    </row>
    <row r="936" spans="2:4" x14ac:dyDescent="0.25">
      <c r="B936" s="68"/>
      <c r="C936" s="50"/>
      <c r="D936" s="15"/>
    </row>
    <row r="937" spans="2:4" x14ac:dyDescent="0.25">
      <c r="B937" s="68"/>
      <c r="C937" s="50"/>
      <c r="D937" s="15"/>
    </row>
    <row r="938" spans="2:4" x14ac:dyDescent="0.25">
      <c r="B938" s="68"/>
      <c r="C938" s="50"/>
      <c r="D938" s="15"/>
    </row>
    <row r="939" spans="2:4" x14ac:dyDescent="0.25">
      <c r="B939" s="68"/>
      <c r="C939" s="50"/>
      <c r="D939" s="15"/>
    </row>
    <row r="940" spans="2:4" x14ac:dyDescent="0.25">
      <c r="B940" s="68"/>
      <c r="C940" s="50"/>
      <c r="D940" s="15"/>
    </row>
    <row r="941" spans="2:4" x14ac:dyDescent="0.25">
      <c r="B941" s="68"/>
      <c r="C941" s="50"/>
      <c r="D941" s="15"/>
    </row>
    <row r="942" spans="2:4" x14ac:dyDescent="0.25">
      <c r="B942" s="68"/>
      <c r="C942" s="50"/>
      <c r="D942" s="15"/>
    </row>
    <row r="943" spans="2:4" x14ac:dyDescent="0.25">
      <c r="B943" s="68"/>
      <c r="C943" s="50"/>
      <c r="D943" s="15"/>
    </row>
    <row r="944" spans="2:4" x14ac:dyDescent="0.25">
      <c r="B944" s="68"/>
      <c r="C944" s="50"/>
      <c r="D944" s="15"/>
    </row>
    <row r="945" spans="2:4" x14ac:dyDescent="0.25">
      <c r="B945" s="68"/>
      <c r="C945" s="50"/>
      <c r="D945" s="15"/>
    </row>
    <row r="946" spans="2:4" x14ac:dyDescent="0.25">
      <c r="B946" s="68"/>
      <c r="C946" s="50"/>
      <c r="D946" s="15"/>
    </row>
    <row r="947" spans="2:4" x14ac:dyDescent="0.25">
      <c r="B947" s="68"/>
      <c r="C947" s="50"/>
      <c r="D947" s="15"/>
    </row>
    <row r="948" spans="2:4" x14ac:dyDescent="0.25">
      <c r="B948" s="68"/>
      <c r="C948" s="50"/>
      <c r="D948" s="15"/>
    </row>
    <row r="949" spans="2:4" x14ac:dyDescent="0.25">
      <c r="B949" s="68"/>
      <c r="C949" s="50"/>
      <c r="D949" s="15"/>
    </row>
    <row r="950" spans="2:4" x14ac:dyDescent="0.25">
      <c r="B950" s="68"/>
      <c r="C950" s="50"/>
      <c r="D950" s="15"/>
    </row>
    <row r="951" spans="2:4" x14ac:dyDescent="0.25">
      <c r="B951" s="68"/>
      <c r="C951" s="50"/>
      <c r="D951" s="15"/>
    </row>
    <row r="952" spans="2:4" x14ac:dyDescent="0.25">
      <c r="B952" s="68"/>
      <c r="C952" s="50"/>
      <c r="D952" s="15"/>
    </row>
    <row r="953" spans="2:4" x14ac:dyDescent="0.25">
      <c r="B953" s="68"/>
      <c r="C953" s="50"/>
      <c r="D953" s="15"/>
    </row>
    <row r="954" spans="2:4" x14ac:dyDescent="0.25">
      <c r="B954" s="68"/>
      <c r="C954" s="50"/>
      <c r="D954" s="15"/>
    </row>
    <row r="955" spans="2:4" x14ac:dyDescent="0.25">
      <c r="B955" s="68"/>
      <c r="C955" s="50"/>
      <c r="D955" s="15"/>
    </row>
    <row r="956" spans="2:4" x14ac:dyDescent="0.25">
      <c r="B956" s="68"/>
      <c r="C956" s="50"/>
      <c r="D956" s="15"/>
    </row>
    <row r="957" spans="2:4" x14ac:dyDescent="0.25">
      <c r="B957" s="68"/>
      <c r="C957" s="50"/>
      <c r="D957" s="15"/>
    </row>
    <row r="958" spans="2:4" x14ac:dyDescent="0.25">
      <c r="B958" s="68"/>
      <c r="C958" s="50"/>
      <c r="D958" s="15"/>
    </row>
    <row r="959" spans="2:4" x14ac:dyDescent="0.25">
      <c r="B959" s="68"/>
      <c r="C959" s="50"/>
      <c r="D959" s="15"/>
    </row>
    <row r="960" spans="2:4" x14ac:dyDescent="0.25">
      <c r="B960" s="68"/>
      <c r="C960" s="50"/>
      <c r="D960" s="15"/>
    </row>
    <row r="961" spans="2:4" x14ac:dyDescent="0.25">
      <c r="B961" s="68"/>
      <c r="C961" s="50"/>
      <c r="D961" s="15"/>
    </row>
    <row r="962" spans="2:4" x14ac:dyDescent="0.25">
      <c r="B962" s="68"/>
      <c r="C962" s="50"/>
      <c r="D962" s="15"/>
    </row>
    <row r="963" spans="2:4" x14ac:dyDescent="0.25">
      <c r="B963" s="68"/>
      <c r="C963" s="50"/>
      <c r="D963" s="15"/>
    </row>
    <row r="964" spans="2:4" x14ac:dyDescent="0.25">
      <c r="B964" s="68"/>
      <c r="C964" s="50"/>
      <c r="D964" s="15"/>
    </row>
    <row r="965" spans="2:4" x14ac:dyDescent="0.25">
      <c r="B965" s="68"/>
      <c r="C965" s="50"/>
      <c r="D965" s="15"/>
    </row>
    <row r="966" spans="2:4" x14ac:dyDescent="0.25">
      <c r="B966" s="68"/>
      <c r="C966" s="50"/>
      <c r="D966" s="15"/>
    </row>
    <row r="967" spans="2:4" x14ac:dyDescent="0.25">
      <c r="B967" s="68"/>
      <c r="C967" s="50"/>
      <c r="D967" s="15"/>
    </row>
    <row r="968" spans="2:4" x14ac:dyDescent="0.25">
      <c r="B968" s="68"/>
      <c r="C968" s="50"/>
      <c r="D968" s="15"/>
    </row>
    <row r="969" spans="2:4" x14ac:dyDescent="0.25">
      <c r="B969" s="68"/>
      <c r="C969" s="50"/>
      <c r="D969" s="15"/>
    </row>
    <row r="970" spans="2:4" x14ac:dyDescent="0.25">
      <c r="B970" s="68"/>
      <c r="C970" s="50"/>
      <c r="D970" s="15"/>
    </row>
    <row r="971" spans="2:4" x14ac:dyDescent="0.25">
      <c r="B971" s="68"/>
      <c r="C971" s="50"/>
      <c r="D971" s="15"/>
    </row>
    <row r="972" spans="2:4" x14ac:dyDescent="0.25">
      <c r="B972" s="68"/>
      <c r="C972" s="50"/>
      <c r="D972" s="15"/>
    </row>
    <row r="973" spans="2:4" x14ac:dyDescent="0.25">
      <c r="B973" s="68"/>
      <c r="C973" s="50"/>
      <c r="D973" s="15"/>
    </row>
    <row r="974" spans="2:4" x14ac:dyDescent="0.25">
      <c r="B974" s="68"/>
      <c r="C974" s="50"/>
      <c r="D974" s="15"/>
    </row>
    <row r="975" spans="2:4" x14ac:dyDescent="0.25">
      <c r="B975" s="68"/>
      <c r="C975" s="50"/>
      <c r="D975" s="15"/>
    </row>
    <row r="976" spans="2:4" x14ac:dyDescent="0.25">
      <c r="B976" s="68"/>
      <c r="C976" s="50"/>
      <c r="D976" s="15"/>
    </row>
    <row r="977" spans="2:4" x14ac:dyDescent="0.25">
      <c r="B977" s="68"/>
      <c r="C977" s="50"/>
      <c r="D977" s="15"/>
    </row>
    <row r="978" spans="2:4" x14ac:dyDescent="0.25">
      <c r="B978" s="68"/>
      <c r="C978" s="50"/>
      <c r="D978" s="15"/>
    </row>
    <row r="979" spans="2:4" x14ac:dyDescent="0.25">
      <c r="B979" s="68"/>
      <c r="C979" s="50"/>
      <c r="D979" s="15"/>
    </row>
    <row r="980" spans="2:4" x14ac:dyDescent="0.25">
      <c r="B980" s="68"/>
      <c r="C980" s="50"/>
      <c r="D980" s="15"/>
    </row>
    <row r="981" spans="2:4" x14ac:dyDescent="0.25">
      <c r="B981" s="68"/>
      <c r="C981" s="50"/>
      <c r="D981" s="15"/>
    </row>
    <row r="982" spans="2:4" x14ac:dyDescent="0.25">
      <c r="B982" s="68"/>
      <c r="C982" s="50"/>
      <c r="D982" s="15"/>
    </row>
    <row r="983" spans="2:4" x14ac:dyDescent="0.25">
      <c r="B983" s="68"/>
      <c r="C983" s="50"/>
      <c r="D983" s="15"/>
    </row>
    <row r="984" spans="2:4" x14ac:dyDescent="0.25">
      <c r="B984" s="68"/>
      <c r="C984" s="50"/>
      <c r="D984" s="15"/>
    </row>
    <row r="985" spans="2:4" x14ac:dyDescent="0.25">
      <c r="B985" s="68"/>
      <c r="C985" s="50"/>
      <c r="D985" s="15"/>
    </row>
    <row r="986" spans="2:4" x14ac:dyDescent="0.25">
      <c r="B986" s="68"/>
      <c r="C986" s="50"/>
      <c r="D986" s="15"/>
    </row>
    <row r="987" spans="2:4" x14ac:dyDescent="0.25">
      <c r="B987" s="68"/>
      <c r="C987" s="50"/>
      <c r="D987" s="15"/>
    </row>
    <row r="988" spans="2:4" x14ac:dyDescent="0.25">
      <c r="B988" s="68"/>
      <c r="C988" s="50"/>
      <c r="D988" s="15"/>
    </row>
    <row r="989" spans="2:4" x14ac:dyDescent="0.25">
      <c r="B989" s="68"/>
      <c r="C989" s="50"/>
      <c r="D989" s="15"/>
    </row>
    <row r="990" spans="2:4" x14ac:dyDescent="0.25">
      <c r="B990" s="68"/>
      <c r="C990" s="50"/>
      <c r="D990" s="15"/>
    </row>
    <row r="991" spans="2:4" x14ac:dyDescent="0.25">
      <c r="B991" s="68"/>
      <c r="C991" s="50"/>
      <c r="D991" s="15"/>
    </row>
    <row r="992" spans="2:4" x14ac:dyDescent="0.25">
      <c r="B992" s="68"/>
      <c r="C992" s="50"/>
      <c r="D992" s="15"/>
    </row>
    <row r="993" spans="2:4" x14ac:dyDescent="0.25">
      <c r="B993" s="68"/>
      <c r="C993" s="50"/>
      <c r="D993" s="15"/>
    </row>
    <row r="994" spans="2:4" x14ac:dyDescent="0.25">
      <c r="B994" s="68"/>
      <c r="C994" s="50"/>
      <c r="D994" s="15"/>
    </row>
    <row r="995" spans="2:4" x14ac:dyDescent="0.25">
      <c r="B995" s="68"/>
      <c r="C995" s="50"/>
      <c r="D995" s="15"/>
    </row>
    <row r="996" spans="2:4" x14ac:dyDescent="0.25">
      <c r="B996" s="68"/>
      <c r="C996" s="50"/>
      <c r="D996" s="15"/>
    </row>
    <row r="997" spans="2:4" x14ac:dyDescent="0.25">
      <c r="B997" s="68"/>
      <c r="C997" s="50"/>
      <c r="D997" s="15"/>
    </row>
    <row r="998" spans="2:4" x14ac:dyDescent="0.25">
      <c r="B998" s="68"/>
      <c r="C998" s="50"/>
      <c r="D998" s="15"/>
    </row>
    <row r="999" spans="2:4" x14ac:dyDescent="0.25">
      <c r="B999" s="68"/>
      <c r="C999" s="50"/>
      <c r="D999" s="15"/>
    </row>
    <row r="1000" spans="2:4" x14ac:dyDescent="0.25">
      <c r="B1000" s="68"/>
      <c r="C1000" s="50"/>
      <c r="D1000" s="15"/>
    </row>
    <row r="1001" spans="2:4" x14ac:dyDescent="0.25">
      <c r="B1001" s="68"/>
      <c r="C1001" s="50"/>
      <c r="D1001" s="15"/>
    </row>
    <row r="1002" spans="2:4" x14ac:dyDescent="0.25">
      <c r="B1002" s="68"/>
      <c r="C1002" s="50"/>
      <c r="D1002" s="15"/>
    </row>
    <row r="1003" spans="2:4" x14ac:dyDescent="0.25">
      <c r="B1003" s="68"/>
      <c r="C1003" s="50"/>
      <c r="D1003" s="15"/>
    </row>
    <row r="1004" spans="2:4" x14ac:dyDescent="0.25">
      <c r="B1004" s="68"/>
      <c r="C1004" s="50"/>
      <c r="D1004" s="15"/>
    </row>
    <row r="1005" spans="2:4" x14ac:dyDescent="0.25">
      <c r="B1005" s="68"/>
      <c r="C1005" s="50"/>
      <c r="D1005" s="15"/>
    </row>
    <row r="1006" spans="2:4" x14ac:dyDescent="0.25">
      <c r="B1006" s="68"/>
      <c r="C1006" s="50"/>
      <c r="D1006" s="15"/>
    </row>
    <row r="1007" spans="2:4" x14ac:dyDescent="0.25">
      <c r="B1007" s="68"/>
      <c r="C1007" s="50"/>
      <c r="D1007" s="15"/>
    </row>
    <row r="1008" spans="2:4" x14ac:dyDescent="0.25">
      <c r="B1008" s="68"/>
      <c r="C1008" s="50"/>
      <c r="D1008" s="15"/>
    </row>
    <row r="1009" spans="2:4" x14ac:dyDescent="0.25">
      <c r="B1009" s="68"/>
      <c r="C1009" s="50"/>
      <c r="D1009" s="15"/>
    </row>
    <row r="1010" spans="2:4" x14ac:dyDescent="0.25">
      <c r="B1010" s="68"/>
      <c r="C1010" s="50"/>
      <c r="D1010" s="15"/>
    </row>
    <row r="1011" spans="2:4" x14ac:dyDescent="0.25">
      <c r="B1011" s="68"/>
      <c r="C1011" s="50"/>
      <c r="D1011" s="15"/>
    </row>
    <row r="1012" spans="2:4" x14ac:dyDescent="0.25">
      <c r="B1012" s="68"/>
      <c r="C1012" s="50"/>
      <c r="D1012" s="15"/>
    </row>
    <row r="1013" spans="2:4" x14ac:dyDescent="0.25">
      <c r="B1013" s="68"/>
      <c r="C1013" s="50"/>
      <c r="D1013" s="15"/>
    </row>
    <row r="1014" spans="2:4" x14ac:dyDescent="0.25">
      <c r="B1014" s="68"/>
      <c r="C1014" s="50"/>
      <c r="D1014" s="15"/>
    </row>
    <row r="1015" spans="2:4" x14ac:dyDescent="0.25">
      <c r="B1015" s="68"/>
      <c r="C1015" s="50"/>
      <c r="D1015" s="15"/>
    </row>
    <row r="1016" spans="2:4" x14ac:dyDescent="0.25">
      <c r="B1016" s="68"/>
      <c r="C1016" s="50"/>
      <c r="D1016" s="15"/>
    </row>
    <row r="1017" spans="2:4" x14ac:dyDescent="0.25">
      <c r="B1017" s="68"/>
      <c r="C1017" s="50"/>
      <c r="D1017" s="15"/>
    </row>
    <row r="1018" spans="2:4" x14ac:dyDescent="0.25">
      <c r="B1018" s="68"/>
      <c r="C1018" s="50"/>
      <c r="D1018" s="15"/>
    </row>
    <row r="1019" spans="2:4" x14ac:dyDescent="0.25">
      <c r="B1019" s="68"/>
      <c r="C1019" s="50"/>
      <c r="D1019" s="15"/>
    </row>
    <row r="1020" spans="2:4" x14ac:dyDescent="0.25">
      <c r="B1020" s="68"/>
      <c r="C1020" s="50"/>
      <c r="D1020" s="15"/>
    </row>
    <row r="1021" spans="2:4" x14ac:dyDescent="0.25">
      <c r="B1021" s="68"/>
      <c r="C1021" s="50"/>
      <c r="D1021" s="15"/>
    </row>
    <row r="1022" spans="2:4" x14ac:dyDescent="0.25">
      <c r="B1022" s="68"/>
      <c r="C1022" s="50"/>
      <c r="D1022" s="15"/>
    </row>
    <row r="1023" spans="2:4" x14ac:dyDescent="0.25">
      <c r="B1023" s="68"/>
      <c r="C1023" s="50"/>
      <c r="D1023" s="15"/>
    </row>
    <row r="1024" spans="2:4" x14ac:dyDescent="0.25">
      <c r="B1024" s="68"/>
      <c r="C1024" s="50"/>
      <c r="D1024" s="15"/>
    </row>
    <row r="1025" spans="2:4" x14ac:dyDescent="0.25">
      <c r="B1025" s="68"/>
      <c r="C1025" s="50"/>
      <c r="D1025" s="15"/>
    </row>
    <row r="1026" spans="2:4" x14ac:dyDescent="0.25">
      <c r="B1026" s="68"/>
      <c r="C1026" s="50"/>
      <c r="D1026" s="15"/>
    </row>
    <row r="1027" spans="2:4" x14ac:dyDescent="0.25">
      <c r="B1027" s="68"/>
      <c r="C1027" s="50"/>
      <c r="D1027" s="15"/>
    </row>
    <row r="1028" spans="2:4" x14ac:dyDescent="0.25">
      <c r="B1028" s="68"/>
      <c r="C1028" s="50"/>
      <c r="D1028" s="15"/>
    </row>
    <row r="1029" spans="2:4" x14ac:dyDescent="0.25">
      <c r="B1029" s="68"/>
      <c r="C1029" s="50"/>
      <c r="D1029" s="15"/>
    </row>
    <row r="1030" spans="2:4" x14ac:dyDescent="0.25">
      <c r="B1030" s="68"/>
      <c r="C1030" s="50"/>
      <c r="D1030" s="15"/>
    </row>
    <row r="1031" spans="2:4" x14ac:dyDescent="0.25">
      <c r="B1031" s="68"/>
      <c r="C1031" s="50"/>
      <c r="D1031" s="15"/>
    </row>
    <row r="1032" spans="2:4" x14ac:dyDescent="0.25">
      <c r="B1032" s="68"/>
      <c r="C1032" s="50"/>
      <c r="D1032" s="15"/>
    </row>
    <row r="1033" spans="2:4" x14ac:dyDescent="0.25">
      <c r="B1033" s="68"/>
      <c r="C1033" s="50"/>
      <c r="D1033" s="15"/>
    </row>
    <row r="1034" spans="2:4" x14ac:dyDescent="0.25">
      <c r="B1034" s="68"/>
      <c r="C1034" s="50"/>
      <c r="D1034" s="15"/>
    </row>
    <row r="1035" spans="2:4" x14ac:dyDescent="0.25">
      <c r="B1035" s="68"/>
      <c r="C1035" s="50"/>
      <c r="D1035" s="15"/>
    </row>
    <row r="1036" spans="2:4" x14ac:dyDescent="0.25">
      <c r="B1036" s="68"/>
      <c r="C1036" s="50"/>
      <c r="D1036" s="15"/>
    </row>
    <row r="1037" spans="2:4" x14ac:dyDescent="0.25">
      <c r="B1037" s="68"/>
      <c r="C1037" s="50"/>
      <c r="D1037" s="15"/>
    </row>
    <row r="1038" spans="2:4" x14ac:dyDescent="0.25">
      <c r="B1038" s="68"/>
      <c r="C1038" s="50"/>
      <c r="D1038" s="15"/>
    </row>
    <row r="1039" spans="2:4" x14ac:dyDescent="0.25">
      <c r="B1039" s="68"/>
      <c r="C1039" s="50"/>
      <c r="D1039" s="15"/>
    </row>
    <row r="1040" spans="2:4" x14ac:dyDescent="0.25">
      <c r="B1040" s="68"/>
      <c r="C1040" s="50"/>
      <c r="D1040" s="15"/>
    </row>
    <row r="1041" spans="2:4" x14ac:dyDescent="0.25">
      <c r="B1041" s="68"/>
      <c r="C1041" s="50"/>
      <c r="D1041" s="15"/>
    </row>
    <row r="1042" spans="2:4" x14ac:dyDescent="0.25">
      <c r="B1042" s="68"/>
      <c r="C1042" s="50"/>
      <c r="D1042" s="15"/>
    </row>
    <row r="1043" spans="2:4" x14ac:dyDescent="0.25">
      <c r="B1043" s="68"/>
      <c r="C1043" s="50"/>
      <c r="D1043" s="15"/>
    </row>
    <row r="1044" spans="2:4" x14ac:dyDescent="0.25">
      <c r="B1044" s="68"/>
      <c r="C1044" s="50"/>
      <c r="D1044" s="15"/>
    </row>
    <row r="1045" spans="2:4" x14ac:dyDescent="0.25">
      <c r="B1045" s="68"/>
      <c r="C1045" s="50"/>
      <c r="D1045" s="15"/>
    </row>
    <row r="1046" spans="2:4" x14ac:dyDescent="0.25">
      <c r="B1046" s="68"/>
      <c r="C1046" s="50"/>
      <c r="D1046" s="15"/>
    </row>
    <row r="1047" spans="2:4" x14ac:dyDescent="0.25">
      <c r="B1047" s="68"/>
      <c r="C1047" s="50"/>
      <c r="D1047" s="15"/>
    </row>
    <row r="1048" spans="2:4" x14ac:dyDescent="0.25">
      <c r="B1048" s="68"/>
      <c r="C1048" s="50"/>
      <c r="D1048" s="15"/>
    </row>
    <row r="1049" spans="2:4" x14ac:dyDescent="0.25">
      <c r="B1049" s="68"/>
      <c r="C1049" s="50"/>
      <c r="D1049" s="15"/>
    </row>
    <row r="1050" spans="2:4" x14ac:dyDescent="0.25">
      <c r="B1050" s="68"/>
      <c r="C1050" s="50"/>
      <c r="D1050" s="15"/>
    </row>
    <row r="1051" spans="2:4" x14ac:dyDescent="0.25">
      <c r="B1051" s="68"/>
      <c r="C1051" s="50"/>
      <c r="D1051" s="15"/>
    </row>
    <row r="1052" spans="2:4" x14ac:dyDescent="0.25">
      <c r="B1052" s="68"/>
      <c r="C1052" s="50"/>
      <c r="D1052" s="15"/>
    </row>
    <row r="1053" spans="2:4" x14ac:dyDescent="0.25">
      <c r="B1053" s="68"/>
      <c r="C1053" s="50"/>
      <c r="D1053" s="15"/>
    </row>
    <row r="1054" spans="2:4" x14ac:dyDescent="0.25">
      <c r="B1054" s="68"/>
      <c r="C1054" s="50"/>
      <c r="D1054" s="15"/>
    </row>
    <row r="1055" spans="2:4" x14ac:dyDescent="0.25">
      <c r="B1055" s="68"/>
      <c r="C1055" s="50"/>
      <c r="D1055" s="15"/>
    </row>
    <row r="1056" spans="2:4" x14ac:dyDescent="0.25">
      <c r="B1056" s="68"/>
      <c r="C1056" s="50"/>
      <c r="D1056" s="15"/>
    </row>
    <row r="1057" spans="2:4" x14ac:dyDescent="0.25">
      <c r="B1057" s="68"/>
      <c r="C1057" s="50"/>
      <c r="D1057" s="15"/>
    </row>
    <row r="1058" spans="2:4" x14ac:dyDescent="0.25">
      <c r="B1058" s="68"/>
      <c r="C1058" s="50"/>
      <c r="D1058" s="15"/>
    </row>
    <row r="1059" spans="2:4" x14ac:dyDescent="0.25">
      <c r="B1059" s="68"/>
      <c r="C1059" s="50"/>
      <c r="D1059" s="15"/>
    </row>
    <row r="1060" spans="2:4" x14ac:dyDescent="0.25">
      <c r="B1060" s="68"/>
      <c r="C1060" s="50"/>
      <c r="D1060" s="15"/>
    </row>
    <row r="1061" spans="2:4" x14ac:dyDescent="0.25">
      <c r="B1061" s="68"/>
      <c r="C1061" s="50"/>
      <c r="D1061" s="15"/>
    </row>
    <row r="1062" spans="2:4" x14ac:dyDescent="0.25">
      <c r="B1062" s="68"/>
      <c r="C1062" s="50"/>
      <c r="D1062" s="15"/>
    </row>
    <row r="1063" spans="2:4" x14ac:dyDescent="0.25">
      <c r="B1063" s="68"/>
      <c r="C1063" s="50"/>
      <c r="D1063" s="15"/>
    </row>
    <row r="1064" spans="2:4" x14ac:dyDescent="0.25">
      <c r="B1064" s="68"/>
      <c r="C1064" s="50"/>
      <c r="D1064" s="15"/>
    </row>
    <row r="1065" spans="2:4" x14ac:dyDescent="0.25">
      <c r="B1065" s="68"/>
      <c r="C1065" s="50"/>
      <c r="D1065" s="15"/>
    </row>
    <row r="1066" spans="2:4" x14ac:dyDescent="0.25">
      <c r="B1066" s="68"/>
      <c r="C1066" s="50"/>
      <c r="D1066" s="15"/>
    </row>
    <row r="1067" spans="2:4" x14ac:dyDescent="0.25">
      <c r="B1067" s="68"/>
      <c r="C1067" s="50"/>
      <c r="D1067" s="15"/>
    </row>
    <row r="1068" spans="2:4" x14ac:dyDescent="0.25">
      <c r="B1068" s="68"/>
      <c r="C1068" s="50"/>
      <c r="D1068" s="15"/>
    </row>
    <row r="1069" spans="2:4" x14ac:dyDescent="0.25">
      <c r="B1069" s="68"/>
      <c r="C1069" s="50"/>
      <c r="D1069" s="15"/>
    </row>
    <row r="1070" spans="2:4" x14ac:dyDescent="0.25">
      <c r="B1070" s="68"/>
      <c r="C1070" s="50"/>
      <c r="D1070" s="15"/>
    </row>
    <row r="1071" spans="2:4" x14ac:dyDescent="0.25">
      <c r="B1071" s="68"/>
      <c r="C1071" s="50"/>
      <c r="D1071" s="15"/>
    </row>
    <row r="1072" spans="2:4" x14ac:dyDescent="0.25">
      <c r="B1072" s="68"/>
      <c r="C1072" s="50"/>
      <c r="D1072" s="15"/>
    </row>
    <row r="1073" spans="2:4" x14ac:dyDescent="0.25">
      <c r="B1073" s="68"/>
      <c r="C1073" s="50"/>
      <c r="D1073" s="15"/>
    </row>
    <row r="1074" spans="2:4" x14ac:dyDescent="0.25">
      <c r="B1074" s="68"/>
      <c r="C1074" s="50"/>
      <c r="D1074" s="15"/>
    </row>
    <row r="1075" spans="2:4" x14ac:dyDescent="0.25">
      <c r="B1075" s="68"/>
      <c r="C1075" s="50"/>
      <c r="D1075" s="15"/>
    </row>
    <row r="1076" spans="2:4" x14ac:dyDescent="0.25">
      <c r="B1076" s="68"/>
      <c r="C1076" s="50"/>
      <c r="D1076" s="15"/>
    </row>
    <row r="1077" spans="2:4" x14ac:dyDescent="0.25">
      <c r="B1077" s="68"/>
      <c r="C1077" s="50"/>
      <c r="D1077" s="15"/>
    </row>
    <row r="1078" spans="2:4" x14ac:dyDescent="0.25">
      <c r="B1078" s="68"/>
      <c r="C1078" s="50"/>
      <c r="D1078" s="15"/>
    </row>
    <row r="1079" spans="2:4" x14ac:dyDescent="0.25">
      <c r="B1079" s="68"/>
      <c r="C1079" s="50"/>
      <c r="D1079" s="15"/>
    </row>
    <row r="1080" spans="2:4" x14ac:dyDescent="0.25">
      <c r="B1080" s="68"/>
      <c r="C1080" s="50"/>
      <c r="D1080" s="15"/>
    </row>
    <row r="1081" spans="2:4" x14ac:dyDescent="0.25">
      <c r="B1081" s="68"/>
      <c r="C1081" s="50"/>
      <c r="D1081" s="15"/>
    </row>
    <row r="1082" spans="2:4" x14ac:dyDescent="0.25">
      <c r="B1082" s="68"/>
      <c r="C1082" s="50"/>
      <c r="D1082" s="15"/>
    </row>
    <row r="1083" spans="2:4" x14ac:dyDescent="0.25">
      <c r="B1083" s="68"/>
      <c r="C1083" s="50"/>
      <c r="D1083" s="15"/>
    </row>
    <row r="1084" spans="2:4" x14ac:dyDescent="0.25">
      <c r="B1084" s="68"/>
      <c r="C1084" s="50"/>
      <c r="D1084" s="15"/>
    </row>
    <row r="1085" spans="2:4" x14ac:dyDescent="0.25">
      <c r="B1085" s="68"/>
      <c r="C1085" s="50"/>
      <c r="D1085" s="15"/>
    </row>
    <row r="1086" spans="2:4" x14ac:dyDescent="0.25">
      <c r="B1086" s="68"/>
      <c r="C1086" s="50"/>
      <c r="D1086" s="15"/>
    </row>
    <row r="1087" spans="2:4" x14ac:dyDescent="0.25">
      <c r="B1087" s="68"/>
      <c r="C1087" s="50"/>
      <c r="D1087" s="15"/>
    </row>
    <row r="1088" spans="2:4" x14ac:dyDescent="0.25">
      <c r="B1088" s="68"/>
      <c r="C1088" s="50"/>
      <c r="D1088" s="15"/>
    </row>
    <row r="1089" spans="2:4" x14ac:dyDescent="0.25">
      <c r="B1089" s="68"/>
      <c r="C1089" s="50"/>
      <c r="D1089" s="15"/>
    </row>
    <row r="1090" spans="2:4" x14ac:dyDescent="0.25">
      <c r="B1090" s="68"/>
      <c r="C1090" s="50"/>
      <c r="D1090" s="15"/>
    </row>
    <row r="1091" spans="2:4" x14ac:dyDescent="0.25">
      <c r="B1091" s="68"/>
      <c r="C1091" s="50"/>
      <c r="D1091" s="15"/>
    </row>
    <row r="1092" spans="2:4" x14ac:dyDescent="0.25">
      <c r="B1092" s="68"/>
      <c r="C1092" s="50"/>
      <c r="D1092" s="15"/>
    </row>
    <row r="1093" spans="2:4" x14ac:dyDescent="0.25">
      <c r="B1093" s="68"/>
      <c r="C1093" s="50"/>
      <c r="D1093" s="15"/>
    </row>
    <row r="1094" spans="2:4" x14ac:dyDescent="0.25">
      <c r="B1094" s="68"/>
      <c r="C1094" s="50"/>
      <c r="D1094" s="15"/>
    </row>
    <row r="1095" spans="2:4" x14ac:dyDescent="0.25">
      <c r="B1095" s="68"/>
      <c r="C1095" s="50"/>
      <c r="D1095" s="15"/>
    </row>
    <row r="1096" spans="2:4" x14ac:dyDescent="0.25">
      <c r="B1096" s="68"/>
      <c r="C1096" s="50"/>
      <c r="D1096" s="15"/>
    </row>
    <row r="1097" spans="2:4" x14ac:dyDescent="0.25">
      <c r="B1097" s="68"/>
      <c r="C1097" s="50"/>
      <c r="D1097" s="15"/>
    </row>
    <row r="1098" spans="2:4" x14ac:dyDescent="0.25">
      <c r="B1098" s="68"/>
      <c r="C1098" s="50"/>
      <c r="D1098" s="15"/>
    </row>
    <row r="1099" spans="2:4" x14ac:dyDescent="0.25">
      <c r="B1099" s="68"/>
      <c r="C1099" s="50"/>
      <c r="D1099" s="15"/>
    </row>
    <row r="1100" spans="2:4" x14ac:dyDescent="0.25">
      <c r="B1100" s="68"/>
      <c r="C1100" s="50"/>
      <c r="D1100" s="15"/>
    </row>
    <row r="1101" spans="2:4" x14ac:dyDescent="0.25">
      <c r="B1101" s="68"/>
      <c r="C1101" s="50"/>
      <c r="D1101" s="15"/>
    </row>
    <row r="1102" spans="2:4" x14ac:dyDescent="0.25">
      <c r="B1102" s="68"/>
      <c r="C1102" s="50"/>
      <c r="D1102" s="15"/>
    </row>
    <row r="1103" spans="2:4" x14ac:dyDescent="0.25">
      <c r="B1103" s="68"/>
      <c r="C1103" s="50"/>
      <c r="D1103" s="15"/>
    </row>
    <row r="1104" spans="2:4" x14ac:dyDescent="0.25">
      <c r="B1104" s="68"/>
      <c r="C1104" s="50"/>
      <c r="D1104" s="15"/>
    </row>
    <row r="1105" spans="2:4" x14ac:dyDescent="0.25">
      <c r="B1105" s="68"/>
      <c r="C1105" s="50"/>
      <c r="D1105" s="15"/>
    </row>
    <row r="1106" spans="2:4" x14ac:dyDescent="0.25">
      <c r="B1106" s="68"/>
      <c r="C1106" s="50"/>
      <c r="D1106" s="15"/>
    </row>
    <row r="1107" spans="2:4" x14ac:dyDescent="0.25">
      <c r="B1107" s="68"/>
      <c r="C1107" s="50"/>
      <c r="D1107" s="15"/>
    </row>
    <row r="1108" spans="2:4" x14ac:dyDescent="0.25">
      <c r="B1108" s="68"/>
      <c r="C1108" s="50"/>
      <c r="D1108" s="15"/>
    </row>
    <row r="1109" spans="2:4" x14ac:dyDescent="0.25">
      <c r="B1109" s="68"/>
      <c r="C1109" s="50"/>
      <c r="D1109" s="15"/>
    </row>
    <row r="1110" spans="2:4" x14ac:dyDescent="0.25">
      <c r="B1110" s="68"/>
      <c r="C1110" s="50"/>
      <c r="D1110" s="15"/>
    </row>
    <row r="1111" spans="2:4" x14ac:dyDescent="0.25">
      <c r="B1111" s="68"/>
      <c r="C1111" s="50"/>
      <c r="D1111" s="15"/>
    </row>
    <row r="1112" spans="2:4" x14ac:dyDescent="0.25">
      <c r="B1112" s="68"/>
      <c r="C1112" s="50"/>
      <c r="D1112" s="15"/>
    </row>
    <row r="1113" spans="2:4" x14ac:dyDescent="0.25">
      <c r="B1113" s="68"/>
      <c r="C1113" s="50"/>
      <c r="D1113" s="15"/>
    </row>
    <row r="1114" spans="2:4" x14ac:dyDescent="0.25">
      <c r="B1114" s="68"/>
      <c r="C1114" s="50"/>
      <c r="D1114" s="15"/>
    </row>
    <row r="1115" spans="2:4" x14ac:dyDescent="0.25">
      <c r="B1115" s="68"/>
      <c r="C1115" s="50"/>
      <c r="D1115" s="15"/>
    </row>
    <row r="1116" spans="2:4" x14ac:dyDescent="0.25">
      <c r="B1116" s="68"/>
      <c r="C1116" s="50"/>
      <c r="D1116" s="15"/>
    </row>
    <row r="1117" spans="2:4" x14ac:dyDescent="0.25">
      <c r="B1117" s="68"/>
      <c r="C1117" s="50"/>
      <c r="D1117" s="15"/>
    </row>
    <row r="1118" spans="2:4" x14ac:dyDescent="0.25">
      <c r="B1118" s="68"/>
      <c r="C1118" s="50"/>
      <c r="D1118" s="15"/>
    </row>
    <row r="1119" spans="2:4" x14ac:dyDescent="0.25">
      <c r="B1119" s="68"/>
      <c r="C1119" s="50"/>
      <c r="D1119" s="15"/>
    </row>
    <row r="1120" spans="2:4" x14ac:dyDescent="0.25">
      <c r="B1120" s="68"/>
      <c r="C1120" s="50"/>
      <c r="D1120" s="15"/>
    </row>
    <row r="1121" spans="2:4" x14ac:dyDescent="0.25">
      <c r="B1121" s="68"/>
      <c r="C1121" s="50"/>
      <c r="D1121" s="15"/>
    </row>
    <row r="1122" spans="2:4" x14ac:dyDescent="0.25">
      <c r="B1122" s="68"/>
      <c r="C1122" s="50"/>
      <c r="D1122" s="15"/>
    </row>
    <row r="1123" spans="2:4" x14ac:dyDescent="0.25">
      <c r="B1123" s="68"/>
      <c r="C1123" s="50"/>
      <c r="D1123" s="15"/>
    </row>
    <row r="1124" spans="2:4" x14ac:dyDescent="0.25">
      <c r="B1124" s="68"/>
      <c r="C1124" s="50"/>
      <c r="D1124" s="15"/>
    </row>
    <row r="1125" spans="2:4" x14ac:dyDescent="0.25">
      <c r="B1125" s="68"/>
      <c r="C1125" s="50"/>
      <c r="D1125" s="15"/>
    </row>
    <row r="1126" spans="2:4" x14ac:dyDescent="0.25">
      <c r="B1126" s="68"/>
      <c r="C1126" s="50"/>
      <c r="D1126" s="15"/>
    </row>
    <row r="1127" spans="2:4" x14ac:dyDescent="0.25">
      <c r="B1127" s="68"/>
      <c r="C1127" s="50"/>
      <c r="D1127" s="15"/>
    </row>
    <row r="1128" spans="2:4" x14ac:dyDescent="0.25">
      <c r="B1128" s="68"/>
      <c r="C1128" s="50"/>
      <c r="D1128" s="15"/>
    </row>
    <row r="1129" spans="2:4" x14ac:dyDescent="0.25">
      <c r="B1129" s="68"/>
      <c r="C1129" s="50"/>
      <c r="D1129" s="15"/>
    </row>
    <row r="1130" spans="2:4" x14ac:dyDescent="0.25">
      <c r="B1130" s="68"/>
      <c r="C1130" s="50"/>
      <c r="D1130" s="15"/>
    </row>
    <row r="1131" spans="2:4" x14ac:dyDescent="0.25">
      <c r="B1131" s="68"/>
      <c r="C1131" s="50"/>
      <c r="D1131" s="15"/>
    </row>
    <row r="1132" spans="2:4" x14ac:dyDescent="0.25">
      <c r="B1132" s="68"/>
      <c r="C1132" s="50"/>
      <c r="D1132" s="15"/>
    </row>
    <row r="1133" spans="2:4" x14ac:dyDescent="0.25">
      <c r="B1133" s="68"/>
      <c r="C1133" s="50"/>
      <c r="D1133" s="15"/>
    </row>
    <row r="1134" spans="2:4" x14ac:dyDescent="0.25">
      <c r="B1134" s="68"/>
      <c r="C1134" s="50"/>
      <c r="D1134" s="15"/>
    </row>
    <row r="1135" spans="2:4" x14ac:dyDescent="0.25">
      <c r="B1135" s="68"/>
      <c r="C1135" s="50"/>
      <c r="D1135" s="15"/>
    </row>
    <row r="1136" spans="2:4" x14ac:dyDescent="0.25">
      <c r="B1136" s="68"/>
      <c r="C1136" s="50"/>
      <c r="D1136" s="15"/>
    </row>
    <row r="1137" spans="2:4" x14ac:dyDescent="0.25">
      <c r="B1137" s="68"/>
      <c r="C1137" s="50"/>
      <c r="D1137" s="15"/>
    </row>
    <row r="1138" spans="2:4" x14ac:dyDescent="0.25">
      <c r="B1138" s="68"/>
      <c r="C1138" s="50"/>
      <c r="D1138" s="15"/>
    </row>
    <row r="1139" spans="2:4" x14ac:dyDescent="0.25">
      <c r="B1139" s="68"/>
      <c r="C1139" s="50"/>
      <c r="D1139" s="15"/>
    </row>
    <row r="1140" spans="2:4" x14ac:dyDescent="0.25">
      <c r="B1140" s="68"/>
      <c r="C1140" s="50"/>
      <c r="D1140" s="15"/>
    </row>
    <row r="1141" spans="2:4" x14ac:dyDescent="0.25">
      <c r="B1141" s="68"/>
      <c r="C1141" s="50"/>
      <c r="D1141" s="15"/>
    </row>
    <row r="1142" spans="2:4" x14ac:dyDescent="0.25">
      <c r="B1142" s="68"/>
      <c r="C1142" s="50"/>
      <c r="D1142" s="15"/>
    </row>
    <row r="1143" spans="2:4" x14ac:dyDescent="0.25">
      <c r="B1143" s="68"/>
      <c r="C1143" s="50"/>
      <c r="D1143" s="15"/>
    </row>
    <row r="1144" spans="2:4" x14ac:dyDescent="0.25">
      <c r="B1144" s="68"/>
      <c r="C1144" s="50"/>
      <c r="D1144" s="15"/>
    </row>
    <row r="1145" spans="2:4" x14ac:dyDescent="0.25">
      <c r="B1145" s="68"/>
      <c r="C1145" s="50"/>
      <c r="D1145" s="15"/>
    </row>
    <row r="1146" spans="2:4" x14ac:dyDescent="0.25">
      <c r="B1146" s="68"/>
      <c r="C1146" s="50"/>
      <c r="D1146" s="15"/>
    </row>
    <row r="1147" spans="2:4" x14ac:dyDescent="0.25">
      <c r="B1147" s="68"/>
      <c r="C1147" s="50"/>
      <c r="D1147" s="15"/>
    </row>
    <row r="1148" spans="2:4" x14ac:dyDescent="0.25">
      <c r="B1148" s="68"/>
      <c r="C1148" s="50"/>
      <c r="D1148" s="15"/>
    </row>
    <row r="1149" spans="2:4" x14ac:dyDescent="0.25">
      <c r="B1149" s="68"/>
      <c r="C1149" s="50"/>
      <c r="D1149" s="15"/>
    </row>
    <row r="1150" spans="2:4" x14ac:dyDescent="0.25">
      <c r="B1150" s="68"/>
      <c r="C1150" s="50"/>
      <c r="D1150" s="15"/>
    </row>
    <row r="1151" spans="2:4" x14ac:dyDescent="0.25">
      <c r="B1151" s="68"/>
      <c r="C1151" s="50"/>
      <c r="D1151" s="15"/>
    </row>
    <row r="1152" spans="2:4" x14ac:dyDescent="0.25">
      <c r="B1152" s="68"/>
      <c r="C1152" s="50"/>
      <c r="D1152" s="15"/>
    </row>
    <row r="1153" spans="2:4" x14ac:dyDescent="0.25">
      <c r="B1153" s="68"/>
      <c r="C1153" s="50"/>
      <c r="D1153" s="15"/>
    </row>
    <row r="1154" spans="2:4" x14ac:dyDescent="0.25">
      <c r="B1154" s="68"/>
      <c r="C1154" s="50"/>
      <c r="D1154" s="15"/>
    </row>
    <row r="1155" spans="2:4" x14ac:dyDescent="0.25">
      <c r="B1155" s="68"/>
      <c r="C1155" s="50"/>
      <c r="D1155" s="15"/>
    </row>
    <row r="1156" spans="2:4" x14ac:dyDescent="0.25">
      <c r="B1156" s="68"/>
      <c r="C1156" s="50"/>
      <c r="D1156" s="15"/>
    </row>
    <row r="1157" spans="2:4" x14ac:dyDescent="0.25">
      <c r="B1157" s="68"/>
      <c r="C1157" s="50"/>
      <c r="D1157" s="15"/>
    </row>
    <row r="1158" spans="2:4" x14ac:dyDescent="0.25">
      <c r="B1158" s="68"/>
      <c r="C1158" s="50"/>
      <c r="D1158" s="15"/>
    </row>
    <row r="1159" spans="2:4" x14ac:dyDescent="0.25">
      <c r="B1159" s="68"/>
      <c r="C1159" s="50"/>
      <c r="D1159" s="15"/>
    </row>
    <row r="1160" spans="2:4" x14ac:dyDescent="0.25">
      <c r="B1160" s="68"/>
      <c r="C1160" s="50"/>
      <c r="D1160" s="15"/>
    </row>
    <row r="1161" spans="2:4" x14ac:dyDescent="0.25">
      <c r="B1161" s="68"/>
      <c r="C1161" s="50"/>
      <c r="D1161" s="15"/>
    </row>
    <row r="1162" spans="2:4" x14ac:dyDescent="0.25">
      <c r="B1162" s="68"/>
      <c r="C1162" s="50"/>
      <c r="D1162" s="15"/>
    </row>
    <row r="1163" spans="2:4" x14ac:dyDescent="0.25">
      <c r="B1163" s="68"/>
      <c r="C1163" s="50"/>
      <c r="D1163" s="15"/>
    </row>
    <row r="1164" spans="2:4" x14ac:dyDescent="0.25">
      <c r="B1164" s="68"/>
      <c r="C1164" s="50"/>
      <c r="D1164" s="15"/>
    </row>
    <row r="1165" spans="2:4" x14ac:dyDescent="0.25">
      <c r="B1165" s="68"/>
      <c r="C1165" s="50"/>
      <c r="D1165" s="15"/>
    </row>
    <row r="1166" spans="2:4" x14ac:dyDescent="0.25">
      <c r="B1166" s="68"/>
      <c r="C1166" s="50"/>
      <c r="D1166" s="15"/>
    </row>
    <row r="1167" spans="2:4" x14ac:dyDescent="0.25">
      <c r="B1167" s="68"/>
      <c r="C1167" s="50"/>
      <c r="D1167" s="15"/>
    </row>
    <row r="1168" spans="2:4" x14ac:dyDescent="0.25">
      <c r="B1168" s="68"/>
      <c r="C1168" s="50"/>
      <c r="D1168" s="15"/>
    </row>
    <row r="1169" spans="2:4" x14ac:dyDescent="0.25">
      <c r="B1169" s="68"/>
      <c r="C1169" s="50"/>
      <c r="D1169" s="15"/>
    </row>
    <row r="1170" spans="2:4" x14ac:dyDescent="0.25">
      <c r="B1170" s="68"/>
      <c r="C1170" s="50"/>
      <c r="D1170" s="15"/>
    </row>
    <row r="1171" spans="2:4" x14ac:dyDescent="0.25">
      <c r="B1171" s="68"/>
      <c r="C1171" s="50"/>
      <c r="D1171" s="15"/>
    </row>
    <row r="1172" spans="2:4" x14ac:dyDescent="0.25">
      <c r="B1172" s="68"/>
      <c r="C1172" s="50"/>
      <c r="D1172" s="15"/>
    </row>
    <row r="1173" spans="2:4" x14ac:dyDescent="0.25">
      <c r="B1173" s="68"/>
      <c r="C1173" s="50"/>
      <c r="D1173" s="15"/>
    </row>
    <row r="1174" spans="2:4" x14ac:dyDescent="0.25">
      <c r="B1174" s="68"/>
      <c r="C1174" s="50"/>
      <c r="D1174" s="15"/>
    </row>
    <row r="1175" spans="2:4" x14ac:dyDescent="0.25">
      <c r="B1175" s="68"/>
      <c r="C1175" s="50"/>
      <c r="D1175" s="15"/>
    </row>
    <row r="1176" spans="2:4" x14ac:dyDescent="0.25">
      <c r="B1176" s="68"/>
      <c r="C1176" s="50"/>
      <c r="D1176" s="15"/>
    </row>
    <row r="1177" spans="2:4" x14ac:dyDescent="0.25">
      <c r="B1177" s="68"/>
      <c r="C1177" s="50"/>
      <c r="D1177" s="15"/>
    </row>
    <row r="1178" spans="2:4" x14ac:dyDescent="0.25">
      <c r="B1178" s="68"/>
      <c r="C1178" s="50"/>
      <c r="D1178" s="15"/>
    </row>
    <row r="1179" spans="2:4" x14ac:dyDescent="0.25">
      <c r="B1179" s="68"/>
      <c r="C1179" s="50"/>
      <c r="D1179" s="15"/>
    </row>
    <row r="1180" spans="2:4" x14ac:dyDescent="0.25">
      <c r="B1180" s="68"/>
      <c r="C1180" s="50"/>
      <c r="D1180" s="15"/>
    </row>
    <row r="1181" spans="2:4" x14ac:dyDescent="0.25">
      <c r="B1181" s="68"/>
      <c r="C1181" s="50"/>
      <c r="D1181" s="15"/>
    </row>
    <row r="1182" spans="2:4" x14ac:dyDescent="0.25">
      <c r="B1182" s="68"/>
      <c r="C1182" s="50"/>
      <c r="D1182" s="15"/>
    </row>
    <row r="1183" spans="2:4" x14ac:dyDescent="0.25">
      <c r="B1183" s="68"/>
      <c r="C1183" s="50"/>
      <c r="D1183" s="15"/>
    </row>
    <row r="1184" spans="2:4" x14ac:dyDescent="0.25">
      <c r="B1184" s="68"/>
      <c r="C1184" s="50"/>
      <c r="D1184" s="15"/>
    </row>
    <row r="1185" spans="2:4" x14ac:dyDescent="0.25">
      <c r="B1185" s="68"/>
      <c r="C1185" s="50"/>
      <c r="D1185" s="15"/>
    </row>
    <row r="1186" spans="2:4" x14ac:dyDescent="0.25">
      <c r="B1186" s="68"/>
      <c r="C1186" s="50"/>
      <c r="D1186" s="15"/>
    </row>
    <row r="1187" spans="2:4" x14ac:dyDescent="0.25">
      <c r="B1187" s="68"/>
      <c r="C1187" s="50"/>
      <c r="D1187" s="15"/>
    </row>
    <row r="1188" spans="2:4" x14ac:dyDescent="0.25">
      <c r="B1188" s="68"/>
      <c r="C1188" s="50"/>
      <c r="D1188" s="15"/>
    </row>
    <row r="1189" spans="2:4" x14ac:dyDescent="0.25">
      <c r="B1189" s="68"/>
      <c r="C1189" s="50"/>
      <c r="D1189" s="15"/>
    </row>
    <row r="1190" spans="2:4" x14ac:dyDescent="0.25">
      <c r="B1190" s="68"/>
      <c r="C1190" s="50"/>
      <c r="D1190" s="15"/>
    </row>
    <row r="1191" spans="2:4" x14ac:dyDescent="0.25">
      <c r="B1191" s="68"/>
      <c r="C1191" s="50"/>
      <c r="D1191" s="15"/>
    </row>
    <row r="1192" spans="2:4" x14ac:dyDescent="0.25">
      <c r="B1192" s="68"/>
      <c r="C1192" s="50"/>
      <c r="D1192" s="15"/>
    </row>
    <row r="1193" spans="2:4" x14ac:dyDescent="0.25">
      <c r="B1193" s="68"/>
      <c r="C1193" s="50"/>
      <c r="D1193" s="15"/>
    </row>
    <row r="1194" spans="2:4" x14ac:dyDescent="0.25">
      <c r="B1194" s="68"/>
      <c r="C1194" s="50"/>
      <c r="D1194" s="15"/>
    </row>
    <row r="1195" spans="2:4" x14ac:dyDescent="0.25">
      <c r="B1195" s="68"/>
      <c r="C1195" s="50"/>
      <c r="D1195" s="15"/>
    </row>
    <row r="1196" spans="2:4" x14ac:dyDescent="0.25">
      <c r="B1196" s="68"/>
      <c r="C1196" s="50"/>
      <c r="D1196" s="15"/>
    </row>
    <row r="1197" spans="2:4" x14ac:dyDescent="0.25">
      <c r="B1197" s="68"/>
      <c r="C1197" s="50"/>
      <c r="D1197" s="15"/>
    </row>
    <row r="1198" spans="2:4" x14ac:dyDescent="0.25">
      <c r="B1198" s="68"/>
      <c r="C1198" s="50"/>
      <c r="D1198" s="15"/>
    </row>
    <row r="1199" spans="2:4" x14ac:dyDescent="0.25">
      <c r="B1199" s="68"/>
      <c r="C1199" s="50"/>
      <c r="D1199" s="15"/>
    </row>
    <row r="1200" spans="2:4" x14ac:dyDescent="0.25">
      <c r="B1200" s="68"/>
      <c r="C1200" s="50"/>
      <c r="D1200" s="15"/>
    </row>
    <row r="1201" spans="2:4" x14ac:dyDescent="0.25">
      <c r="B1201" s="68"/>
      <c r="C1201" s="50"/>
      <c r="D1201" s="15"/>
    </row>
    <row r="1202" spans="2:4" x14ac:dyDescent="0.25">
      <c r="B1202" s="68"/>
      <c r="C1202" s="50"/>
      <c r="D1202" s="15"/>
    </row>
    <row r="1203" spans="2:4" x14ac:dyDescent="0.25">
      <c r="B1203" s="68"/>
      <c r="C1203" s="50"/>
      <c r="D1203" s="15"/>
    </row>
    <row r="1204" spans="2:4" x14ac:dyDescent="0.25">
      <c r="B1204" s="68"/>
      <c r="C1204" s="50"/>
      <c r="D1204" s="15"/>
    </row>
    <row r="1205" spans="2:4" x14ac:dyDescent="0.25">
      <c r="B1205" s="68"/>
      <c r="C1205" s="50"/>
      <c r="D1205" s="15"/>
    </row>
    <row r="1206" spans="2:4" x14ac:dyDescent="0.25">
      <c r="B1206" s="68"/>
      <c r="C1206" s="50"/>
      <c r="D1206" s="15"/>
    </row>
    <row r="1207" spans="2:4" x14ac:dyDescent="0.25">
      <c r="B1207" s="68"/>
      <c r="C1207" s="50"/>
      <c r="D1207" s="15"/>
    </row>
    <row r="1208" spans="2:4" x14ac:dyDescent="0.25">
      <c r="B1208" s="68"/>
      <c r="C1208" s="50"/>
      <c r="D1208" s="15"/>
    </row>
    <row r="1209" spans="2:4" x14ac:dyDescent="0.25">
      <c r="B1209" s="68"/>
      <c r="C1209" s="50"/>
      <c r="D1209" s="15"/>
    </row>
    <row r="1210" spans="2:4" x14ac:dyDescent="0.25">
      <c r="B1210" s="68"/>
      <c r="C1210" s="50"/>
      <c r="D1210" s="15"/>
    </row>
    <row r="1211" spans="2:4" x14ac:dyDescent="0.25">
      <c r="B1211" s="68"/>
      <c r="C1211" s="50"/>
      <c r="D1211" s="15"/>
    </row>
    <row r="1212" spans="2:4" x14ac:dyDescent="0.25">
      <c r="B1212" s="68"/>
      <c r="C1212" s="50"/>
      <c r="D1212" s="15"/>
    </row>
    <row r="1213" spans="2:4" x14ac:dyDescent="0.25">
      <c r="B1213" s="68"/>
      <c r="C1213" s="50"/>
      <c r="D1213" s="15"/>
    </row>
    <row r="1214" spans="2:4" x14ac:dyDescent="0.25">
      <c r="B1214" s="68"/>
      <c r="C1214" s="50"/>
      <c r="D1214" s="15"/>
    </row>
    <row r="1215" spans="2:4" x14ac:dyDescent="0.25">
      <c r="B1215" s="68"/>
      <c r="C1215" s="50"/>
      <c r="D1215" s="15"/>
    </row>
    <row r="1216" spans="2:4" x14ac:dyDescent="0.25">
      <c r="B1216" s="68"/>
      <c r="C1216" s="50"/>
      <c r="D1216" s="15"/>
    </row>
    <row r="1217" spans="2:4" x14ac:dyDescent="0.25">
      <c r="B1217" s="68"/>
      <c r="C1217" s="50"/>
      <c r="D1217" s="15"/>
    </row>
    <row r="1218" spans="2:4" x14ac:dyDescent="0.25">
      <c r="B1218" s="68"/>
      <c r="C1218" s="50"/>
      <c r="D1218" s="15"/>
    </row>
    <row r="1219" spans="2:4" x14ac:dyDescent="0.25">
      <c r="B1219" s="68"/>
      <c r="C1219" s="50"/>
      <c r="D1219" s="15"/>
    </row>
    <row r="1220" spans="2:4" x14ac:dyDescent="0.25">
      <c r="B1220" s="68"/>
      <c r="C1220" s="50"/>
      <c r="D1220" s="15"/>
    </row>
    <row r="1221" spans="2:4" x14ac:dyDescent="0.25">
      <c r="B1221" s="68"/>
      <c r="C1221" s="50"/>
      <c r="D1221" s="15"/>
    </row>
    <row r="1222" spans="2:4" x14ac:dyDescent="0.25">
      <c r="B1222" s="68"/>
      <c r="C1222" s="50"/>
      <c r="D1222" s="15"/>
    </row>
    <row r="1223" spans="2:4" x14ac:dyDescent="0.25">
      <c r="B1223" s="68"/>
      <c r="C1223" s="50"/>
      <c r="D1223" s="15"/>
    </row>
    <row r="1224" spans="2:4" x14ac:dyDescent="0.25">
      <c r="B1224" s="68"/>
      <c r="C1224" s="50"/>
      <c r="D1224" s="15"/>
    </row>
    <row r="1225" spans="2:4" x14ac:dyDescent="0.25">
      <c r="B1225" s="68"/>
      <c r="C1225" s="50"/>
      <c r="D1225" s="15"/>
    </row>
    <row r="1226" spans="2:4" x14ac:dyDescent="0.25">
      <c r="B1226" s="68"/>
      <c r="C1226" s="50"/>
      <c r="D1226" s="15"/>
    </row>
    <row r="1227" spans="2:4" x14ac:dyDescent="0.25">
      <c r="B1227" s="68"/>
      <c r="C1227" s="50"/>
      <c r="D1227" s="15"/>
    </row>
    <row r="1228" spans="2:4" x14ac:dyDescent="0.25">
      <c r="B1228" s="68"/>
      <c r="C1228" s="50"/>
      <c r="D1228" s="15"/>
    </row>
    <row r="1229" spans="2:4" x14ac:dyDescent="0.25">
      <c r="B1229" s="68"/>
      <c r="C1229" s="50"/>
      <c r="D1229" s="15"/>
    </row>
    <row r="1230" spans="2:4" x14ac:dyDescent="0.25">
      <c r="B1230" s="68"/>
      <c r="C1230" s="50"/>
      <c r="D1230" s="15"/>
    </row>
    <row r="1231" spans="2:4" x14ac:dyDescent="0.25">
      <c r="B1231" s="68"/>
      <c r="C1231" s="50"/>
      <c r="D1231" s="15"/>
    </row>
    <row r="1232" spans="2:4" x14ac:dyDescent="0.25">
      <c r="B1232" s="68"/>
      <c r="C1232" s="50"/>
      <c r="D1232" s="15"/>
    </row>
    <row r="1233" spans="2:4" x14ac:dyDescent="0.25">
      <c r="B1233" s="68"/>
      <c r="C1233" s="50"/>
      <c r="D1233" s="15"/>
    </row>
    <row r="1234" spans="2:4" x14ac:dyDescent="0.25">
      <c r="B1234" s="68"/>
      <c r="C1234" s="50"/>
      <c r="D1234" s="15"/>
    </row>
    <row r="1235" spans="2:4" x14ac:dyDescent="0.25">
      <c r="B1235" s="68"/>
      <c r="C1235" s="50"/>
      <c r="D1235" s="15"/>
    </row>
    <row r="1236" spans="2:4" x14ac:dyDescent="0.25">
      <c r="B1236" s="68"/>
      <c r="C1236" s="50"/>
      <c r="D1236" s="15"/>
    </row>
    <row r="1237" spans="2:4" x14ac:dyDescent="0.25">
      <c r="B1237" s="68"/>
      <c r="C1237" s="50"/>
      <c r="D1237" s="15"/>
    </row>
    <row r="1238" spans="2:4" x14ac:dyDescent="0.25">
      <c r="B1238" s="68"/>
      <c r="C1238" s="50"/>
      <c r="D1238" s="15"/>
    </row>
    <row r="1239" spans="2:4" x14ac:dyDescent="0.25">
      <c r="B1239" s="68"/>
      <c r="C1239" s="50"/>
      <c r="D1239" s="15"/>
    </row>
    <row r="1240" spans="2:4" x14ac:dyDescent="0.25">
      <c r="B1240" s="68"/>
      <c r="C1240" s="50"/>
      <c r="D1240" s="15"/>
    </row>
    <row r="1241" spans="2:4" x14ac:dyDescent="0.25">
      <c r="B1241" s="68"/>
      <c r="C1241" s="50"/>
      <c r="D1241" s="15"/>
    </row>
    <row r="1242" spans="2:4" x14ac:dyDescent="0.25">
      <c r="B1242" s="68"/>
      <c r="C1242" s="50"/>
      <c r="D1242" s="15"/>
    </row>
    <row r="1243" spans="2:4" x14ac:dyDescent="0.25">
      <c r="B1243" s="68"/>
      <c r="C1243" s="50"/>
      <c r="D1243" s="15"/>
    </row>
    <row r="1244" spans="2:4" x14ac:dyDescent="0.25">
      <c r="B1244" s="68"/>
      <c r="C1244" s="50"/>
      <c r="D1244" s="15"/>
    </row>
    <row r="1245" spans="2:4" x14ac:dyDescent="0.25">
      <c r="B1245" s="68"/>
      <c r="C1245" s="50"/>
      <c r="D1245" s="15"/>
    </row>
    <row r="1246" spans="2:4" x14ac:dyDescent="0.25">
      <c r="B1246" s="68"/>
      <c r="C1246" s="50"/>
      <c r="D1246" s="15"/>
    </row>
    <row r="1247" spans="2:4" x14ac:dyDescent="0.25">
      <c r="B1247" s="68"/>
      <c r="C1247" s="50"/>
      <c r="D1247" s="15"/>
    </row>
    <row r="1248" spans="2:4" x14ac:dyDescent="0.25">
      <c r="B1248" s="68"/>
      <c r="C1248" s="50"/>
      <c r="D1248" s="15"/>
    </row>
    <row r="1249" spans="2:4" x14ac:dyDescent="0.25">
      <c r="B1249" s="68"/>
      <c r="C1249" s="50"/>
      <c r="D1249" s="15"/>
    </row>
    <row r="1250" spans="2:4" x14ac:dyDescent="0.25">
      <c r="B1250" s="68"/>
      <c r="C1250" s="50"/>
      <c r="D1250" s="15"/>
    </row>
    <row r="1251" spans="2:4" x14ac:dyDescent="0.25">
      <c r="B1251" s="68"/>
      <c r="C1251" s="50"/>
      <c r="D1251" s="15"/>
    </row>
    <row r="1252" spans="2:4" x14ac:dyDescent="0.25">
      <c r="B1252" s="68"/>
      <c r="C1252" s="50"/>
      <c r="D1252" s="15"/>
    </row>
    <row r="1253" spans="2:4" x14ac:dyDescent="0.25">
      <c r="B1253" s="68"/>
      <c r="C1253" s="50"/>
      <c r="D1253" s="15"/>
    </row>
    <row r="1254" spans="2:4" x14ac:dyDescent="0.25">
      <c r="B1254" s="68"/>
      <c r="C1254" s="50"/>
      <c r="D1254" s="15"/>
    </row>
    <row r="1255" spans="2:4" x14ac:dyDescent="0.25">
      <c r="B1255" s="68"/>
      <c r="C1255" s="50"/>
      <c r="D1255" s="15"/>
    </row>
    <row r="1256" spans="2:4" x14ac:dyDescent="0.25">
      <c r="B1256" s="68"/>
      <c r="C1256" s="50"/>
      <c r="D1256" s="15"/>
    </row>
    <row r="1257" spans="2:4" x14ac:dyDescent="0.25">
      <c r="B1257" s="68"/>
      <c r="C1257" s="50"/>
      <c r="D1257" s="15"/>
    </row>
    <row r="1258" spans="2:4" x14ac:dyDescent="0.25">
      <c r="B1258" s="68"/>
      <c r="C1258" s="50"/>
      <c r="D1258" s="15"/>
    </row>
    <row r="1259" spans="2:4" x14ac:dyDescent="0.25">
      <c r="B1259" s="68"/>
      <c r="C1259" s="50"/>
      <c r="D1259" s="15"/>
    </row>
    <row r="1260" spans="2:4" x14ac:dyDescent="0.25">
      <c r="B1260" s="68"/>
      <c r="C1260" s="50"/>
      <c r="D1260" s="15"/>
    </row>
    <row r="1261" spans="2:4" x14ac:dyDescent="0.25">
      <c r="B1261" s="68"/>
      <c r="C1261" s="50"/>
      <c r="D1261" s="15"/>
    </row>
    <row r="1262" spans="2:4" x14ac:dyDescent="0.25">
      <c r="B1262" s="68"/>
      <c r="C1262" s="50"/>
      <c r="D1262" s="15"/>
    </row>
    <row r="1263" spans="2:4" x14ac:dyDescent="0.25">
      <c r="B1263" s="68"/>
      <c r="C1263" s="50"/>
      <c r="D1263" s="15"/>
    </row>
    <row r="1264" spans="2:4" x14ac:dyDescent="0.25">
      <c r="B1264" s="68"/>
      <c r="C1264" s="50"/>
      <c r="D1264" s="15"/>
    </row>
    <row r="1265" spans="2:4" x14ac:dyDescent="0.25">
      <c r="B1265" s="68"/>
      <c r="C1265" s="50"/>
      <c r="D1265" s="15"/>
    </row>
    <row r="1266" spans="2:4" x14ac:dyDescent="0.25">
      <c r="B1266" s="68"/>
      <c r="C1266" s="50"/>
      <c r="D1266" s="15"/>
    </row>
    <row r="1267" spans="2:4" x14ac:dyDescent="0.25">
      <c r="B1267" s="68"/>
      <c r="C1267" s="50"/>
      <c r="D1267" s="15"/>
    </row>
    <row r="1268" spans="2:4" x14ac:dyDescent="0.25">
      <c r="B1268" s="68"/>
      <c r="C1268" s="50"/>
      <c r="D1268" s="15"/>
    </row>
    <row r="1269" spans="2:4" x14ac:dyDescent="0.25">
      <c r="B1269" s="68"/>
      <c r="C1269" s="50"/>
      <c r="D1269" s="15"/>
    </row>
    <row r="1270" spans="2:4" x14ac:dyDescent="0.25">
      <c r="B1270" s="68"/>
      <c r="C1270" s="50"/>
      <c r="D1270" s="15"/>
    </row>
    <row r="1271" spans="2:4" x14ac:dyDescent="0.25">
      <c r="B1271" s="68"/>
      <c r="C1271" s="50"/>
      <c r="D1271" s="15"/>
    </row>
    <row r="1272" spans="2:4" x14ac:dyDescent="0.25">
      <c r="B1272" s="68"/>
      <c r="C1272" s="50"/>
      <c r="D1272" s="15"/>
    </row>
    <row r="1273" spans="2:4" x14ac:dyDescent="0.25">
      <c r="B1273" s="68"/>
      <c r="C1273" s="50"/>
      <c r="D1273" s="15"/>
    </row>
    <row r="1274" spans="2:4" x14ac:dyDescent="0.25">
      <c r="B1274" s="68"/>
      <c r="C1274" s="50"/>
      <c r="D1274" s="15"/>
    </row>
    <row r="1275" spans="2:4" x14ac:dyDescent="0.25">
      <c r="B1275" s="68"/>
      <c r="C1275" s="50"/>
      <c r="D1275" s="15"/>
    </row>
    <row r="1276" spans="2:4" x14ac:dyDescent="0.25">
      <c r="B1276" s="68"/>
      <c r="C1276" s="50"/>
      <c r="D1276" s="15"/>
    </row>
    <row r="1277" spans="2:4" x14ac:dyDescent="0.25">
      <c r="B1277" s="68"/>
      <c r="C1277" s="50"/>
      <c r="D1277" s="15"/>
    </row>
    <row r="1278" spans="2:4" x14ac:dyDescent="0.25">
      <c r="B1278" s="68"/>
      <c r="C1278" s="50"/>
      <c r="D1278" s="15"/>
    </row>
    <row r="1279" spans="2:4" x14ac:dyDescent="0.25">
      <c r="B1279" s="68"/>
      <c r="C1279" s="50"/>
      <c r="D1279" s="15"/>
    </row>
    <row r="1280" spans="2:4" x14ac:dyDescent="0.25">
      <c r="B1280" s="68"/>
      <c r="C1280" s="50"/>
      <c r="D1280" s="15"/>
    </row>
    <row r="1281" spans="2:4" x14ac:dyDescent="0.25">
      <c r="B1281" s="68"/>
      <c r="C1281" s="50"/>
      <c r="D1281" s="15"/>
    </row>
    <row r="1282" spans="2:4" x14ac:dyDescent="0.25">
      <c r="B1282" s="68"/>
      <c r="C1282" s="50"/>
      <c r="D1282" s="15"/>
    </row>
    <row r="1283" spans="2:4" x14ac:dyDescent="0.25">
      <c r="B1283" s="68"/>
      <c r="C1283" s="50"/>
      <c r="D1283" s="15"/>
    </row>
    <row r="1284" spans="2:4" x14ac:dyDescent="0.25">
      <c r="B1284" s="68"/>
      <c r="C1284" s="50"/>
      <c r="D1284" s="15"/>
    </row>
    <row r="1285" spans="2:4" x14ac:dyDescent="0.25">
      <c r="B1285" s="68"/>
      <c r="C1285" s="50"/>
      <c r="D1285" s="15"/>
    </row>
    <row r="1286" spans="2:4" x14ac:dyDescent="0.25">
      <c r="B1286" s="68"/>
      <c r="C1286" s="50"/>
      <c r="D1286" s="15"/>
    </row>
    <row r="1287" spans="2:4" x14ac:dyDescent="0.25">
      <c r="B1287" s="68"/>
      <c r="C1287" s="50"/>
      <c r="D1287" s="15"/>
    </row>
    <row r="1288" spans="2:4" x14ac:dyDescent="0.25">
      <c r="B1288" s="68"/>
      <c r="C1288" s="50"/>
      <c r="D1288" s="15"/>
    </row>
    <row r="1289" spans="2:4" x14ac:dyDescent="0.25">
      <c r="B1289" s="68"/>
      <c r="C1289" s="50"/>
      <c r="D1289" s="15"/>
    </row>
    <row r="1290" spans="2:4" x14ac:dyDescent="0.25">
      <c r="B1290" s="68"/>
      <c r="C1290" s="50"/>
      <c r="D1290" s="15"/>
    </row>
    <row r="1291" spans="2:4" x14ac:dyDescent="0.25">
      <c r="B1291" s="68"/>
      <c r="C1291" s="50"/>
      <c r="D1291" s="15"/>
    </row>
    <row r="1292" spans="2:4" x14ac:dyDescent="0.25">
      <c r="B1292" s="68"/>
      <c r="C1292" s="50"/>
      <c r="D1292" s="15"/>
    </row>
    <row r="1293" spans="2:4" x14ac:dyDescent="0.25">
      <c r="B1293" s="68"/>
      <c r="C1293" s="50"/>
      <c r="D1293" s="15"/>
    </row>
    <row r="1294" spans="2:4" x14ac:dyDescent="0.25">
      <c r="B1294" s="68"/>
      <c r="C1294" s="50"/>
      <c r="D1294" s="15"/>
    </row>
    <row r="1295" spans="2:4" x14ac:dyDescent="0.25">
      <c r="B1295" s="68"/>
      <c r="C1295" s="50"/>
      <c r="D1295" s="15"/>
    </row>
    <row r="1296" spans="2:4" x14ac:dyDescent="0.25">
      <c r="B1296" s="68"/>
      <c r="C1296" s="50"/>
      <c r="D1296" s="15"/>
    </row>
    <row r="1297" spans="2:4" x14ac:dyDescent="0.25">
      <c r="B1297" s="68"/>
      <c r="C1297" s="50"/>
      <c r="D1297" s="15"/>
    </row>
    <row r="1298" spans="2:4" x14ac:dyDescent="0.25">
      <c r="B1298" s="68"/>
      <c r="C1298" s="50"/>
      <c r="D1298" s="15"/>
    </row>
    <row r="1299" spans="2:4" x14ac:dyDescent="0.25">
      <c r="B1299" s="68"/>
      <c r="C1299" s="50"/>
      <c r="D1299" s="15"/>
    </row>
    <row r="1300" spans="2:4" x14ac:dyDescent="0.25">
      <c r="B1300" s="68"/>
      <c r="C1300" s="50"/>
      <c r="D1300" s="15"/>
    </row>
    <row r="1301" spans="2:4" x14ac:dyDescent="0.25">
      <c r="B1301" s="68"/>
      <c r="C1301" s="50"/>
      <c r="D1301" s="15"/>
    </row>
    <row r="1302" spans="2:4" x14ac:dyDescent="0.25">
      <c r="B1302" s="68"/>
      <c r="C1302" s="50"/>
      <c r="D1302" s="15"/>
    </row>
    <row r="1303" spans="2:4" x14ac:dyDescent="0.25">
      <c r="B1303" s="68"/>
      <c r="C1303" s="50"/>
      <c r="D1303" s="15"/>
    </row>
    <row r="1304" spans="2:4" x14ac:dyDescent="0.25">
      <c r="B1304" s="68"/>
      <c r="C1304" s="50"/>
      <c r="D1304" s="15"/>
    </row>
    <row r="1305" spans="2:4" x14ac:dyDescent="0.25">
      <c r="B1305" s="68"/>
      <c r="C1305" s="50"/>
      <c r="D1305" s="15"/>
    </row>
    <row r="1306" spans="2:4" x14ac:dyDescent="0.25">
      <c r="B1306" s="68"/>
      <c r="C1306" s="50"/>
      <c r="D1306" s="15"/>
    </row>
    <row r="1307" spans="2:4" x14ac:dyDescent="0.25">
      <c r="B1307" s="68"/>
      <c r="C1307" s="50"/>
      <c r="D1307" s="15"/>
    </row>
    <row r="1308" spans="2:4" x14ac:dyDescent="0.25">
      <c r="B1308" s="68"/>
      <c r="C1308" s="50"/>
      <c r="D1308" s="15"/>
    </row>
    <row r="1309" spans="2:4" x14ac:dyDescent="0.25">
      <c r="B1309" s="68"/>
      <c r="C1309" s="50"/>
      <c r="D1309" s="15"/>
    </row>
    <row r="1310" spans="2:4" x14ac:dyDescent="0.25">
      <c r="B1310" s="68"/>
      <c r="C1310" s="50"/>
      <c r="D1310" s="15"/>
    </row>
    <row r="1311" spans="2:4" x14ac:dyDescent="0.25">
      <c r="B1311" s="68"/>
      <c r="C1311" s="50"/>
      <c r="D1311" s="15"/>
    </row>
    <row r="1312" spans="2:4" x14ac:dyDescent="0.25">
      <c r="B1312" s="68"/>
      <c r="C1312" s="50"/>
      <c r="D1312" s="15"/>
    </row>
    <row r="1313" spans="2:4" x14ac:dyDescent="0.25">
      <c r="B1313" s="68"/>
      <c r="C1313" s="50"/>
      <c r="D1313" s="15"/>
    </row>
    <row r="1314" spans="2:4" x14ac:dyDescent="0.25">
      <c r="B1314" s="68"/>
      <c r="C1314" s="50"/>
      <c r="D1314" s="15"/>
    </row>
    <row r="1315" spans="2:4" x14ac:dyDescent="0.25">
      <c r="B1315" s="68"/>
      <c r="C1315" s="50"/>
      <c r="D1315" s="15"/>
    </row>
    <row r="1316" spans="2:4" x14ac:dyDescent="0.25">
      <c r="B1316" s="68"/>
      <c r="C1316" s="50"/>
      <c r="D1316" s="15"/>
    </row>
    <row r="1317" spans="2:4" x14ac:dyDescent="0.25">
      <c r="B1317" s="68"/>
      <c r="C1317" s="50"/>
      <c r="D1317" s="15"/>
    </row>
    <row r="1318" spans="2:4" x14ac:dyDescent="0.25">
      <c r="B1318" s="68"/>
      <c r="C1318" s="50"/>
      <c r="D1318" s="15"/>
    </row>
    <row r="1319" spans="2:4" x14ac:dyDescent="0.25">
      <c r="B1319" s="68"/>
      <c r="C1319" s="50"/>
      <c r="D1319" s="15"/>
    </row>
    <row r="1320" spans="2:4" x14ac:dyDescent="0.25">
      <c r="B1320" s="68"/>
      <c r="C1320" s="50"/>
      <c r="D1320" s="15"/>
    </row>
    <row r="1321" spans="2:4" x14ac:dyDescent="0.25">
      <c r="B1321" s="68"/>
      <c r="C1321" s="50"/>
      <c r="D1321" s="15"/>
    </row>
    <row r="1322" spans="2:4" x14ac:dyDescent="0.25">
      <c r="B1322" s="68"/>
      <c r="C1322" s="50"/>
      <c r="D1322" s="15"/>
    </row>
    <row r="1323" spans="2:4" x14ac:dyDescent="0.25">
      <c r="B1323" s="68"/>
      <c r="C1323" s="50"/>
      <c r="D1323" s="15"/>
    </row>
    <row r="1324" spans="2:4" x14ac:dyDescent="0.25">
      <c r="B1324" s="68"/>
      <c r="C1324" s="50"/>
      <c r="D1324" s="15"/>
    </row>
    <row r="1325" spans="2:4" x14ac:dyDescent="0.25">
      <c r="B1325" s="68"/>
      <c r="C1325" s="50"/>
      <c r="D1325" s="15"/>
    </row>
    <row r="1326" spans="2:4" x14ac:dyDescent="0.25">
      <c r="B1326" s="68"/>
      <c r="C1326" s="50"/>
      <c r="D1326" s="15"/>
    </row>
    <row r="1327" spans="2:4" x14ac:dyDescent="0.25">
      <c r="B1327" s="68"/>
      <c r="C1327" s="50"/>
      <c r="D1327" s="15"/>
    </row>
    <row r="1328" spans="2:4" x14ac:dyDescent="0.25">
      <c r="B1328" s="68"/>
      <c r="C1328" s="50"/>
      <c r="D1328" s="15"/>
    </row>
    <row r="1329" spans="2:4" x14ac:dyDescent="0.25">
      <c r="B1329" s="68"/>
      <c r="C1329" s="50"/>
      <c r="D1329" s="15"/>
    </row>
    <row r="1330" spans="2:4" x14ac:dyDescent="0.25">
      <c r="B1330" s="68"/>
      <c r="C1330" s="50"/>
      <c r="D1330" s="15"/>
    </row>
    <row r="1331" spans="2:4" x14ac:dyDescent="0.25">
      <c r="B1331" s="68"/>
      <c r="C1331" s="50"/>
      <c r="D1331" s="15"/>
    </row>
    <row r="1332" spans="2:4" x14ac:dyDescent="0.25">
      <c r="B1332" s="68"/>
      <c r="C1332" s="50"/>
      <c r="D1332" s="15"/>
    </row>
    <row r="1333" spans="2:4" x14ac:dyDescent="0.25">
      <c r="B1333" s="68"/>
      <c r="C1333" s="50"/>
      <c r="D1333" s="15"/>
    </row>
    <row r="1334" spans="2:4" x14ac:dyDescent="0.25">
      <c r="B1334" s="68"/>
      <c r="C1334" s="50"/>
      <c r="D1334" s="15"/>
    </row>
    <row r="1335" spans="2:4" x14ac:dyDescent="0.25">
      <c r="B1335" s="68"/>
      <c r="C1335" s="50"/>
      <c r="D1335" s="15"/>
    </row>
    <row r="1336" spans="2:4" x14ac:dyDescent="0.25">
      <c r="B1336" s="68"/>
      <c r="C1336" s="50"/>
      <c r="D1336" s="15"/>
    </row>
    <row r="1337" spans="2:4" x14ac:dyDescent="0.25">
      <c r="B1337" s="68"/>
      <c r="C1337" s="50"/>
      <c r="D1337" s="15"/>
    </row>
    <row r="1338" spans="2:4" x14ac:dyDescent="0.25">
      <c r="B1338" s="68"/>
      <c r="C1338" s="50"/>
      <c r="D1338" s="15"/>
    </row>
    <row r="1339" spans="2:4" x14ac:dyDescent="0.25">
      <c r="B1339" s="68"/>
      <c r="C1339" s="50"/>
      <c r="D1339" s="15"/>
    </row>
    <row r="1340" spans="2:4" x14ac:dyDescent="0.25">
      <c r="B1340" s="68"/>
      <c r="C1340" s="50"/>
      <c r="D1340" s="15"/>
    </row>
    <row r="1341" spans="2:4" x14ac:dyDescent="0.25">
      <c r="B1341" s="68"/>
      <c r="C1341" s="50"/>
      <c r="D1341" s="15"/>
    </row>
    <row r="1342" spans="2:4" x14ac:dyDescent="0.25">
      <c r="B1342" s="68"/>
      <c r="C1342" s="50"/>
      <c r="D1342" s="15"/>
    </row>
    <row r="1343" spans="2:4" x14ac:dyDescent="0.25">
      <c r="B1343" s="68"/>
      <c r="C1343" s="50"/>
      <c r="D1343" s="15"/>
    </row>
    <row r="1344" spans="2:4" x14ac:dyDescent="0.25">
      <c r="B1344" s="68"/>
      <c r="C1344" s="50"/>
      <c r="D1344" s="15"/>
    </row>
    <row r="1345" spans="2:4" x14ac:dyDescent="0.25">
      <c r="B1345" s="68"/>
      <c r="C1345" s="50"/>
      <c r="D1345" s="15"/>
    </row>
    <row r="1346" spans="2:4" x14ac:dyDescent="0.25">
      <c r="B1346" s="68"/>
      <c r="C1346" s="50"/>
      <c r="D1346" s="15"/>
    </row>
    <row r="1347" spans="2:4" x14ac:dyDescent="0.25">
      <c r="B1347" s="68"/>
      <c r="C1347" s="50"/>
      <c r="D1347" s="15"/>
    </row>
    <row r="1348" spans="2:4" x14ac:dyDescent="0.25">
      <c r="B1348" s="68"/>
      <c r="C1348" s="50"/>
      <c r="D1348" s="15"/>
    </row>
    <row r="1349" spans="2:4" x14ac:dyDescent="0.25">
      <c r="B1349" s="68"/>
      <c r="C1349" s="50"/>
      <c r="D1349" s="15"/>
    </row>
    <row r="1350" spans="2:4" x14ac:dyDescent="0.25">
      <c r="B1350" s="68"/>
      <c r="C1350" s="50"/>
      <c r="D1350" s="15"/>
    </row>
    <row r="1351" spans="2:4" x14ac:dyDescent="0.25">
      <c r="B1351" s="68"/>
      <c r="C1351" s="50"/>
      <c r="D1351" s="15"/>
    </row>
    <row r="1352" spans="2:4" x14ac:dyDescent="0.25">
      <c r="B1352" s="68"/>
      <c r="C1352" s="50"/>
      <c r="D1352" s="15"/>
    </row>
    <row r="1353" spans="2:4" x14ac:dyDescent="0.25">
      <c r="B1353" s="68"/>
      <c r="C1353" s="50"/>
      <c r="D1353" s="15"/>
    </row>
    <row r="1354" spans="2:4" x14ac:dyDescent="0.25">
      <c r="B1354" s="68"/>
      <c r="C1354" s="50"/>
      <c r="D1354" s="15"/>
    </row>
    <row r="1355" spans="2:4" x14ac:dyDescent="0.25">
      <c r="B1355" s="68"/>
      <c r="C1355" s="50"/>
      <c r="D1355" s="15"/>
    </row>
    <row r="1356" spans="2:4" x14ac:dyDescent="0.25">
      <c r="B1356" s="68"/>
      <c r="C1356" s="50"/>
      <c r="D1356" s="15"/>
    </row>
    <row r="1357" spans="2:4" x14ac:dyDescent="0.25">
      <c r="B1357" s="68"/>
      <c r="C1357" s="50"/>
      <c r="D1357" s="15"/>
    </row>
    <row r="1358" spans="2:4" x14ac:dyDescent="0.25">
      <c r="B1358" s="68"/>
      <c r="C1358" s="50"/>
      <c r="D1358" s="15"/>
    </row>
    <row r="1359" spans="2:4" x14ac:dyDescent="0.25">
      <c r="B1359" s="68"/>
      <c r="C1359" s="50"/>
      <c r="D1359" s="15"/>
    </row>
    <row r="1360" spans="2:4" x14ac:dyDescent="0.25">
      <c r="B1360" s="68"/>
      <c r="C1360" s="50"/>
      <c r="D1360" s="15"/>
    </row>
    <row r="1361" spans="2:4" x14ac:dyDescent="0.25">
      <c r="B1361" s="68"/>
      <c r="C1361" s="50"/>
      <c r="D1361" s="15"/>
    </row>
    <row r="1362" spans="2:4" x14ac:dyDescent="0.25">
      <c r="B1362" s="68"/>
      <c r="C1362" s="50"/>
      <c r="D1362" s="15"/>
    </row>
    <row r="1363" spans="2:4" x14ac:dyDescent="0.25">
      <c r="B1363" s="68"/>
      <c r="C1363" s="50"/>
      <c r="D1363" s="15"/>
    </row>
    <row r="1364" spans="2:4" x14ac:dyDescent="0.25">
      <c r="B1364" s="68"/>
      <c r="C1364" s="50"/>
      <c r="D1364" s="15"/>
    </row>
    <row r="1365" spans="2:4" x14ac:dyDescent="0.25">
      <c r="B1365" s="68"/>
      <c r="C1365" s="50"/>
      <c r="D1365" s="15"/>
    </row>
    <row r="1366" spans="2:4" x14ac:dyDescent="0.25">
      <c r="B1366" s="68"/>
      <c r="C1366" s="50"/>
      <c r="D1366" s="15"/>
    </row>
    <row r="1367" spans="2:4" x14ac:dyDescent="0.25">
      <c r="B1367" s="68"/>
      <c r="C1367" s="50"/>
      <c r="D1367" s="15"/>
    </row>
    <row r="1368" spans="2:4" x14ac:dyDescent="0.25">
      <c r="B1368" s="68"/>
      <c r="C1368" s="50"/>
      <c r="D1368" s="15"/>
    </row>
    <row r="1369" spans="2:4" x14ac:dyDescent="0.25">
      <c r="B1369" s="68"/>
      <c r="C1369" s="50"/>
      <c r="D1369" s="15"/>
    </row>
    <row r="1370" spans="2:4" x14ac:dyDescent="0.25">
      <c r="B1370" s="68"/>
      <c r="C1370" s="50"/>
      <c r="D1370" s="15"/>
    </row>
    <row r="1371" spans="2:4" x14ac:dyDescent="0.25">
      <c r="B1371" s="68"/>
      <c r="C1371" s="50"/>
      <c r="D1371" s="15"/>
    </row>
    <row r="1372" spans="2:4" x14ac:dyDescent="0.25">
      <c r="B1372" s="68"/>
      <c r="C1372" s="50"/>
      <c r="D1372" s="15"/>
    </row>
    <row r="1373" spans="2:4" x14ac:dyDescent="0.25">
      <c r="B1373" s="68"/>
      <c r="C1373" s="50"/>
      <c r="D1373" s="15"/>
    </row>
    <row r="1374" spans="2:4" x14ac:dyDescent="0.25">
      <c r="B1374" s="68"/>
      <c r="C1374" s="50"/>
      <c r="D1374" s="15"/>
    </row>
    <row r="1375" spans="2:4" x14ac:dyDescent="0.25">
      <c r="B1375" s="68"/>
      <c r="C1375" s="50"/>
      <c r="D1375" s="15"/>
    </row>
    <row r="1376" spans="2:4" x14ac:dyDescent="0.25">
      <c r="B1376" s="68"/>
      <c r="C1376" s="50"/>
      <c r="D1376" s="15"/>
    </row>
    <row r="1377" spans="2:4" x14ac:dyDescent="0.25">
      <c r="B1377" s="68"/>
      <c r="C1377" s="50"/>
      <c r="D1377" s="15"/>
    </row>
    <row r="1378" spans="2:4" x14ac:dyDescent="0.25">
      <c r="B1378" s="68"/>
      <c r="C1378" s="50"/>
      <c r="D1378" s="15"/>
    </row>
    <row r="1379" spans="2:4" x14ac:dyDescent="0.25">
      <c r="B1379" s="68"/>
      <c r="C1379" s="50"/>
      <c r="D1379" s="15"/>
    </row>
    <row r="1380" spans="2:4" x14ac:dyDescent="0.25">
      <c r="B1380" s="68"/>
      <c r="C1380" s="50"/>
      <c r="D1380" s="15"/>
    </row>
    <row r="1381" spans="2:4" x14ac:dyDescent="0.25">
      <c r="B1381" s="68"/>
      <c r="C1381" s="50"/>
      <c r="D1381" s="15"/>
    </row>
    <row r="1382" spans="2:4" x14ac:dyDescent="0.25">
      <c r="B1382" s="68"/>
      <c r="C1382" s="50"/>
      <c r="D1382" s="15"/>
    </row>
    <row r="1383" spans="2:4" x14ac:dyDescent="0.25">
      <c r="B1383" s="68"/>
      <c r="C1383" s="50"/>
      <c r="D1383" s="15"/>
    </row>
    <row r="1384" spans="2:4" x14ac:dyDescent="0.25">
      <c r="B1384" s="68"/>
      <c r="C1384" s="50"/>
      <c r="D1384" s="15"/>
    </row>
    <row r="1385" spans="2:4" x14ac:dyDescent="0.25">
      <c r="B1385" s="68"/>
      <c r="C1385" s="50"/>
      <c r="D1385" s="15"/>
    </row>
    <row r="1386" spans="2:4" x14ac:dyDescent="0.25">
      <c r="B1386" s="68"/>
      <c r="C1386" s="50"/>
      <c r="D1386" s="15"/>
    </row>
    <row r="1387" spans="2:4" x14ac:dyDescent="0.25">
      <c r="B1387" s="68"/>
      <c r="C1387" s="50"/>
      <c r="D1387" s="15"/>
    </row>
    <row r="1388" spans="2:4" x14ac:dyDescent="0.25">
      <c r="B1388" s="68"/>
      <c r="C1388" s="50"/>
      <c r="D1388" s="15"/>
    </row>
    <row r="1389" spans="2:4" x14ac:dyDescent="0.25">
      <c r="B1389" s="68"/>
      <c r="C1389" s="50"/>
      <c r="D1389" s="15"/>
    </row>
    <row r="1390" spans="2:4" x14ac:dyDescent="0.25">
      <c r="B1390" s="68"/>
      <c r="C1390" s="50"/>
      <c r="D1390" s="15"/>
    </row>
    <row r="1391" spans="2:4" x14ac:dyDescent="0.25">
      <c r="B1391" s="68"/>
      <c r="C1391" s="50"/>
      <c r="D1391" s="15"/>
    </row>
    <row r="1392" spans="2:4" x14ac:dyDescent="0.25">
      <c r="B1392" s="68"/>
      <c r="C1392" s="50"/>
      <c r="D1392" s="15"/>
    </row>
    <row r="1393" spans="2:4" x14ac:dyDescent="0.25">
      <c r="B1393" s="68"/>
      <c r="C1393" s="50"/>
      <c r="D1393" s="15"/>
    </row>
    <row r="1394" spans="2:4" x14ac:dyDescent="0.25">
      <c r="B1394" s="68"/>
      <c r="C1394" s="50"/>
      <c r="D1394" s="15"/>
    </row>
    <row r="1395" spans="2:4" x14ac:dyDescent="0.25">
      <c r="B1395" s="68"/>
      <c r="C1395" s="50"/>
      <c r="D1395" s="15"/>
    </row>
    <row r="1396" spans="2:4" x14ac:dyDescent="0.25">
      <c r="B1396" s="68"/>
      <c r="C1396" s="50"/>
      <c r="D1396" s="15"/>
    </row>
    <row r="1397" spans="2:4" x14ac:dyDescent="0.25">
      <c r="B1397" s="68"/>
      <c r="C1397" s="50"/>
      <c r="D1397" s="15"/>
    </row>
    <row r="1398" spans="2:4" x14ac:dyDescent="0.25">
      <c r="B1398" s="68"/>
      <c r="C1398" s="50"/>
      <c r="D1398" s="15"/>
    </row>
    <row r="1399" spans="2:4" x14ac:dyDescent="0.25">
      <c r="B1399" s="68"/>
      <c r="C1399" s="50"/>
      <c r="D1399" s="15"/>
    </row>
    <row r="1400" spans="2:4" x14ac:dyDescent="0.25">
      <c r="B1400" s="68"/>
      <c r="C1400" s="50"/>
      <c r="D1400" s="15"/>
    </row>
    <row r="1401" spans="2:4" x14ac:dyDescent="0.25">
      <c r="B1401" s="68"/>
      <c r="C1401" s="50"/>
      <c r="D1401" s="15"/>
    </row>
    <row r="1402" spans="2:4" x14ac:dyDescent="0.25">
      <c r="B1402" s="68"/>
      <c r="C1402" s="50"/>
      <c r="D1402" s="15"/>
    </row>
    <row r="1403" spans="2:4" x14ac:dyDescent="0.25">
      <c r="B1403" s="68"/>
      <c r="C1403" s="50"/>
      <c r="D1403" s="15"/>
    </row>
    <row r="1404" spans="2:4" x14ac:dyDescent="0.25">
      <c r="B1404" s="68"/>
      <c r="C1404" s="50"/>
      <c r="D1404" s="15"/>
    </row>
    <row r="1405" spans="2:4" x14ac:dyDescent="0.25">
      <c r="B1405" s="68"/>
      <c r="C1405" s="50"/>
      <c r="D1405" s="15"/>
    </row>
    <row r="1406" spans="2:4" x14ac:dyDescent="0.25">
      <c r="B1406" s="68"/>
      <c r="C1406" s="50"/>
      <c r="D1406" s="15"/>
    </row>
    <row r="1407" spans="2:4" x14ac:dyDescent="0.25">
      <c r="B1407" s="68"/>
      <c r="C1407" s="50"/>
      <c r="D1407" s="15"/>
    </row>
    <row r="1408" spans="2:4" x14ac:dyDescent="0.25">
      <c r="B1408" s="68"/>
      <c r="C1408" s="50"/>
      <c r="D1408" s="15"/>
    </row>
    <row r="1409" spans="2:4" x14ac:dyDescent="0.25">
      <c r="B1409" s="68"/>
      <c r="C1409" s="50"/>
      <c r="D1409" s="15"/>
    </row>
    <row r="1410" spans="2:4" x14ac:dyDescent="0.25">
      <c r="B1410" s="68"/>
      <c r="C1410" s="50"/>
      <c r="D1410" s="15"/>
    </row>
    <row r="1411" spans="2:4" x14ac:dyDescent="0.25">
      <c r="B1411" s="68"/>
      <c r="C1411" s="50"/>
      <c r="D1411" s="15"/>
    </row>
    <row r="1412" spans="2:4" x14ac:dyDescent="0.25">
      <c r="B1412" s="68"/>
      <c r="C1412" s="50"/>
      <c r="D1412" s="15"/>
    </row>
    <row r="1413" spans="2:4" x14ac:dyDescent="0.25">
      <c r="B1413" s="68"/>
      <c r="C1413" s="50"/>
      <c r="D1413" s="15"/>
    </row>
    <row r="1414" spans="2:4" x14ac:dyDescent="0.25">
      <c r="B1414" s="68"/>
      <c r="C1414" s="50"/>
      <c r="D1414" s="15"/>
    </row>
    <row r="1415" spans="2:4" x14ac:dyDescent="0.25">
      <c r="B1415" s="68"/>
      <c r="C1415" s="50"/>
      <c r="D1415" s="15"/>
    </row>
    <row r="1416" spans="2:4" x14ac:dyDescent="0.25">
      <c r="B1416" s="68"/>
      <c r="C1416" s="50"/>
      <c r="D1416" s="15"/>
    </row>
    <row r="1417" spans="2:4" x14ac:dyDescent="0.25">
      <c r="B1417" s="68"/>
      <c r="C1417" s="50"/>
      <c r="D1417" s="15"/>
    </row>
    <row r="1418" spans="2:4" x14ac:dyDescent="0.25">
      <c r="B1418" s="68"/>
      <c r="C1418" s="50"/>
      <c r="D1418" s="15"/>
    </row>
    <row r="1419" spans="2:4" x14ac:dyDescent="0.25">
      <c r="B1419" s="68"/>
      <c r="C1419" s="50"/>
      <c r="D1419" s="15"/>
    </row>
    <row r="1420" spans="2:4" x14ac:dyDescent="0.25">
      <c r="B1420" s="68"/>
      <c r="C1420" s="50"/>
      <c r="D1420" s="15"/>
    </row>
    <row r="1421" spans="2:4" x14ac:dyDescent="0.25">
      <c r="B1421" s="68"/>
      <c r="C1421" s="50"/>
      <c r="D1421" s="15"/>
    </row>
    <row r="1422" spans="2:4" x14ac:dyDescent="0.25">
      <c r="B1422" s="68"/>
      <c r="C1422" s="50"/>
      <c r="D1422" s="15"/>
    </row>
    <row r="1423" spans="2:4" x14ac:dyDescent="0.25">
      <c r="B1423" s="68"/>
      <c r="C1423" s="50"/>
      <c r="D1423" s="15"/>
    </row>
    <row r="1424" spans="2:4" x14ac:dyDescent="0.25">
      <c r="B1424" s="68"/>
      <c r="C1424" s="50"/>
      <c r="D1424" s="15"/>
    </row>
    <row r="1425" spans="2:4" x14ac:dyDescent="0.25">
      <c r="B1425" s="68"/>
      <c r="C1425" s="50"/>
      <c r="D1425" s="15"/>
    </row>
    <row r="1426" spans="2:4" x14ac:dyDescent="0.25">
      <c r="B1426" s="68"/>
      <c r="C1426" s="50"/>
      <c r="D1426" s="15"/>
    </row>
    <row r="1427" spans="2:4" x14ac:dyDescent="0.25">
      <c r="B1427" s="68"/>
      <c r="C1427" s="50"/>
      <c r="D1427" s="15"/>
    </row>
    <row r="1428" spans="2:4" x14ac:dyDescent="0.25">
      <c r="B1428" s="68"/>
      <c r="C1428" s="50"/>
      <c r="D1428" s="15"/>
    </row>
    <row r="1429" spans="2:4" x14ac:dyDescent="0.25">
      <c r="B1429" s="68"/>
      <c r="C1429" s="50"/>
      <c r="D1429" s="15"/>
    </row>
    <row r="1430" spans="2:4" x14ac:dyDescent="0.25">
      <c r="B1430" s="68"/>
      <c r="C1430" s="50"/>
      <c r="D1430" s="15"/>
    </row>
    <row r="1431" spans="2:4" x14ac:dyDescent="0.25">
      <c r="B1431" s="68"/>
      <c r="C1431" s="50"/>
      <c r="D1431" s="15"/>
    </row>
    <row r="1432" spans="2:4" x14ac:dyDescent="0.25">
      <c r="B1432" s="68"/>
      <c r="C1432" s="50"/>
      <c r="D1432" s="15"/>
    </row>
    <row r="1433" spans="2:4" x14ac:dyDescent="0.25">
      <c r="B1433" s="68"/>
      <c r="C1433" s="50"/>
      <c r="D1433" s="15"/>
    </row>
    <row r="1434" spans="2:4" x14ac:dyDescent="0.25">
      <c r="B1434" s="68"/>
      <c r="C1434" s="50"/>
      <c r="D1434" s="15"/>
    </row>
    <row r="1435" spans="2:4" x14ac:dyDescent="0.25">
      <c r="B1435" s="68"/>
      <c r="C1435" s="50"/>
      <c r="D1435" s="15"/>
    </row>
    <row r="1436" spans="2:4" x14ac:dyDescent="0.25">
      <c r="B1436" s="68"/>
      <c r="C1436" s="50"/>
      <c r="D1436" s="15"/>
    </row>
    <row r="1437" spans="2:4" x14ac:dyDescent="0.25">
      <c r="B1437" s="68"/>
      <c r="C1437" s="50"/>
      <c r="D1437" s="15"/>
    </row>
    <row r="1438" spans="2:4" x14ac:dyDescent="0.25">
      <c r="B1438" s="68"/>
      <c r="C1438" s="50"/>
      <c r="D1438" s="15"/>
    </row>
    <row r="1439" spans="2:4" x14ac:dyDescent="0.25">
      <c r="B1439" s="68"/>
      <c r="C1439" s="50"/>
      <c r="D1439" s="15"/>
    </row>
    <row r="1440" spans="2:4" x14ac:dyDescent="0.25">
      <c r="B1440" s="68"/>
      <c r="C1440" s="50"/>
      <c r="D1440" s="15"/>
    </row>
    <row r="1441" spans="2:4" x14ac:dyDescent="0.25">
      <c r="B1441" s="68"/>
      <c r="C1441" s="50"/>
      <c r="D1441" s="15"/>
    </row>
    <row r="1442" spans="2:4" x14ac:dyDescent="0.25">
      <c r="B1442" s="68"/>
      <c r="C1442" s="50"/>
      <c r="D1442" s="15"/>
    </row>
    <row r="1443" spans="2:4" x14ac:dyDescent="0.25">
      <c r="B1443" s="68"/>
      <c r="C1443" s="50"/>
      <c r="D1443" s="15"/>
    </row>
    <row r="1444" spans="2:4" x14ac:dyDescent="0.25">
      <c r="B1444" s="68"/>
      <c r="C1444" s="50"/>
      <c r="D1444" s="15"/>
    </row>
    <row r="1445" spans="2:4" x14ac:dyDescent="0.25">
      <c r="B1445" s="68"/>
      <c r="C1445" s="50"/>
      <c r="D1445" s="15"/>
    </row>
    <row r="1446" spans="2:4" x14ac:dyDescent="0.25">
      <c r="B1446" s="68"/>
      <c r="C1446" s="50"/>
      <c r="D1446" s="15"/>
    </row>
    <row r="1447" spans="2:4" x14ac:dyDescent="0.25">
      <c r="B1447" s="68"/>
      <c r="C1447" s="50"/>
      <c r="D1447" s="15"/>
    </row>
    <row r="1448" spans="2:4" x14ac:dyDescent="0.25">
      <c r="B1448" s="68"/>
      <c r="C1448" s="50"/>
      <c r="D1448" s="15"/>
    </row>
    <row r="1449" spans="2:4" x14ac:dyDescent="0.25">
      <c r="B1449" s="68"/>
      <c r="C1449" s="50"/>
      <c r="D1449" s="15"/>
    </row>
    <row r="1450" spans="2:4" x14ac:dyDescent="0.25">
      <c r="B1450" s="68"/>
      <c r="C1450" s="50"/>
      <c r="D1450" s="15"/>
    </row>
    <row r="1451" spans="2:4" x14ac:dyDescent="0.25">
      <c r="B1451" s="68"/>
      <c r="C1451" s="50"/>
      <c r="D1451" s="15"/>
    </row>
    <row r="1452" spans="2:4" x14ac:dyDescent="0.25">
      <c r="B1452" s="68"/>
      <c r="C1452" s="50"/>
      <c r="D1452" s="15"/>
    </row>
    <row r="1453" spans="2:4" x14ac:dyDescent="0.25">
      <c r="B1453" s="68"/>
      <c r="C1453" s="50"/>
      <c r="D1453" s="15"/>
    </row>
    <row r="1454" spans="2:4" x14ac:dyDescent="0.25">
      <c r="B1454" s="68"/>
      <c r="C1454" s="50"/>
      <c r="D1454" s="15"/>
    </row>
    <row r="1455" spans="2:4" x14ac:dyDescent="0.25">
      <c r="B1455" s="68"/>
      <c r="C1455" s="50"/>
      <c r="D1455" s="15"/>
    </row>
    <row r="1456" spans="2:4" x14ac:dyDescent="0.25">
      <c r="B1456" s="68"/>
      <c r="C1456" s="50"/>
      <c r="D1456" s="15"/>
    </row>
    <row r="1457" spans="2:4" x14ac:dyDescent="0.25">
      <c r="B1457" s="68"/>
      <c r="C1457" s="50"/>
      <c r="D1457" s="15"/>
    </row>
    <row r="1458" spans="2:4" x14ac:dyDescent="0.25">
      <c r="B1458" s="68"/>
      <c r="C1458" s="50"/>
      <c r="D1458" s="15"/>
    </row>
    <row r="1459" spans="2:4" x14ac:dyDescent="0.25">
      <c r="B1459" s="68"/>
      <c r="C1459" s="50"/>
      <c r="D1459" s="15"/>
    </row>
    <row r="1460" spans="2:4" x14ac:dyDescent="0.25">
      <c r="B1460" s="68"/>
      <c r="C1460" s="50"/>
      <c r="D1460" s="15"/>
    </row>
    <row r="1461" spans="2:4" x14ac:dyDescent="0.25">
      <c r="B1461" s="68"/>
      <c r="C1461" s="50"/>
      <c r="D1461" s="15"/>
    </row>
    <row r="1462" spans="2:4" x14ac:dyDescent="0.25">
      <c r="B1462" s="68"/>
      <c r="C1462" s="50"/>
      <c r="D1462" s="15"/>
    </row>
    <row r="1463" spans="2:4" x14ac:dyDescent="0.25">
      <c r="B1463" s="68"/>
      <c r="C1463" s="50"/>
      <c r="D1463" s="15"/>
    </row>
    <row r="1464" spans="2:4" x14ac:dyDescent="0.25">
      <c r="B1464" s="68"/>
      <c r="C1464" s="50"/>
      <c r="D1464" s="15"/>
    </row>
    <row r="1465" spans="2:4" x14ac:dyDescent="0.25">
      <c r="B1465" s="68"/>
      <c r="C1465" s="50"/>
      <c r="D1465" s="15"/>
    </row>
    <row r="1466" spans="2:4" x14ac:dyDescent="0.25">
      <c r="B1466" s="68"/>
      <c r="C1466" s="50"/>
      <c r="D1466" s="15"/>
    </row>
    <row r="1467" spans="2:4" x14ac:dyDescent="0.25">
      <c r="B1467" s="68"/>
      <c r="C1467" s="50"/>
      <c r="D1467" s="15"/>
    </row>
    <row r="1468" spans="2:4" x14ac:dyDescent="0.25">
      <c r="B1468" s="68"/>
      <c r="C1468" s="50"/>
      <c r="D1468" s="15"/>
    </row>
    <row r="1469" spans="2:4" x14ac:dyDescent="0.25">
      <c r="B1469" s="68"/>
      <c r="C1469" s="50"/>
      <c r="D1469" s="15"/>
    </row>
    <row r="1470" spans="2:4" x14ac:dyDescent="0.25">
      <c r="B1470" s="68"/>
      <c r="C1470" s="50"/>
      <c r="D1470" s="15"/>
    </row>
    <row r="1471" spans="2:4" x14ac:dyDescent="0.25">
      <c r="B1471" s="68"/>
      <c r="C1471" s="50"/>
      <c r="D1471" s="15"/>
    </row>
    <row r="1472" spans="2:4" x14ac:dyDescent="0.25">
      <c r="B1472" s="68"/>
      <c r="C1472" s="50"/>
      <c r="D1472" s="15"/>
    </row>
    <row r="1473" spans="2:4" x14ac:dyDescent="0.25">
      <c r="B1473" s="68"/>
      <c r="C1473" s="50"/>
      <c r="D1473" s="15"/>
    </row>
    <row r="1474" spans="2:4" x14ac:dyDescent="0.25">
      <c r="B1474" s="68"/>
      <c r="C1474" s="50"/>
      <c r="D1474" s="15"/>
    </row>
    <row r="1475" spans="2:4" x14ac:dyDescent="0.25">
      <c r="B1475" s="68"/>
      <c r="C1475" s="50"/>
      <c r="D1475" s="15"/>
    </row>
    <row r="1476" spans="2:4" x14ac:dyDescent="0.25">
      <c r="B1476" s="68"/>
      <c r="C1476" s="50"/>
      <c r="D1476" s="15"/>
    </row>
    <row r="1477" spans="2:4" x14ac:dyDescent="0.25">
      <c r="B1477" s="68"/>
      <c r="C1477" s="50"/>
      <c r="D1477" s="15"/>
    </row>
    <row r="1478" spans="2:4" x14ac:dyDescent="0.25">
      <c r="B1478" s="68"/>
      <c r="C1478" s="50"/>
      <c r="D1478" s="15"/>
    </row>
    <row r="1479" spans="2:4" x14ac:dyDescent="0.25">
      <c r="B1479" s="68"/>
      <c r="C1479" s="50"/>
      <c r="D1479" s="15"/>
    </row>
    <row r="1480" spans="2:4" x14ac:dyDescent="0.25">
      <c r="B1480" s="68"/>
      <c r="C1480" s="50"/>
      <c r="D1480" s="15"/>
    </row>
    <row r="1481" spans="2:4" x14ac:dyDescent="0.25">
      <c r="B1481" s="68"/>
      <c r="C1481" s="50"/>
      <c r="D1481" s="15"/>
    </row>
    <row r="1482" spans="2:4" x14ac:dyDescent="0.25">
      <c r="B1482" s="68"/>
      <c r="C1482" s="50"/>
      <c r="D1482" s="15"/>
    </row>
    <row r="1483" spans="2:4" x14ac:dyDescent="0.25">
      <c r="B1483" s="68"/>
      <c r="C1483" s="50"/>
      <c r="D1483" s="15"/>
    </row>
    <row r="1484" spans="2:4" x14ac:dyDescent="0.25">
      <c r="B1484" s="68"/>
      <c r="C1484" s="50"/>
      <c r="D1484" s="15"/>
    </row>
    <row r="1485" spans="2:4" x14ac:dyDescent="0.25">
      <c r="B1485" s="68"/>
      <c r="C1485" s="50"/>
      <c r="D1485" s="15"/>
    </row>
    <row r="1486" spans="2:4" x14ac:dyDescent="0.25">
      <c r="B1486" s="68"/>
      <c r="C1486" s="50"/>
      <c r="D1486" s="15"/>
    </row>
    <row r="1487" spans="2:4" x14ac:dyDescent="0.25">
      <c r="B1487" s="68"/>
      <c r="C1487" s="50"/>
      <c r="D1487" s="15"/>
    </row>
    <row r="1488" spans="2:4" x14ac:dyDescent="0.25">
      <c r="B1488" s="68"/>
      <c r="C1488" s="50"/>
      <c r="D1488" s="15"/>
    </row>
    <row r="1489" spans="2:4" x14ac:dyDescent="0.25">
      <c r="B1489" s="68"/>
      <c r="C1489" s="50"/>
      <c r="D1489" s="15"/>
    </row>
    <row r="1490" spans="2:4" x14ac:dyDescent="0.25">
      <c r="B1490" s="68"/>
      <c r="C1490" s="50"/>
      <c r="D1490" s="15"/>
    </row>
    <row r="1491" spans="2:4" x14ac:dyDescent="0.25">
      <c r="B1491" s="68"/>
      <c r="C1491" s="50"/>
      <c r="D1491" s="15"/>
    </row>
    <row r="1492" spans="2:4" x14ac:dyDescent="0.25">
      <c r="B1492" s="68"/>
      <c r="C1492" s="50"/>
      <c r="D1492" s="15"/>
    </row>
    <row r="1493" spans="2:4" x14ac:dyDescent="0.25">
      <c r="B1493" s="68"/>
      <c r="C1493" s="50"/>
      <c r="D1493" s="15"/>
    </row>
    <row r="1494" spans="2:4" x14ac:dyDescent="0.25">
      <c r="B1494" s="68"/>
      <c r="C1494" s="50"/>
      <c r="D1494" s="15"/>
    </row>
    <row r="1495" spans="2:4" x14ac:dyDescent="0.25">
      <c r="B1495" s="68"/>
      <c r="C1495" s="50"/>
      <c r="D1495" s="15"/>
    </row>
    <row r="1496" spans="2:4" x14ac:dyDescent="0.25">
      <c r="B1496" s="68"/>
      <c r="C1496" s="50"/>
      <c r="D1496" s="15"/>
    </row>
    <row r="1497" spans="2:4" x14ac:dyDescent="0.25">
      <c r="B1497" s="68"/>
      <c r="C1497" s="50"/>
      <c r="D1497" s="15"/>
    </row>
    <row r="1498" spans="2:4" x14ac:dyDescent="0.25">
      <c r="B1498" s="68"/>
      <c r="C1498" s="50"/>
      <c r="D1498" s="15"/>
    </row>
    <row r="1499" spans="2:4" x14ac:dyDescent="0.25">
      <c r="B1499" s="68"/>
      <c r="C1499" s="50"/>
      <c r="D1499" s="15"/>
    </row>
    <row r="1500" spans="2:4" x14ac:dyDescent="0.25">
      <c r="B1500" s="68"/>
      <c r="C1500" s="50"/>
      <c r="D1500" s="15"/>
    </row>
    <row r="1501" spans="2:4" x14ac:dyDescent="0.25">
      <c r="B1501" s="68"/>
      <c r="C1501" s="50"/>
      <c r="D1501" s="15"/>
    </row>
    <row r="1502" spans="2:4" x14ac:dyDescent="0.25">
      <c r="B1502" s="68"/>
      <c r="C1502" s="50"/>
      <c r="D1502" s="15"/>
    </row>
    <row r="1503" spans="2:4" x14ac:dyDescent="0.25">
      <c r="B1503" s="68"/>
      <c r="C1503" s="50"/>
      <c r="D1503" s="15"/>
    </row>
    <row r="1504" spans="2:4" x14ac:dyDescent="0.25">
      <c r="B1504" s="68"/>
      <c r="C1504" s="50"/>
      <c r="D1504" s="15"/>
    </row>
    <row r="1505" spans="2:4" x14ac:dyDescent="0.25">
      <c r="B1505" s="68"/>
      <c r="C1505" s="50"/>
      <c r="D1505" s="15"/>
    </row>
    <row r="1506" spans="2:4" x14ac:dyDescent="0.25">
      <c r="B1506" s="68"/>
      <c r="C1506" s="50"/>
      <c r="D1506" s="15"/>
    </row>
    <row r="1507" spans="2:4" x14ac:dyDescent="0.25">
      <c r="B1507" s="68"/>
      <c r="C1507" s="50"/>
      <c r="D1507" s="15"/>
    </row>
    <row r="1508" spans="2:4" x14ac:dyDescent="0.25">
      <c r="B1508" s="68"/>
      <c r="C1508" s="50"/>
      <c r="D1508" s="15"/>
    </row>
    <row r="1509" spans="2:4" x14ac:dyDescent="0.25">
      <c r="B1509" s="68"/>
      <c r="C1509" s="50"/>
      <c r="D1509" s="15"/>
    </row>
    <row r="1510" spans="2:4" x14ac:dyDescent="0.25">
      <c r="B1510" s="68"/>
      <c r="C1510" s="50"/>
      <c r="D1510" s="15"/>
    </row>
    <row r="1511" spans="2:4" x14ac:dyDescent="0.25">
      <c r="B1511" s="68"/>
      <c r="C1511" s="50"/>
      <c r="D1511" s="15"/>
    </row>
    <row r="1512" spans="2:4" x14ac:dyDescent="0.25">
      <c r="B1512" s="68"/>
      <c r="C1512" s="50"/>
      <c r="D1512" s="15"/>
    </row>
    <row r="1513" spans="2:4" x14ac:dyDescent="0.25">
      <c r="B1513" s="68"/>
      <c r="C1513" s="50"/>
      <c r="D1513" s="15"/>
    </row>
    <row r="1514" spans="2:4" x14ac:dyDescent="0.25">
      <c r="B1514" s="68"/>
      <c r="C1514" s="50"/>
      <c r="D1514" s="15"/>
    </row>
    <row r="1515" spans="2:4" x14ac:dyDescent="0.25">
      <c r="B1515" s="68"/>
      <c r="C1515" s="50"/>
      <c r="D1515" s="15"/>
    </row>
    <row r="1516" spans="2:4" x14ac:dyDescent="0.25">
      <c r="B1516" s="68"/>
      <c r="C1516" s="50"/>
      <c r="D1516" s="15"/>
    </row>
    <row r="1517" spans="2:4" x14ac:dyDescent="0.25">
      <c r="B1517" s="68"/>
      <c r="C1517" s="50"/>
      <c r="D1517" s="15"/>
    </row>
    <row r="1518" spans="2:4" x14ac:dyDescent="0.25">
      <c r="B1518" s="68"/>
      <c r="C1518" s="50"/>
      <c r="D1518" s="15"/>
    </row>
    <row r="1519" spans="2:4" x14ac:dyDescent="0.25">
      <c r="B1519" s="68"/>
      <c r="C1519" s="50"/>
      <c r="D1519" s="15"/>
    </row>
    <row r="1520" spans="2:4" x14ac:dyDescent="0.25">
      <c r="B1520" s="68"/>
      <c r="C1520" s="50"/>
      <c r="D1520" s="15"/>
    </row>
    <row r="1521" spans="2:4" x14ac:dyDescent="0.25">
      <c r="B1521" s="68"/>
      <c r="C1521" s="50"/>
      <c r="D1521" s="15"/>
    </row>
    <row r="1522" spans="2:4" x14ac:dyDescent="0.25">
      <c r="B1522" s="68"/>
      <c r="C1522" s="50"/>
      <c r="D1522" s="15"/>
    </row>
    <row r="1523" spans="2:4" x14ac:dyDescent="0.25">
      <c r="B1523" s="68"/>
      <c r="C1523" s="50"/>
      <c r="D1523" s="15"/>
    </row>
    <row r="1524" spans="2:4" x14ac:dyDescent="0.25">
      <c r="B1524" s="68"/>
      <c r="C1524" s="50"/>
      <c r="D1524" s="15"/>
    </row>
    <row r="1525" spans="2:4" x14ac:dyDescent="0.25">
      <c r="B1525" s="68"/>
      <c r="C1525" s="50"/>
      <c r="D1525" s="15"/>
    </row>
    <row r="1526" spans="2:4" x14ac:dyDescent="0.25">
      <c r="B1526" s="68"/>
      <c r="C1526" s="50"/>
      <c r="D1526" s="15"/>
    </row>
    <row r="1527" spans="2:4" x14ac:dyDescent="0.25">
      <c r="B1527" s="68"/>
      <c r="C1527" s="50"/>
      <c r="D1527" s="15"/>
    </row>
    <row r="1528" spans="2:4" x14ac:dyDescent="0.25">
      <c r="B1528" s="68"/>
      <c r="C1528" s="50"/>
      <c r="D1528" s="15"/>
    </row>
    <row r="1529" spans="2:4" x14ac:dyDescent="0.25">
      <c r="B1529" s="68"/>
      <c r="C1529" s="50"/>
      <c r="D1529" s="15"/>
    </row>
    <row r="1530" spans="2:4" x14ac:dyDescent="0.25">
      <c r="B1530" s="68"/>
      <c r="C1530" s="50"/>
      <c r="D1530" s="15"/>
    </row>
    <row r="1531" spans="2:4" x14ac:dyDescent="0.25">
      <c r="B1531" s="68"/>
      <c r="C1531" s="50"/>
      <c r="D1531" s="15"/>
    </row>
    <row r="1532" spans="2:4" x14ac:dyDescent="0.25">
      <c r="B1532" s="68"/>
      <c r="C1532" s="50"/>
      <c r="D1532" s="15"/>
    </row>
    <row r="1533" spans="2:4" x14ac:dyDescent="0.25">
      <c r="B1533" s="68"/>
      <c r="C1533" s="50"/>
      <c r="D1533" s="15"/>
    </row>
    <row r="1534" spans="2:4" x14ac:dyDescent="0.25">
      <c r="B1534" s="68"/>
      <c r="C1534" s="50"/>
      <c r="D1534" s="15"/>
    </row>
    <row r="1535" spans="2:4" x14ac:dyDescent="0.25">
      <c r="B1535" s="68"/>
      <c r="C1535" s="50"/>
      <c r="D1535" s="15"/>
    </row>
    <row r="1536" spans="2:4" x14ac:dyDescent="0.25">
      <c r="B1536" s="68"/>
      <c r="C1536" s="50"/>
      <c r="D1536" s="15"/>
    </row>
    <row r="1537" spans="2:4" x14ac:dyDescent="0.25">
      <c r="B1537" s="68"/>
      <c r="C1537" s="50"/>
      <c r="D1537" s="15"/>
    </row>
    <row r="1538" spans="2:4" x14ac:dyDescent="0.25">
      <c r="B1538" s="68"/>
      <c r="C1538" s="50"/>
      <c r="D1538" s="15"/>
    </row>
    <row r="1539" spans="2:4" x14ac:dyDescent="0.25">
      <c r="B1539" s="68"/>
      <c r="C1539" s="50"/>
      <c r="D1539" s="15"/>
    </row>
    <row r="1540" spans="2:4" x14ac:dyDescent="0.25">
      <c r="B1540" s="68"/>
      <c r="C1540" s="50"/>
      <c r="D1540" s="15"/>
    </row>
    <row r="1541" spans="2:4" x14ac:dyDescent="0.25">
      <c r="B1541" s="68"/>
      <c r="C1541" s="50"/>
      <c r="D1541" s="15"/>
    </row>
    <row r="1542" spans="2:4" x14ac:dyDescent="0.25">
      <c r="B1542" s="68"/>
      <c r="C1542" s="50"/>
      <c r="D1542" s="15"/>
    </row>
    <row r="1543" spans="2:4" x14ac:dyDescent="0.25">
      <c r="B1543" s="68"/>
      <c r="C1543" s="50"/>
      <c r="D1543" s="15"/>
    </row>
    <row r="1544" spans="2:4" x14ac:dyDescent="0.25">
      <c r="B1544" s="68"/>
      <c r="C1544" s="50"/>
      <c r="D1544" s="15"/>
    </row>
    <row r="1545" spans="2:4" x14ac:dyDescent="0.25">
      <c r="B1545" s="68"/>
      <c r="C1545" s="50"/>
      <c r="D1545" s="15"/>
    </row>
    <row r="1546" spans="2:4" x14ac:dyDescent="0.25">
      <c r="B1546" s="68"/>
      <c r="C1546" s="50"/>
      <c r="D1546" s="15"/>
    </row>
    <row r="1547" spans="2:4" x14ac:dyDescent="0.25">
      <c r="B1547" s="68"/>
      <c r="C1547" s="50"/>
      <c r="D1547" s="15"/>
    </row>
    <row r="1548" spans="2:4" x14ac:dyDescent="0.25">
      <c r="B1548" s="68"/>
      <c r="C1548" s="50"/>
      <c r="D1548" s="15"/>
    </row>
    <row r="1549" spans="2:4" x14ac:dyDescent="0.25">
      <c r="B1549" s="68"/>
      <c r="C1549" s="50"/>
      <c r="D1549" s="15"/>
    </row>
    <row r="1550" spans="2:4" x14ac:dyDescent="0.25">
      <c r="B1550" s="68"/>
      <c r="C1550" s="50"/>
      <c r="D1550" s="15"/>
    </row>
    <row r="1551" spans="2:4" x14ac:dyDescent="0.25">
      <c r="B1551" s="68"/>
      <c r="C1551" s="50"/>
      <c r="D1551" s="15"/>
    </row>
    <row r="1552" spans="2:4" x14ac:dyDescent="0.25">
      <c r="B1552" s="68"/>
      <c r="C1552" s="50"/>
      <c r="D1552" s="15"/>
    </row>
    <row r="1553" spans="2:4" x14ac:dyDescent="0.25">
      <c r="B1553" s="68"/>
      <c r="C1553" s="50"/>
      <c r="D1553" s="15"/>
    </row>
    <row r="1554" spans="2:4" x14ac:dyDescent="0.25">
      <c r="B1554" s="68"/>
      <c r="C1554" s="50"/>
      <c r="D1554" s="15"/>
    </row>
    <row r="1555" spans="2:4" x14ac:dyDescent="0.25">
      <c r="B1555" s="68"/>
      <c r="C1555" s="50"/>
      <c r="D1555" s="15"/>
    </row>
    <row r="1556" spans="2:4" x14ac:dyDescent="0.25">
      <c r="B1556" s="68"/>
      <c r="C1556" s="50"/>
      <c r="D1556" s="15"/>
    </row>
    <row r="1557" spans="2:4" x14ac:dyDescent="0.25">
      <c r="B1557" s="68"/>
      <c r="C1557" s="50"/>
      <c r="D1557" s="15"/>
    </row>
    <row r="1558" spans="2:4" x14ac:dyDescent="0.25">
      <c r="B1558" s="68"/>
      <c r="C1558" s="50"/>
      <c r="D1558" s="15"/>
    </row>
    <row r="1559" spans="2:4" x14ac:dyDescent="0.25">
      <c r="B1559" s="68"/>
      <c r="C1559" s="50"/>
      <c r="D1559" s="15"/>
    </row>
    <row r="1560" spans="2:4" x14ac:dyDescent="0.25">
      <c r="B1560" s="68"/>
      <c r="C1560" s="50"/>
      <c r="D1560" s="15"/>
    </row>
    <row r="1561" spans="2:4" x14ac:dyDescent="0.25">
      <c r="B1561" s="68"/>
      <c r="C1561" s="50"/>
      <c r="D1561" s="15"/>
    </row>
    <row r="1562" spans="2:4" x14ac:dyDescent="0.25">
      <c r="B1562" s="68"/>
      <c r="C1562" s="50"/>
      <c r="D1562" s="15"/>
    </row>
    <row r="1563" spans="2:4" x14ac:dyDescent="0.25">
      <c r="B1563" s="68"/>
      <c r="C1563" s="50"/>
      <c r="D1563" s="15"/>
    </row>
    <row r="1564" spans="2:4" x14ac:dyDescent="0.25">
      <c r="B1564" s="68"/>
      <c r="C1564" s="50"/>
      <c r="D1564" s="15"/>
    </row>
    <row r="1565" spans="2:4" x14ac:dyDescent="0.25">
      <c r="B1565" s="68"/>
      <c r="C1565" s="50"/>
      <c r="D1565" s="15"/>
    </row>
    <row r="1566" spans="2:4" x14ac:dyDescent="0.25">
      <c r="B1566" s="68"/>
      <c r="C1566" s="50"/>
      <c r="D1566" s="15"/>
    </row>
    <row r="1567" spans="2:4" x14ac:dyDescent="0.25">
      <c r="B1567" s="68"/>
      <c r="C1567" s="50"/>
      <c r="D1567" s="15"/>
    </row>
    <row r="1568" spans="2:4" x14ac:dyDescent="0.25">
      <c r="B1568" s="68"/>
      <c r="C1568" s="50"/>
      <c r="D1568" s="15"/>
    </row>
    <row r="1569" spans="2:4" x14ac:dyDescent="0.25">
      <c r="B1569" s="68"/>
      <c r="C1569" s="50"/>
      <c r="D1569" s="15"/>
    </row>
    <row r="1570" spans="2:4" x14ac:dyDescent="0.25">
      <c r="B1570" s="68"/>
      <c r="C1570" s="50"/>
      <c r="D1570" s="15"/>
    </row>
    <row r="1571" spans="2:4" x14ac:dyDescent="0.25">
      <c r="B1571" s="68"/>
      <c r="C1571" s="50"/>
      <c r="D1571" s="15"/>
    </row>
    <row r="1572" spans="2:4" x14ac:dyDescent="0.25">
      <c r="B1572" s="68"/>
      <c r="C1572" s="50"/>
      <c r="D1572" s="15"/>
    </row>
    <row r="1573" spans="2:4" x14ac:dyDescent="0.25">
      <c r="B1573" s="68"/>
      <c r="C1573" s="50"/>
      <c r="D1573" s="15"/>
    </row>
    <row r="1574" spans="2:4" x14ac:dyDescent="0.25">
      <c r="B1574" s="68"/>
      <c r="C1574" s="50"/>
      <c r="D1574" s="15"/>
    </row>
    <row r="1575" spans="2:4" x14ac:dyDescent="0.25">
      <c r="B1575" s="68"/>
      <c r="C1575" s="50"/>
      <c r="D1575" s="15"/>
    </row>
    <row r="1576" spans="2:4" x14ac:dyDescent="0.25">
      <c r="B1576" s="68"/>
      <c r="C1576" s="50"/>
      <c r="D1576" s="15"/>
    </row>
    <row r="1577" spans="2:4" x14ac:dyDescent="0.25">
      <c r="B1577" s="68"/>
      <c r="C1577" s="50"/>
      <c r="D1577" s="15"/>
    </row>
    <row r="1578" spans="2:4" x14ac:dyDescent="0.25">
      <c r="B1578" s="68"/>
      <c r="C1578" s="50"/>
      <c r="D1578" s="15"/>
    </row>
    <row r="1579" spans="2:4" x14ac:dyDescent="0.25">
      <c r="B1579" s="68"/>
      <c r="C1579" s="50"/>
      <c r="D1579" s="15"/>
    </row>
    <row r="1580" spans="2:4" x14ac:dyDescent="0.25">
      <c r="B1580" s="68"/>
      <c r="C1580" s="50"/>
      <c r="D1580" s="15"/>
    </row>
    <row r="1581" spans="2:4" x14ac:dyDescent="0.25">
      <c r="B1581" s="68"/>
      <c r="C1581" s="50"/>
      <c r="D1581" s="15"/>
    </row>
    <row r="1582" spans="2:4" x14ac:dyDescent="0.25">
      <c r="B1582" s="68"/>
      <c r="C1582" s="50"/>
      <c r="D1582" s="15"/>
    </row>
    <row r="1583" spans="2:4" x14ac:dyDescent="0.25">
      <c r="B1583" s="68"/>
      <c r="C1583" s="50"/>
      <c r="D1583" s="15"/>
    </row>
    <row r="1584" spans="2:4" x14ac:dyDescent="0.25">
      <c r="B1584" s="68"/>
      <c r="C1584" s="50"/>
      <c r="D1584" s="15"/>
    </row>
    <row r="1585" spans="2:4" x14ac:dyDescent="0.25">
      <c r="B1585" s="68"/>
      <c r="C1585" s="50"/>
      <c r="D1585" s="15"/>
    </row>
    <row r="1586" spans="2:4" x14ac:dyDescent="0.25">
      <c r="B1586" s="68"/>
      <c r="C1586" s="50"/>
      <c r="D1586" s="15"/>
    </row>
    <row r="1587" spans="2:4" x14ac:dyDescent="0.25">
      <c r="B1587" s="68"/>
      <c r="C1587" s="50"/>
      <c r="D1587" s="15"/>
    </row>
    <row r="1588" spans="2:4" x14ac:dyDescent="0.25">
      <c r="B1588" s="68"/>
      <c r="C1588" s="50"/>
      <c r="D1588" s="15"/>
    </row>
    <row r="1589" spans="2:4" x14ac:dyDescent="0.25">
      <c r="B1589" s="68"/>
      <c r="C1589" s="50"/>
      <c r="D1589" s="15"/>
    </row>
    <row r="1590" spans="2:4" x14ac:dyDescent="0.25">
      <c r="B1590" s="68"/>
      <c r="C1590" s="50"/>
      <c r="D1590" s="15"/>
    </row>
    <row r="1591" spans="2:4" x14ac:dyDescent="0.25">
      <c r="B1591" s="68"/>
      <c r="C1591" s="50"/>
      <c r="D1591" s="15"/>
    </row>
    <row r="1592" spans="2:4" x14ac:dyDescent="0.25">
      <c r="B1592" s="68"/>
      <c r="C1592" s="50"/>
      <c r="D1592" s="15"/>
    </row>
    <row r="1593" spans="2:4" x14ac:dyDescent="0.25">
      <c r="B1593" s="68"/>
      <c r="C1593" s="50"/>
      <c r="D1593" s="15"/>
    </row>
    <row r="1594" spans="2:4" x14ac:dyDescent="0.25">
      <c r="B1594" s="68"/>
      <c r="C1594" s="50"/>
      <c r="D1594" s="15"/>
    </row>
    <row r="1595" spans="2:4" x14ac:dyDescent="0.25">
      <c r="B1595" s="68"/>
      <c r="C1595" s="50"/>
      <c r="D1595" s="15"/>
    </row>
    <row r="1596" spans="2:4" x14ac:dyDescent="0.25">
      <c r="B1596" s="68"/>
      <c r="C1596" s="50"/>
      <c r="D1596" s="15"/>
    </row>
    <row r="1597" spans="2:4" x14ac:dyDescent="0.25">
      <c r="B1597" s="68"/>
      <c r="C1597" s="50"/>
      <c r="D1597" s="15"/>
    </row>
    <row r="1598" spans="2:4" x14ac:dyDescent="0.25">
      <c r="B1598" s="68"/>
      <c r="C1598" s="50"/>
      <c r="D1598" s="15"/>
    </row>
    <row r="1599" spans="2:4" x14ac:dyDescent="0.25">
      <c r="B1599" s="68"/>
      <c r="C1599" s="50"/>
      <c r="D1599" s="15"/>
    </row>
    <row r="1600" spans="2:4" x14ac:dyDescent="0.25">
      <c r="B1600" s="68"/>
      <c r="C1600" s="50"/>
      <c r="D1600" s="15"/>
    </row>
    <row r="1601" spans="2:4" x14ac:dyDescent="0.25">
      <c r="B1601" s="68"/>
      <c r="C1601" s="50"/>
      <c r="D1601" s="15"/>
    </row>
    <row r="1602" spans="2:4" x14ac:dyDescent="0.25">
      <c r="B1602" s="68"/>
      <c r="C1602" s="50"/>
      <c r="D1602" s="15"/>
    </row>
    <row r="1603" spans="2:4" x14ac:dyDescent="0.25">
      <c r="B1603" s="68"/>
      <c r="C1603" s="50"/>
      <c r="D1603" s="15"/>
    </row>
    <row r="1604" spans="2:4" x14ac:dyDescent="0.25">
      <c r="B1604" s="68"/>
      <c r="C1604" s="50"/>
      <c r="D1604" s="15"/>
    </row>
    <row r="1605" spans="2:4" x14ac:dyDescent="0.25">
      <c r="B1605" s="68"/>
      <c r="C1605" s="50"/>
      <c r="D1605" s="15"/>
    </row>
    <row r="1606" spans="2:4" x14ac:dyDescent="0.25">
      <c r="B1606" s="68"/>
      <c r="C1606" s="50"/>
      <c r="D1606" s="15"/>
    </row>
    <row r="1607" spans="2:4" x14ac:dyDescent="0.25">
      <c r="B1607" s="68"/>
      <c r="C1607" s="50"/>
      <c r="D1607" s="15"/>
    </row>
    <row r="1608" spans="2:4" x14ac:dyDescent="0.25">
      <c r="B1608" s="68"/>
      <c r="C1608" s="50"/>
      <c r="D1608" s="15"/>
    </row>
    <row r="1609" spans="2:4" x14ac:dyDescent="0.25">
      <c r="B1609" s="68"/>
      <c r="C1609" s="50"/>
      <c r="D1609" s="15"/>
    </row>
    <row r="1610" spans="2:4" x14ac:dyDescent="0.25">
      <c r="B1610" s="68"/>
      <c r="C1610" s="50"/>
      <c r="D1610" s="15"/>
    </row>
    <row r="1611" spans="2:4" x14ac:dyDescent="0.25">
      <c r="B1611" s="68"/>
      <c r="C1611" s="50"/>
      <c r="D1611" s="15"/>
    </row>
    <row r="1612" spans="2:4" x14ac:dyDescent="0.25">
      <c r="B1612" s="68"/>
      <c r="C1612" s="50"/>
      <c r="D1612" s="15"/>
    </row>
    <row r="1613" spans="2:4" x14ac:dyDescent="0.25">
      <c r="B1613" s="68"/>
      <c r="C1613" s="50"/>
      <c r="D1613" s="15"/>
    </row>
    <row r="1614" spans="2:4" x14ac:dyDescent="0.25">
      <c r="B1614" s="68"/>
      <c r="C1614" s="50"/>
      <c r="D1614" s="15"/>
    </row>
    <row r="1615" spans="2:4" x14ac:dyDescent="0.25">
      <c r="B1615" s="68"/>
      <c r="C1615" s="50"/>
      <c r="D1615" s="15"/>
    </row>
    <row r="1616" spans="2:4" x14ac:dyDescent="0.25">
      <c r="B1616" s="68"/>
      <c r="C1616" s="50"/>
      <c r="D1616" s="15"/>
    </row>
    <row r="1617" spans="2:4" x14ac:dyDescent="0.25">
      <c r="B1617" s="68"/>
      <c r="C1617" s="50"/>
      <c r="D1617" s="15"/>
    </row>
    <row r="1618" spans="2:4" x14ac:dyDescent="0.25">
      <c r="B1618" s="68"/>
      <c r="C1618" s="50"/>
      <c r="D1618" s="15"/>
    </row>
    <row r="1619" spans="2:4" x14ac:dyDescent="0.25">
      <c r="B1619" s="68"/>
      <c r="C1619" s="50"/>
      <c r="D1619" s="15"/>
    </row>
    <row r="1620" spans="2:4" x14ac:dyDescent="0.25">
      <c r="B1620" s="68"/>
      <c r="C1620" s="50"/>
      <c r="D1620" s="15"/>
    </row>
    <row r="1621" spans="2:4" x14ac:dyDescent="0.25">
      <c r="B1621" s="68"/>
      <c r="C1621" s="50"/>
      <c r="D1621" s="15"/>
    </row>
    <row r="1622" spans="2:4" x14ac:dyDescent="0.25">
      <c r="B1622" s="68"/>
      <c r="C1622" s="50"/>
      <c r="D1622" s="15"/>
    </row>
    <row r="1623" spans="2:4" x14ac:dyDescent="0.25">
      <c r="B1623" s="68"/>
      <c r="C1623" s="50"/>
      <c r="D1623" s="15"/>
    </row>
    <row r="1624" spans="2:4" x14ac:dyDescent="0.25">
      <c r="B1624" s="68"/>
      <c r="C1624" s="50"/>
      <c r="D1624" s="15"/>
    </row>
    <row r="1625" spans="2:4" x14ac:dyDescent="0.25">
      <c r="B1625" s="68"/>
      <c r="C1625" s="50"/>
      <c r="D1625" s="15"/>
    </row>
    <row r="1626" spans="2:4" x14ac:dyDescent="0.25">
      <c r="B1626" s="68"/>
      <c r="C1626" s="50"/>
      <c r="D1626" s="15"/>
    </row>
    <row r="1627" spans="2:4" x14ac:dyDescent="0.25">
      <c r="B1627" s="68"/>
      <c r="C1627" s="50"/>
      <c r="D1627" s="15"/>
    </row>
    <row r="1628" spans="2:4" x14ac:dyDescent="0.25">
      <c r="B1628" s="68"/>
      <c r="C1628" s="50"/>
      <c r="D1628" s="15"/>
    </row>
    <row r="1629" spans="2:4" x14ac:dyDescent="0.25">
      <c r="B1629" s="68"/>
      <c r="C1629" s="50"/>
      <c r="D1629" s="15"/>
    </row>
    <row r="1630" spans="2:4" x14ac:dyDescent="0.25">
      <c r="B1630" s="68"/>
      <c r="C1630" s="50"/>
      <c r="D1630" s="15"/>
    </row>
    <row r="1631" spans="2:4" x14ac:dyDescent="0.25">
      <c r="B1631" s="68"/>
      <c r="C1631" s="50"/>
      <c r="D1631" s="15"/>
    </row>
    <row r="1632" spans="2:4" x14ac:dyDescent="0.25">
      <c r="B1632" s="68"/>
      <c r="C1632" s="50"/>
      <c r="D1632" s="15"/>
    </row>
    <row r="1633" spans="2:4" x14ac:dyDescent="0.25">
      <c r="B1633" s="68"/>
      <c r="C1633" s="50"/>
      <c r="D1633" s="15"/>
    </row>
    <row r="1634" spans="2:4" x14ac:dyDescent="0.25">
      <c r="B1634" s="68"/>
      <c r="C1634" s="50"/>
      <c r="D1634" s="15"/>
    </row>
    <row r="1635" spans="2:4" x14ac:dyDescent="0.25">
      <c r="B1635" s="68"/>
      <c r="C1635" s="50"/>
      <c r="D1635" s="15"/>
    </row>
    <row r="1636" spans="2:4" x14ac:dyDescent="0.25">
      <c r="B1636" s="68"/>
      <c r="C1636" s="50"/>
      <c r="D1636" s="15"/>
    </row>
    <row r="1637" spans="2:4" x14ac:dyDescent="0.25">
      <c r="B1637" s="68"/>
      <c r="C1637" s="50"/>
      <c r="D1637" s="15"/>
    </row>
    <row r="1638" spans="2:4" x14ac:dyDescent="0.25">
      <c r="B1638" s="68"/>
      <c r="C1638" s="50"/>
      <c r="D1638" s="15"/>
    </row>
    <row r="1639" spans="2:4" x14ac:dyDescent="0.25">
      <c r="B1639" s="68"/>
      <c r="C1639" s="50"/>
      <c r="D1639" s="15"/>
    </row>
    <row r="1640" spans="2:4" x14ac:dyDescent="0.25">
      <c r="B1640" s="68"/>
      <c r="C1640" s="50"/>
      <c r="D1640" s="15"/>
    </row>
    <row r="1641" spans="2:4" x14ac:dyDescent="0.25">
      <c r="B1641" s="68"/>
      <c r="C1641" s="50"/>
      <c r="D1641" s="15"/>
    </row>
    <row r="1642" spans="2:4" x14ac:dyDescent="0.25">
      <c r="B1642" s="68"/>
      <c r="C1642" s="50"/>
      <c r="D1642" s="15"/>
    </row>
    <row r="1643" spans="2:4" x14ac:dyDescent="0.25">
      <c r="B1643" s="68"/>
      <c r="C1643" s="50"/>
      <c r="D1643" s="15"/>
    </row>
    <row r="1644" spans="2:4" x14ac:dyDescent="0.25">
      <c r="B1644" s="68"/>
      <c r="C1644" s="50"/>
      <c r="D1644" s="15"/>
    </row>
    <row r="1645" spans="2:4" x14ac:dyDescent="0.25">
      <c r="B1645" s="68"/>
      <c r="C1645" s="50"/>
      <c r="D1645" s="15"/>
    </row>
    <row r="1646" spans="2:4" x14ac:dyDescent="0.25">
      <c r="B1646" s="68"/>
      <c r="C1646" s="50"/>
      <c r="D1646" s="15"/>
    </row>
    <row r="1647" spans="2:4" x14ac:dyDescent="0.25">
      <c r="B1647" s="68"/>
      <c r="C1647" s="50"/>
      <c r="D1647" s="15"/>
    </row>
    <row r="1648" spans="2:4" x14ac:dyDescent="0.25">
      <c r="B1648" s="68"/>
      <c r="C1648" s="50"/>
      <c r="D1648" s="15"/>
    </row>
    <row r="1649" spans="2:4" x14ac:dyDescent="0.25">
      <c r="B1649" s="68"/>
      <c r="C1649" s="50"/>
      <c r="D1649" s="15"/>
    </row>
    <row r="1650" spans="2:4" x14ac:dyDescent="0.25">
      <c r="B1650" s="68"/>
      <c r="C1650" s="50"/>
      <c r="D1650" s="15"/>
    </row>
    <row r="1651" spans="2:4" x14ac:dyDescent="0.25">
      <c r="B1651" s="68"/>
      <c r="C1651" s="50"/>
      <c r="D1651" s="15"/>
    </row>
    <row r="1652" spans="2:4" x14ac:dyDescent="0.25">
      <c r="B1652" s="68"/>
      <c r="C1652" s="50"/>
      <c r="D1652" s="15"/>
    </row>
    <row r="1653" spans="2:4" x14ac:dyDescent="0.25">
      <c r="B1653" s="68"/>
      <c r="C1653" s="50"/>
      <c r="D1653" s="15"/>
    </row>
    <row r="1654" spans="2:4" x14ac:dyDescent="0.25">
      <c r="B1654" s="68"/>
      <c r="C1654" s="50"/>
      <c r="D1654" s="15"/>
    </row>
    <row r="1655" spans="2:4" x14ac:dyDescent="0.25">
      <c r="B1655" s="68"/>
      <c r="C1655" s="50"/>
      <c r="D1655" s="15"/>
    </row>
    <row r="1656" spans="2:4" x14ac:dyDescent="0.25">
      <c r="B1656" s="68"/>
      <c r="C1656" s="50"/>
      <c r="D1656" s="15"/>
    </row>
    <row r="1657" spans="2:4" x14ac:dyDescent="0.25">
      <c r="B1657" s="68"/>
      <c r="C1657" s="50"/>
      <c r="D1657" s="15"/>
    </row>
    <row r="1658" spans="2:4" x14ac:dyDescent="0.25">
      <c r="B1658" s="68"/>
      <c r="C1658" s="50"/>
      <c r="D1658" s="15"/>
    </row>
    <row r="1659" spans="2:4" x14ac:dyDescent="0.25">
      <c r="B1659" s="68"/>
      <c r="C1659" s="50"/>
      <c r="D1659" s="15"/>
    </row>
    <row r="1660" spans="2:4" x14ac:dyDescent="0.25">
      <c r="B1660" s="68"/>
      <c r="C1660" s="50"/>
      <c r="D1660" s="15"/>
    </row>
    <row r="1661" spans="2:4" x14ac:dyDescent="0.25">
      <c r="B1661" s="68"/>
      <c r="C1661" s="50"/>
      <c r="D1661" s="15"/>
    </row>
    <row r="1662" spans="2:4" x14ac:dyDescent="0.25">
      <c r="B1662" s="68"/>
      <c r="C1662" s="50"/>
      <c r="D1662" s="15"/>
    </row>
    <row r="1663" spans="2:4" x14ac:dyDescent="0.25">
      <c r="B1663" s="68"/>
      <c r="C1663" s="50"/>
      <c r="D1663" s="15"/>
    </row>
    <row r="1664" spans="2:4" x14ac:dyDescent="0.25">
      <c r="B1664" s="68"/>
      <c r="C1664" s="50"/>
      <c r="D1664" s="15"/>
    </row>
    <row r="1665" spans="2:4" x14ac:dyDescent="0.25">
      <c r="B1665" s="68"/>
      <c r="C1665" s="50"/>
      <c r="D1665" s="15"/>
    </row>
    <row r="1666" spans="2:4" x14ac:dyDescent="0.25">
      <c r="B1666" s="68"/>
      <c r="C1666" s="50"/>
      <c r="D1666" s="15"/>
    </row>
    <row r="1667" spans="2:4" x14ac:dyDescent="0.25">
      <c r="B1667" s="68"/>
      <c r="C1667" s="50"/>
      <c r="D1667" s="15"/>
    </row>
    <row r="1668" spans="2:4" x14ac:dyDescent="0.25">
      <c r="B1668" s="68"/>
      <c r="C1668" s="50"/>
      <c r="D1668" s="15"/>
    </row>
    <row r="1669" spans="2:4" x14ac:dyDescent="0.25">
      <c r="B1669" s="68"/>
      <c r="C1669" s="50"/>
      <c r="D1669" s="15"/>
    </row>
    <row r="1670" spans="2:4" x14ac:dyDescent="0.25">
      <c r="B1670" s="68"/>
      <c r="C1670" s="50"/>
      <c r="D1670" s="15"/>
    </row>
    <row r="1671" spans="2:4" x14ac:dyDescent="0.25">
      <c r="B1671" s="68"/>
      <c r="C1671" s="50"/>
      <c r="D1671" s="15"/>
    </row>
    <row r="1672" spans="2:4" x14ac:dyDescent="0.25">
      <c r="B1672" s="68"/>
      <c r="C1672" s="50"/>
      <c r="D1672" s="15"/>
    </row>
    <row r="1673" spans="2:4" x14ac:dyDescent="0.25">
      <c r="B1673" s="68"/>
      <c r="C1673" s="50"/>
      <c r="D1673" s="15"/>
    </row>
    <row r="1674" spans="2:4" x14ac:dyDescent="0.25">
      <c r="B1674" s="68"/>
      <c r="C1674" s="50"/>
      <c r="D1674" s="15"/>
    </row>
    <row r="1675" spans="2:4" x14ac:dyDescent="0.25">
      <c r="B1675" s="68"/>
      <c r="C1675" s="50"/>
      <c r="D1675" s="15"/>
    </row>
    <row r="1676" spans="2:4" x14ac:dyDescent="0.25">
      <c r="B1676" s="68"/>
      <c r="C1676" s="50"/>
      <c r="D1676" s="15"/>
    </row>
    <row r="1677" spans="2:4" x14ac:dyDescent="0.25">
      <c r="B1677" s="68"/>
      <c r="C1677" s="50"/>
      <c r="D1677" s="15"/>
    </row>
    <row r="1678" spans="2:4" x14ac:dyDescent="0.25">
      <c r="B1678" s="68"/>
      <c r="C1678" s="50"/>
      <c r="D1678" s="15"/>
    </row>
    <row r="1679" spans="2:4" x14ac:dyDescent="0.25">
      <c r="B1679" s="68"/>
      <c r="C1679" s="50"/>
      <c r="D1679" s="15"/>
    </row>
    <row r="1680" spans="2:4" x14ac:dyDescent="0.25">
      <c r="B1680" s="68"/>
      <c r="C1680" s="50"/>
      <c r="D1680" s="15"/>
    </row>
    <row r="1681" spans="2:4" x14ac:dyDescent="0.25">
      <c r="B1681" s="68"/>
      <c r="C1681" s="50"/>
      <c r="D1681" s="15"/>
    </row>
    <row r="1682" spans="2:4" x14ac:dyDescent="0.25">
      <c r="B1682" s="68"/>
      <c r="C1682" s="50"/>
      <c r="D1682" s="15"/>
    </row>
    <row r="1683" spans="2:4" x14ac:dyDescent="0.25">
      <c r="B1683" s="68"/>
      <c r="C1683" s="50"/>
      <c r="D1683" s="15"/>
    </row>
    <row r="1684" spans="2:4" x14ac:dyDescent="0.25">
      <c r="B1684" s="68"/>
      <c r="C1684" s="50"/>
      <c r="D1684" s="15"/>
    </row>
    <row r="1685" spans="2:4" x14ac:dyDescent="0.25">
      <c r="B1685" s="68"/>
      <c r="C1685" s="50"/>
      <c r="D1685" s="15"/>
    </row>
    <row r="1686" spans="2:4" x14ac:dyDescent="0.25">
      <c r="B1686" s="68"/>
      <c r="C1686" s="50"/>
      <c r="D1686" s="15"/>
    </row>
    <row r="1687" spans="2:4" x14ac:dyDescent="0.25">
      <c r="B1687" s="68"/>
      <c r="C1687" s="50"/>
      <c r="D1687" s="15"/>
    </row>
    <row r="1688" spans="2:4" x14ac:dyDescent="0.25">
      <c r="B1688" s="68"/>
      <c r="C1688" s="50"/>
      <c r="D1688" s="15"/>
    </row>
    <row r="1689" spans="2:4" x14ac:dyDescent="0.25">
      <c r="B1689" s="68"/>
      <c r="C1689" s="50"/>
      <c r="D1689" s="15"/>
    </row>
    <row r="1690" spans="2:4" x14ac:dyDescent="0.25">
      <c r="B1690" s="68"/>
      <c r="C1690" s="50"/>
      <c r="D1690" s="15"/>
    </row>
    <row r="1691" spans="2:4" x14ac:dyDescent="0.25">
      <c r="B1691" s="68"/>
      <c r="C1691" s="50"/>
      <c r="D1691" s="15"/>
    </row>
    <row r="1692" spans="2:4" x14ac:dyDescent="0.25">
      <c r="B1692" s="68"/>
      <c r="C1692" s="50"/>
      <c r="D1692" s="15"/>
    </row>
    <row r="1693" spans="2:4" x14ac:dyDescent="0.25">
      <c r="B1693" s="68"/>
      <c r="C1693" s="50"/>
      <c r="D1693" s="15"/>
    </row>
    <row r="1694" spans="2:4" x14ac:dyDescent="0.25">
      <c r="B1694" s="68"/>
      <c r="C1694" s="50"/>
      <c r="D1694" s="15"/>
    </row>
    <row r="1695" spans="2:4" x14ac:dyDescent="0.25">
      <c r="B1695" s="68"/>
      <c r="C1695" s="50"/>
      <c r="D1695" s="15"/>
    </row>
    <row r="1696" spans="2:4" x14ac:dyDescent="0.25">
      <c r="B1696" s="68"/>
      <c r="C1696" s="50"/>
      <c r="D1696" s="15"/>
    </row>
    <row r="1697" spans="2:4" x14ac:dyDescent="0.25">
      <c r="B1697" s="68"/>
      <c r="C1697" s="50"/>
      <c r="D1697" s="15"/>
    </row>
    <row r="1698" spans="2:4" x14ac:dyDescent="0.25">
      <c r="B1698" s="68"/>
      <c r="C1698" s="50"/>
      <c r="D1698" s="15"/>
    </row>
    <row r="1699" spans="2:4" x14ac:dyDescent="0.25">
      <c r="B1699" s="68"/>
      <c r="C1699" s="50"/>
      <c r="D1699" s="15"/>
    </row>
    <row r="1700" spans="2:4" x14ac:dyDescent="0.25">
      <c r="B1700" s="68"/>
      <c r="C1700" s="50"/>
      <c r="D1700" s="15"/>
    </row>
    <row r="1701" spans="2:4" x14ac:dyDescent="0.25">
      <c r="B1701" s="68"/>
      <c r="C1701" s="50"/>
      <c r="D1701" s="15"/>
    </row>
    <row r="1702" spans="2:4" x14ac:dyDescent="0.25">
      <c r="B1702" s="68"/>
      <c r="C1702" s="50"/>
      <c r="D1702" s="15"/>
    </row>
    <row r="1703" spans="2:4" x14ac:dyDescent="0.25">
      <c r="B1703" s="68"/>
      <c r="C1703" s="50"/>
      <c r="D1703" s="15"/>
    </row>
    <row r="1704" spans="2:4" x14ac:dyDescent="0.25">
      <c r="B1704" s="68"/>
      <c r="C1704" s="50"/>
      <c r="D1704" s="15"/>
    </row>
    <row r="1705" spans="2:4" x14ac:dyDescent="0.25">
      <c r="B1705" s="68"/>
      <c r="C1705" s="50"/>
      <c r="D1705" s="15"/>
    </row>
    <row r="1706" spans="2:4" x14ac:dyDescent="0.25">
      <c r="B1706" s="68"/>
      <c r="C1706" s="50"/>
      <c r="D1706" s="15"/>
    </row>
    <row r="1707" spans="2:4" x14ac:dyDescent="0.25">
      <c r="B1707" s="68"/>
      <c r="C1707" s="50"/>
      <c r="D1707" s="15"/>
    </row>
    <row r="1708" spans="2:4" x14ac:dyDescent="0.25">
      <c r="B1708" s="68"/>
      <c r="C1708" s="50"/>
      <c r="D1708" s="15"/>
    </row>
    <row r="1709" spans="2:4" x14ac:dyDescent="0.25">
      <c r="B1709" s="68"/>
      <c r="C1709" s="50"/>
      <c r="D1709" s="15"/>
    </row>
    <row r="1710" spans="2:4" x14ac:dyDescent="0.25">
      <c r="B1710" s="68"/>
      <c r="C1710" s="50"/>
      <c r="D1710" s="15"/>
    </row>
    <row r="1711" spans="2:4" x14ac:dyDescent="0.25">
      <c r="B1711" s="68"/>
      <c r="C1711" s="50"/>
      <c r="D1711" s="15"/>
    </row>
    <row r="1712" spans="2:4" x14ac:dyDescent="0.25">
      <c r="B1712" s="68"/>
      <c r="C1712" s="50"/>
      <c r="D1712" s="15"/>
    </row>
    <row r="1713" spans="2:4" x14ac:dyDescent="0.25">
      <c r="B1713" s="68"/>
      <c r="C1713" s="50"/>
      <c r="D1713" s="15"/>
    </row>
    <row r="1714" spans="2:4" x14ac:dyDescent="0.25">
      <c r="B1714" s="68"/>
      <c r="C1714" s="50"/>
      <c r="D1714" s="15"/>
    </row>
    <row r="1715" spans="2:4" x14ac:dyDescent="0.25">
      <c r="B1715" s="68"/>
      <c r="C1715" s="50"/>
      <c r="D1715" s="15"/>
    </row>
    <row r="1716" spans="2:4" x14ac:dyDescent="0.25">
      <c r="B1716" s="68"/>
      <c r="C1716" s="50"/>
      <c r="D1716" s="15"/>
    </row>
    <row r="1717" spans="2:4" x14ac:dyDescent="0.25">
      <c r="B1717" s="68"/>
      <c r="C1717" s="50"/>
      <c r="D1717" s="15"/>
    </row>
    <row r="1718" spans="2:4" x14ac:dyDescent="0.25">
      <c r="B1718" s="68"/>
      <c r="C1718" s="50"/>
      <c r="D1718" s="15"/>
    </row>
    <row r="1719" spans="2:4" x14ac:dyDescent="0.25">
      <c r="B1719" s="68"/>
      <c r="C1719" s="50"/>
      <c r="D1719" s="15"/>
    </row>
    <row r="1720" spans="2:4" x14ac:dyDescent="0.25">
      <c r="B1720" s="68"/>
      <c r="C1720" s="50"/>
      <c r="D1720" s="15"/>
    </row>
    <row r="1721" spans="2:4" x14ac:dyDescent="0.25">
      <c r="B1721" s="68"/>
      <c r="C1721" s="50"/>
      <c r="D1721" s="15"/>
    </row>
    <row r="1722" spans="2:4" x14ac:dyDescent="0.25">
      <c r="B1722" s="68"/>
      <c r="C1722" s="50"/>
      <c r="D1722" s="15"/>
    </row>
    <row r="1723" spans="2:4" x14ac:dyDescent="0.25">
      <c r="B1723" s="68"/>
      <c r="C1723" s="50"/>
      <c r="D1723" s="15"/>
    </row>
    <row r="1724" spans="2:4" x14ac:dyDescent="0.25">
      <c r="B1724" s="68"/>
      <c r="C1724" s="50"/>
      <c r="D1724" s="15"/>
    </row>
    <row r="1725" spans="2:4" x14ac:dyDescent="0.25">
      <c r="B1725" s="68"/>
      <c r="C1725" s="50"/>
      <c r="D1725" s="15"/>
    </row>
    <row r="1726" spans="2:4" x14ac:dyDescent="0.25">
      <c r="B1726" s="68"/>
      <c r="C1726" s="50"/>
      <c r="D1726" s="15"/>
    </row>
    <row r="1727" spans="2:4" x14ac:dyDescent="0.25">
      <c r="B1727" s="68"/>
      <c r="C1727" s="50"/>
      <c r="D1727" s="15"/>
    </row>
    <row r="1728" spans="2:4" x14ac:dyDescent="0.25">
      <c r="B1728" s="68"/>
      <c r="C1728" s="50"/>
      <c r="D1728" s="15"/>
    </row>
    <row r="1729" spans="2:4" x14ac:dyDescent="0.25">
      <c r="B1729" s="68"/>
      <c r="C1729" s="50"/>
      <c r="D1729" s="15"/>
    </row>
    <row r="1730" spans="2:4" x14ac:dyDescent="0.25">
      <c r="B1730" s="68"/>
      <c r="C1730" s="50"/>
      <c r="D1730" s="15"/>
    </row>
    <row r="1731" spans="2:4" x14ac:dyDescent="0.25">
      <c r="B1731" s="68"/>
      <c r="C1731" s="50"/>
      <c r="D1731" s="15"/>
    </row>
    <row r="1732" spans="2:4" x14ac:dyDescent="0.25">
      <c r="B1732" s="68"/>
      <c r="C1732" s="50"/>
      <c r="D1732" s="15"/>
    </row>
    <row r="1733" spans="2:4" x14ac:dyDescent="0.25">
      <c r="B1733" s="68"/>
      <c r="C1733" s="50"/>
      <c r="D1733" s="15"/>
    </row>
    <row r="1734" spans="2:4" x14ac:dyDescent="0.25">
      <c r="B1734" s="68"/>
      <c r="C1734" s="50"/>
      <c r="D1734" s="15"/>
    </row>
    <row r="1735" spans="2:4" x14ac:dyDescent="0.25">
      <c r="B1735" s="68"/>
      <c r="C1735" s="50"/>
      <c r="D1735" s="15"/>
    </row>
    <row r="1736" spans="2:4" x14ac:dyDescent="0.25">
      <c r="B1736" s="68"/>
      <c r="C1736" s="50"/>
      <c r="D1736" s="15"/>
    </row>
    <row r="1737" spans="2:4" x14ac:dyDescent="0.25">
      <c r="B1737" s="68"/>
      <c r="C1737" s="50"/>
      <c r="D1737" s="15"/>
    </row>
    <row r="1738" spans="2:4" x14ac:dyDescent="0.25">
      <c r="B1738" s="68"/>
      <c r="C1738" s="50"/>
      <c r="D1738" s="15"/>
    </row>
    <row r="1739" spans="2:4" x14ac:dyDescent="0.25">
      <c r="B1739" s="68"/>
      <c r="C1739" s="50"/>
      <c r="D1739" s="15"/>
    </row>
    <row r="1740" spans="2:4" x14ac:dyDescent="0.25">
      <c r="B1740" s="68"/>
      <c r="C1740" s="50"/>
      <c r="D1740" s="15"/>
    </row>
    <row r="1741" spans="2:4" x14ac:dyDescent="0.25">
      <c r="B1741" s="68"/>
      <c r="C1741" s="50"/>
      <c r="D1741" s="15"/>
    </row>
    <row r="1742" spans="2:4" x14ac:dyDescent="0.25">
      <c r="B1742" s="68"/>
      <c r="C1742" s="50"/>
      <c r="D1742" s="15"/>
    </row>
    <row r="1743" spans="2:4" x14ac:dyDescent="0.25">
      <c r="B1743" s="68"/>
      <c r="C1743" s="50"/>
      <c r="D1743" s="15"/>
    </row>
    <row r="1744" spans="2:4" x14ac:dyDescent="0.25">
      <c r="B1744" s="68"/>
      <c r="C1744" s="50"/>
      <c r="D1744" s="15"/>
    </row>
    <row r="1745" spans="2:4" x14ac:dyDescent="0.25">
      <c r="B1745" s="68"/>
      <c r="C1745" s="50"/>
      <c r="D1745" s="15"/>
    </row>
    <row r="1746" spans="2:4" x14ac:dyDescent="0.25">
      <c r="B1746" s="68"/>
      <c r="C1746" s="50"/>
      <c r="D1746" s="15"/>
    </row>
    <row r="1747" spans="2:4" x14ac:dyDescent="0.25">
      <c r="B1747" s="68"/>
      <c r="C1747" s="50"/>
      <c r="D1747" s="15"/>
    </row>
    <row r="1748" spans="2:4" x14ac:dyDescent="0.25">
      <c r="B1748" s="68"/>
      <c r="C1748" s="50"/>
      <c r="D1748" s="15"/>
    </row>
    <row r="1749" spans="2:4" x14ac:dyDescent="0.25">
      <c r="B1749" s="68"/>
      <c r="C1749" s="50"/>
      <c r="D1749" s="15"/>
    </row>
    <row r="1750" spans="2:4" x14ac:dyDescent="0.25">
      <c r="B1750" s="68"/>
      <c r="C1750" s="50"/>
      <c r="D1750" s="15"/>
    </row>
    <row r="1751" spans="2:4" x14ac:dyDescent="0.25">
      <c r="B1751" s="68"/>
      <c r="C1751" s="50"/>
      <c r="D1751" s="15"/>
    </row>
    <row r="1752" spans="2:4" x14ac:dyDescent="0.25">
      <c r="B1752" s="68"/>
      <c r="C1752" s="50"/>
      <c r="D1752" s="15"/>
    </row>
    <row r="1753" spans="2:4" x14ac:dyDescent="0.25">
      <c r="B1753" s="68"/>
      <c r="C1753" s="50"/>
      <c r="D1753" s="15"/>
    </row>
    <row r="1754" spans="2:4" x14ac:dyDescent="0.25">
      <c r="B1754" s="68"/>
      <c r="C1754" s="50"/>
      <c r="D1754" s="15"/>
    </row>
    <row r="1755" spans="2:4" x14ac:dyDescent="0.25">
      <c r="B1755" s="68"/>
      <c r="C1755" s="50"/>
      <c r="D1755" s="15"/>
    </row>
    <row r="1756" spans="2:4" x14ac:dyDescent="0.25">
      <c r="B1756" s="68"/>
      <c r="C1756" s="50"/>
      <c r="D1756" s="15"/>
    </row>
    <row r="1757" spans="2:4" x14ac:dyDescent="0.25">
      <c r="B1757" s="68"/>
      <c r="C1757" s="50"/>
      <c r="D1757" s="15"/>
    </row>
    <row r="1758" spans="2:4" x14ac:dyDescent="0.25">
      <c r="B1758" s="68"/>
      <c r="C1758" s="50"/>
      <c r="D1758" s="15"/>
    </row>
    <row r="1759" spans="2:4" x14ac:dyDescent="0.25">
      <c r="B1759" s="68"/>
      <c r="C1759" s="50"/>
      <c r="D1759" s="15"/>
    </row>
    <row r="1760" spans="2:4" x14ac:dyDescent="0.25">
      <c r="B1760" s="68"/>
      <c r="C1760" s="50"/>
      <c r="D1760" s="15"/>
    </row>
    <row r="1761" spans="2:4" x14ac:dyDescent="0.25">
      <c r="B1761" s="68"/>
      <c r="C1761" s="50"/>
      <c r="D1761" s="15"/>
    </row>
    <row r="1762" spans="2:4" x14ac:dyDescent="0.25">
      <c r="B1762" s="68"/>
      <c r="C1762" s="50"/>
      <c r="D1762" s="15"/>
    </row>
    <row r="1763" spans="2:4" x14ac:dyDescent="0.25">
      <c r="B1763" s="68"/>
      <c r="C1763" s="50"/>
      <c r="D1763" s="15"/>
    </row>
    <row r="1764" spans="2:4" x14ac:dyDescent="0.25">
      <c r="B1764" s="68"/>
      <c r="C1764" s="50"/>
      <c r="D1764" s="15"/>
    </row>
    <row r="1765" spans="2:4" x14ac:dyDescent="0.25">
      <c r="B1765" s="68"/>
      <c r="C1765" s="50"/>
      <c r="D1765" s="15"/>
    </row>
    <row r="1766" spans="2:4" x14ac:dyDescent="0.25">
      <c r="B1766" s="68"/>
      <c r="C1766" s="50"/>
      <c r="D1766" s="15"/>
    </row>
    <row r="1767" spans="2:4" x14ac:dyDescent="0.25">
      <c r="B1767" s="68"/>
      <c r="C1767" s="50"/>
      <c r="D1767" s="15"/>
    </row>
    <row r="1768" spans="2:4" x14ac:dyDescent="0.25">
      <c r="B1768" s="68"/>
      <c r="C1768" s="50"/>
      <c r="D1768" s="15"/>
    </row>
    <row r="1769" spans="2:4" x14ac:dyDescent="0.25">
      <c r="B1769" s="68"/>
      <c r="C1769" s="50"/>
      <c r="D1769" s="15"/>
    </row>
    <row r="1770" spans="2:4" x14ac:dyDescent="0.25">
      <c r="B1770" s="68"/>
      <c r="C1770" s="50"/>
      <c r="D1770" s="15"/>
    </row>
    <row r="1771" spans="2:4" x14ac:dyDescent="0.25">
      <c r="B1771" s="68"/>
      <c r="C1771" s="50"/>
      <c r="D1771" s="15"/>
    </row>
    <row r="1772" spans="2:4" x14ac:dyDescent="0.25">
      <c r="B1772" s="68"/>
      <c r="C1772" s="50"/>
      <c r="D1772" s="15"/>
    </row>
    <row r="1773" spans="2:4" x14ac:dyDescent="0.25">
      <c r="B1773" s="68"/>
      <c r="C1773" s="50"/>
      <c r="D1773" s="15"/>
    </row>
    <row r="1774" spans="2:4" x14ac:dyDescent="0.25">
      <c r="B1774" s="68"/>
      <c r="C1774" s="50"/>
      <c r="D1774" s="15"/>
    </row>
    <row r="1775" spans="2:4" x14ac:dyDescent="0.25">
      <c r="B1775" s="68"/>
      <c r="C1775" s="50"/>
      <c r="D1775" s="15"/>
    </row>
    <row r="1776" spans="2:4" x14ac:dyDescent="0.25">
      <c r="B1776" s="68"/>
      <c r="C1776" s="50"/>
      <c r="D1776" s="15"/>
    </row>
    <row r="1777" spans="2:4" x14ac:dyDescent="0.25">
      <c r="B1777" s="68"/>
      <c r="C1777" s="50"/>
      <c r="D1777" s="15"/>
    </row>
    <row r="1778" spans="2:4" x14ac:dyDescent="0.25">
      <c r="B1778" s="68"/>
      <c r="C1778" s="50"/>
      <c r="D1778" s="15"/>
    </row>
    <row r="1779" spans="2:4" x14ac:dyDescent="0.25">
      <c r="B1779" s="68"/>
      <c r="C1779" s="50"/>
      <c r="D1779" s="15"/>
    </row>
    <row r="1780" spans="2:4" x14ac:dyDescent="0.25">
      <c r="B1780" s="68"/>
      <c r="C1780" s="50"/>
      <c r="D1780" s="15"/>
    </row>
    <row r="1781" spans="2:4" x14ac:dyDescent="0.25">
      <c r="B1781" s="68"/>
      <c r="C1781" s="50"/>
      <c r="D1781" s="15"/>
    </row>
    <row r="1782" spans="2:4" x14ac:dyDescent="0.25">
      <c r="B1782" s="68"/>
      <c r="C1782" s="50"/>
      <c r="D1782" s="15"/>
    </row>
    <row r="1783" spans="2:4" x14ac:dyDescent="0.25">
      <c r="B1783" s="68"/>
      <c r="C1783" s="50"/>
      <c r="D1783" s="15"/>
    </row>
    <row r="1784" spans="2:4" x14ac:dyDescent="0.25">
      <c r="B1784" s="68"/>
      <c r="C1784" s="50"/>
      <c r="D1784" s="15"/>
    </row>
    <row r="1785" spans="2:4" x14ac:dyDescent="0.25">
      <c r="B1785" s="68"/>
      <c r="C1785" s="50"/>
      <c r="D1785" s="15"/>
    </row>
    <row r="1786" spans="2:4" x14ac:dyDescent="0.25">
      <c r="B1786" s="68"/>
      <c r="C1786" s="50"/>
      <c r="D1786" s="15"/>
    </row>
    <row r="1787" spans="2:4" x14ac:dyDescent="0.25">
      <c r="B1787" s="68"/>
      <c r="C1787" s="50"/>
      <c r="D1787" s="15"/>
    </row>
    <row r="1788" spans="2:4" x14ac:dyDescent="0.25">
      <c r="B1788" s="68"/>
      <c r="C1788" s="50"/>
      <c r="D1788" s="15"/>
    </row>
    <row r="1789" spans="2:4" x14ac:dyDescent="0.25">
      <c r="B1789" s="68"/>
      <c r="C1789" s="50"/>
      <c r="D1789" s="15"/>
    </row>
    <row r="1790" spans="2:4" x14ac:dyDescent="0.25">
      <c r="B1790" s="68"/>
      <c r="C1790" s="50"/>
      <c r="D1790" s="15"/>
    </row>
    <row r="1791" spans="2:4" x14ac:dyDescent="0.25">
      <c r="B1791" s="68"/>
      <c r="C1791" s="50"/>
      <c r="D1791" s="15"/>
    </row>
    <row r="1792" spans="2:4" x14ac:dyDescent="0.25">
      <c r="B1792" s="68"/>
      <c r="C1792" s="50"/>
      <c r="D1792" s="15"/>
    </row>
    <row r="1793" spans="2:4" x14ac:dyDescent="0.25">
      <c r="B1793" s="68"/>
      <c r="C1793" s="50"/>
      <c r="D1793" s="15"/>
    </row>
    <row r="1794" spans="2:4" x14ac:dyDescent="0.25">
      <c r="B1794" s="68"/>
      <c r="C1794" s="50"/>
      <c r="D1794" s="15"/>
    </row>
    <row r="1795" spans="2:4" x14ac:dyDescent="0.25">
      <c r="B1795" s="68"/>
      <c r="C1795" s="50"/>
      <c r="D1795" s="15"/>
    </row>
    <row r="1796" spans="2:4" x14ac:dyDescent="0.25">
      <c r="B1796" s="68"/>
      <c r="C1796" s="50"/>
      <c r="D1796" s="15"/>
    </row>
    <row r="1797" spans="2:4" x14ac:dyDescent="0.25">
      <c r="B1797" s="68"/>
      <c r="C1797" s="50"/>
      <c r="D1797" s="15"/>
    </row>
    <row r="1798" spans="2:4" x14ac:dyDescent="0.25">
      <c r="B1798" s="68"/>
      <c r="C1798" s="50"/>
      <c r="D1798" s="15"/>
    </row>
    <row r="1799" spans="2:4" x14ac:dyDescent="0.25">
      <c r="B1799" s="68"/>
      <c r="C1799" s="50"/>
      <c r="D1799" s="15"/>
    </row>
    <row r="1800" spans="2:4" x14ac:dyDescent="0.25">
      <c r="B1800" s="68"/>
      <c r="C1800" s="50"/>
      <c r="D1800" s="15"/>
    </row>
    <row r="1801" spans="2:4" x14ac:dyDescent="0.25">
      <c r="B1801" s="68"/>
      <c r="C1801" s="50"/>
      <c r="D1801" s="15"/>
    </row>
    <row r="1802" spans="2:4" x14ac:dyDescent="0.25">
      <c r="B1802" s="68"/>
      <c r="C1802" s="50"/>
      <c r="D1802" s="15"/>
    </row>
    <row r="1803" spans="2:4" x14ac:dyDescent="0.25">
      <c r="B1803" s="68"/>
      <c r="C1803" s="50"/>
      <c r="D1803" s="15"/>
    </row>
    <row r="1804" spans="2:4" x14ac:dyDescent="0.25">
      <c r="B1804" s="68"/>
      <c r="C1804" s="50"/>
      <c r="D1804" s="15"/>
    </row>
    <row r="1805" spans="2:4" x14ac:dyDescent="0.25">
      <c r="B1805" s="68"/>
      <c r="C1805" s="50"/>
      <c r="D1805" s="15"/>
    </row>
    <row r="1806" spans="2:4" x14ac:dyDescent="0.25">
      <c r="B1806" s="68"/>
      <c r="C1806" s="50"/>
      <c r="D1806" s="15"/>
    </row>
    <row r="1807" spans="2:4" x14ac:dyDescent="0.25">
      <c r="B1807" s="68"/>
      <c r="C1807" s="50"/>
      <c r="D1807" s="15"/>
    </row>
    <row r="1808" spans="2:4" x14ac:dyDescent="0.25">
      <c r="B1808" s="68"/>
      <c r="C1808" s="50"/>
      <c r="D1808" s="15"/>
    </row>
    <row r="1809" spans="2:4" x14ac:dyDescent="0.25">
      <c r="B1809" s="68"/>
      <c r="C1809" s="50"/>
      <c r="D1809" s="15"/>
    </row>
    <row r="1810" spans="2:4" x14ac:dyDescent="0.25">
      <c r="B1810" s="68"/>
      <c r="C1810" s="50"/>
      <c r="D1810" s="15"/>
    </row>
    <row r="1811" spans="2:4" x14ac:dyDescent="0.25">
      <c r="B1811" s="68"/>
      <c r="C1811" s="50"/>
      <c r="D1811" s="15"/>
    </row>
    <row r="1812" spans="2:4" x14ac:dyDescent="0.25">
      <c r="B1812" s="68"/>
      <c r="C1812" s="50"/>
      <c r="D1812" s="15"/>
    </row>
    <row r="1813" spans="2:4" x14ac:dyDescent="0.25">
      <c r="B1813" s="68"/>
      <c r="C1813" s="50"/>
      <c r="D1813" s="15"/>
    </row>
    <row r="1814" spans="2:4" x14ac:dyDescent="0.25">
      <c r="B1814" s="68"/>
      <c r="C1814" s="50"/>
      <c r="D1814" s="15"/>
    </row>
    <row r="1815" spans="2:4" x14ac:dyDescent="0.25">
      <c r="B1815" s="68"/>
      <c r="C1815" s="50"/>
      <c r="D1815" s="15"/>
    </row>
    <row r="1816" spans="2:4" x14ac:dyDescent="0.25">
      <c r="B1816" s="68"/>
      <c r="C1816" s="50"/>
      <c r="D1816" s="15"/>
    </row>
    <row r="1817" spans="2:4" x14ac:dyDescent="0.25">
      <c r="B1817" s="68"/>
      <c r="C1817" s="50"/>
      <c r="D1817" s="15"/>
    </row>
    <row r="1818" spans="2:4" x14ac:dyDescent="0.25">
      <c r="B1818" s="68"/>
      <c r="C1818" s="50"/>
      <c r="D1818" s="15"/>
    </row>
    <row r="1819" spans="2:4" x14ac:dyDescent="0.25">
      <c r="B1819" s="68"/>
      <c r="C1819" s="50"/>
      <c r="D1819" s="15"/>
    </row>
    <row r="1820" spans="2:4" x14ac:dyDescent="0.25">
      <c r="B1820" s="68"/>
      <c r="C1820" s="50"/>
      <c r="D1820" s="15"/>
    </row>
    <row r="1821" spans="2:4" x14ac:dyDescent="0.25">
      <c r="B1821" s="68"/>
      <c r="C1821" s="50"/>
      <c r="D1821" s="15"/>
    </row>
    <row r="1822" spans="2:4" x14ac:dyDescent="0.25">
      <c r="B1822" s="68"/>
      <c r="C1822" s="50"/>
      <c r="D1822" s="15"/>
    </row>
    <row r="1823" spans="2:4" x14ac:dyDescent="0.25">
      <c r="B1823" s="68"/>
      <c r="C1823" s="50"/>
      <c r="D1823" s="15"/>
    </row>
    <row r="1824" spans="2:4" x14ac:dyDescent="0.25">
      <c r="B1824" s="68"/>
      <c r="C1824" s="50"/>
      <c r="D1824" s="15"/>
    </row>
    <row r="1825" spans="2:4" x14ac:dyDescent="0.25">
      <c r="B1825" s="68"/>
      <c r="C1825" s="50"/>
      <c r="D1825" s="15"/>
    </row>
    <row r="1826" spans="2:4" x14ac:dyDescent="0.25">
      <c r="B1826" s="68"/>
      <c r="C1826" s="50"/>
      <c r="D1826" s="15"/>
    </row>
    <row r="1827" spans="2:4" x14ac:dyDescent="0.25">
      <c r="B1827" s="68"/>
      <c r="C1827" s="50"/>
      <c r="D1827" s="15"/>
    </row>
    <row r="1828" spans="2:4" x14ac:dyDescent="0.25">
      <c r="B1828" s="68"/>
      <c r="C1828" s="50"/>
      <c r="D1828" s="15"/>
    </row>
    <row r="1829" spans="2:4" x14ac:dyDescent="0.25">
      <c r="B1829" s="68"/>
      <c r="C1829" s="50"/>
      <c r="D1829" s="15"/>
    </row>
    <row r="1830" spans="2:4" x14ac:dyDescent="0.25">
      <c r="B1830" s="68"/>
      <c r="C1830" s="50"/>
      <c r="D1830" s="15"/>
    </row>
    <row r="1831" spans="2:4" x14ac:dyDescent="0.25">
      <c r="B1831" s="68"/>
      <c r="C1831" s="50"/>
      <c r="D1831" s="15"/>
    </row>
    <row r="1832" spans="2:4" x14ac:dyDescent="0.25">
      <c r="B1832" s="68"/>
      <c r="C1832" s="50"/>
      <c r="D1832" s="15"/>
    </row>
    <row r="1833" spans="2:4" x14ac:dyDescent="0.25">
      <c r="B1833" s="68"/>
      <c r="C1833" s="50"/>
      <c r="D1833" s="15"/>
    </row>
    <row r="1834" spans="2:4" x14ac:dyDescent="0.25">
      <c r="B1834" s="68"/>
      <c r="C1834" s="50"/>
      <c r="D1834" s="15"/>
    </row>
    <row r="1835" spans="2:4" x14ac:dyDescent="0.25">
      <c r="B1835" s="68"/>
      <c r="C1835" s="50"/>
      <c r="D1835" s="15"/>
    </row>
    <row r="1836" spans="2:4" x14ac:dyDescent="0.25">
      <c r="B1836" s="68"/>
      <c r="C1836" s="50"/>
      <c r="D1836" s="15"/>
    </row>
    <row r="1837" spans="2:4" x14ac:dyDescent="0.25">
      <c r="B1837" s="68"/>
      <c r="C1837" s="50"/>
      <c r="D1837" s="15"/>
    </row>
    <row r="1838" spans="2:4" x14ac:dyDescent="0.25">
      <c r="B1838" s="68"/>
      <c r="C1838" s="50"/>
      <c r="D1838" s="15"/>
    </row>
    <row r="1839" spans="2:4" x14ac:dyDescent="0.25">
      <c r="B1839" s="68"/>
      <c r="C1839" s="50"/>
      <c r="D1839" s="15"/>
    </row>
    <row r="1840" spans="2:4" x14ac:dyDescent="0.25">
      <c r="B1840" s="68"/>
      <c r="C1840" s="50"/>
      <c r="D1840" s="15"/>
    </row>
    <row r="1841" spans="2:4" x14ac:dyDescent="0.25">
      <c r="B1841" s="68"/>
      <c r="C1841" s="50"/>
      <c r="D1841" s="15"/>
    </row>
    <row r="1842" spans="2:4" x14ac:dyDescent="0.25">
      <c r="B1842" s="68"/>
      <c r="C1842" s="50"/>
      <c r="D1842" s="15"/>
    </row>
    <row r="1843" spans="2:4" x14ac:dyDescent="0.25">
      <c r="B1843" s="68"/>
      <c r="C1843" s="50"/>
      <c r="D1843" s="15"/>
    </row>
    <row r="1844" spans="2:4" x14ac:dyDescent="0.25">
      <c r="B1844" s="68"/>
      <c r="C1844" s="50"/>
      <c r="D1844" s="15"/>
    </row>
    <row r="1845" spans="2:4" x14ac:dyDescent="0.25">
      <c r="B1845" s="68"/>
      <c r="C1845" s="50"/>
      <c r="D1845" s="15"/>
    </row>
    <row r="1846" spans="2:4" x14ac:dyDescent="0.25">
      <c r="B1846" s="68"/>
      <c r="C1846" s="50"/>
      <c r="D1846" s="15"/>
    </row>
    <row r="1847" spans="2:4" x14ac:dyDescent="0.25">
      <c r="B1847" s="68"/>
      <c r="C1847" s="50"/>
      <c r="D1847" s="15"/>
    </row>
    <row r="1848" spans="2:4" x14ac:dyDescent="0.25">
      <c r="B1848" s="68"/>
      <c r="C1848" s="50"/>
      <c r="D1848" s="15"/>
    </row>
    <row r="1849" spans="2:4" x14ac:dyDescent="0.25">
      <c r="B1849" s="68"/>
      <c r="C1849" s="50"/>
      <c r="D1849" s="15"/>
    </row>
    <row r="1850" spans="2:4" x14ac:dyDescent="0.25">
      <c r="B1850" s="68"/>
      <c r="C1850" s="50"/>
      <c r="D1850" s="15"/>
    </row>
    <row r="1851" spans="2:4" x14ac:dyDescent="0.25">
      <c r="B1851" s="68"/>
      <c r="C1851" s="50"/>
      <c r="D1851" s="15"/>
    </row>
    <row r="1852" spans="2:4" x14ac:dyDescent="0.25">
      <c r="B1852" s="68"/>
      <c r="C1852" s="50"/>
      <c r="D1852" s="15"/>
    </row>
    <row r="1853" spans="2:4" x14ac:dyDescent="0.25">
      <c r="B1853" s="68"/>
      <c r="C1853" s="50"/>
      <c r="D1853" s="15"/>
    </row>
    <row r="1854" spans="2:4" x14ac:dyDescent="0.25">
      <c r="B1854" s="68"/>
      <c r="C1854" s="50"/>
      <c r="D1854" s="15"/>
    </row>
    <row r="1855" spans="2:4" x14ac:dyDescent="0.25">
      <c r="B1855" s="68"/>
      <c r="C1855" s="50"/>
      <c r="D1855" s="15"/>
    </row>
    <row r="1856" spans="2:4" x14ac:dyDescent="0.25">
      <c r="B1856" s="68"/>
      <c r="C1856" s="50"/>
      <c r="D1856" s="15"/>
    </row>
    <row r="1857" spans="2:4" x14ac:dyDescent="0.25">
      <c r="B1857" s="68"/>
      <c r="C1857" s="50"/>
      <c r="D1857" s="15"/>
    </row>
    <row r="1858" spans="2:4" x14ac:dyDescent="0.25">
      <c r="B1858" s="68"/>
      <c r="C1858" s="50"/>
      <c r="D1858" s="15"/>
    </row>
    <row r="1859" spans="2:4" x14ac:dyDescent="0.25">
      <c r="B1859" s="68"/>
      <c r="C1859" s="50"/>
      <c r="D1859" s="15"/>
    </row>
    <row r="1860" spans="2:4" x14ac:dyDescent="0.25">
      <c r="B1860" s="68"/>
      <c r="C1860" s="50"/>
      <c r="D1860" s="15"/>
    </row>
    <row r="1861" spans="2:4" x14ac:dyDescent="0.25">
      <c r="B1861" s="68"/>
      <c r="C1861" s="50"/>
      <c r="D1861" s="15"/>
    </row>
    <row r="1862" spans="2:4" x14ac:dyDescent="0.25">
      <c r="B1862" s="68"/>
      <c r="C1862" s="50"/>
      <c r="D1862" s="15"/>
    </row>
    <row r="1863" spans="2:4" x14ac:dyDescent="0.25">
      <c r="B1863" s="68"/>
      <c r="C1863" s="50"/>
      <c r="D1863" s="15"/>
    </row>
    <row r="1864" spans="2:4" x14ac:dyDescent="0.25">
      <c r="B1864" s="68"/>
      <c r="C1864" s="50"/>
      <c r="D1864" s="15"/>
    </row>
    <row r="1865" spans="2:4" x14ac:dyDescent="0.25">
      <c r="B1865" s="68"/>
      <c r="C1865" s="50"/>
      <c r="D1865" s="15"/>
    </row>
    <row r="1866" spans="2:4" x14ac:dyDescent="0.25">
      <c r="B1866" s="68"/>
      <c r="C1866" s="50"/>
      <c r="D1866" s="15"/>
    </row>
    <row r="1867" spans="2:4" x14ac:dyDescent="0.25">
      <c r="B1867" s="68"/>
      <c r="C1867" s="50"/>
      <c r="D1867" s="15"/>
    </row>
    <row r="1868" spans="2:4" x14ac:dyDescent="0.25">
      <c r="B1868" s="68"/>
      <c r="C1868" s="50"/>
      <c r="D1868" s="15"/>
    </row>
    <row r="1869" spans="2:4" x14ac:dyDescent="0.25">
      <c r="B1869" s="68"/>
      <c r="C1869" s="50"/>
      <c r="D1869" s="15"/>
    </row>
    <row r="1870" spans="2:4" x14ac:dyDescent="0.25">
      <c r="B1870" s="68"/>
      <c r="C1870" s="50"/>
      <c r="D1870" s="15"/>
    </row>
    <row r="1871" spans="2:4" x14ac:dyDescent="0.25">
      <c r="B1871" s="68"/>
      <c r="C1871" s="50"/>
      <c r="D1871" s="15"/>
    </row>
    <row r="1872" spans="2:4" x14ac:dyDescent="0.25">
      <c r="B1872" s="68"/>
      <c r="C1872" s="50"/>
      <c r="D1872" s="15"/>
    </row>
    <row r="1873" spans="2:4" x14ac:dyDescent="0.25">
      <c r="B1873" s="68"/>
      <c r="C1873" s="50"/>
      <c r="D1873" s="15"/>
    </row>
    <row r="1874" spans="2:4" x14ac:dyDescent="0.25">
      <c r="B1874" s="68"/>
      <c r="C1874" s="50"/>
      <c r="D1874" s="15"/>
    </row>
    <row r="1875" spans="2:4" x14ac:dyDescent="0.25">
      <c r="B1875" s="68"/>
      <c r="C1875" s="50"/>
      <c r="D1875" s="15"/>
    </row>
    <row r="1876" spans="2:4" x14ac:dyDescent="0.25">
      <c r="B1876" s="68"/>
      <c r="C1876" s="50"/>
      <c r="D1876" s="15"/>
    </row>
    <row r="1877" spans="2:4" x14ac:dyDescent="0.25">
      <c r="B1877" s="68"/>
      <c r="C1877" s="50"/>
      <c r="D1877" s="15"/>
    </row>
    <row r="1878" spans="2:4" x14ac:dyDescent="0.25">
      <c r="B1878" s="68"/>
      <c r="C1878" s="50"/>
      <c r="D1878" s="15"/>
    </row>
    <row r="1879" spans="2:4" x14ac:dyDescent="0.25">
      <c r="B1879" s="68"/>
      <c r="C1879" s="50"/>
      <c r="D1879" s="15"/>
    </row>
    <row r="1880" spans="2:4" x14ac:dyDescent="0.25">
      <c r="B1880" s="68"/>
      <c r="C1880" s="50"/>
      <c r="D1880" s="15"/>
    </row>
    <row r="1881" spans="2:4" x14ac:dyDescent="0.25">
      <c r="B1881" s="68"/>
      <c r="C1881" s="50"/>
      <c r="D1881" s="15"/>
    </row>
    <row r="1882" spans="2:4" x14ac:dyDescent="0.25">
      <c r="B1882" s="68"/>
      <c r="C1882" s="50"/>
      <c r="D1882" s="15"/>
    </row>
    <row r="1883" spans="2:4" x14ac:dyDescent="0.25">
      <c r="B1883" s="68"/>
      <c r="C1883" s="50"/>
      <c r="D1883" s="15"/>
    </row>
    <row r="1884" spans="2:4" x14ac:dyDescent="0.25">
      <c r="B1884" s="68"/>
      <c r="C1884" s="50"/>
      <c r="D1884" s="15"/>
    </row>
    <row r="1885" spans="2:4" x14ac:dyDescent="0.25">
      <c r="B1885" s="68"/>
      <c r="C1885" s="50"/>
      <c r="D1885" s="15"/>
    </row>
    <row r="1886" spans="2:4" x14ac:dyDescent="0.25">
      <c r="B1886" s="68"/>
      <c r="C1886" s="50"/>
      <c r="D1886" s="15"/>
    </row>
    <row r="1887" spans="2:4" x14ac:dyDescent="0.25">
      <c r="B1887" s="68"/>
      <c r="C1887" s="50"/>
      <c r="D1887" s="15"/>
    </row>
    <row r="1888" spans="2:4" x14ac:dyDescent="0.25">
      <c r="B1888" s="68"/>
      <c r="C1888" s="50"/>
      <c r="D1888" s="15"/>
    </row>
    <row r="1889" spans="2:4" x14ac:dyDescent="0.25">
      <c r="B1889" s="68"/>
      <c r="C1889" s="50"/>
      <c r="D1889" s="15"/>
    </row>
    <row r="1890" spans="2:4" x14ac:dyDescent="0.25">
      <c r="B1890" s="68"/>
      <c r="C1890" s="50"/>
      <c r="D1890" s="15"/>
    </row>
    <row r="1891" spans="2:4" x14ac:dyDescent="0.25">
      <c r="B1891" s="68"/>
      <c r="C1891" s="50"/>
      <c r="D1891" s="15"/>
    </row>
    <row r="1892" spans="2:4" x14ac:dyDescent="0.25">
      <c r="B1892" s="68"/>
      <c r="C1892" s="50"/>
      <c r="D1892" s="15"/>
    </row>
    <row r="1893" spans="2:4" x14ac:dyDescent="0.25">
      <c r="B1893" s="68"/>
      <c r="C1893" s="50"/>
      <c r="D1893" s="15"/>
    </row>
    <row r="1894" spans="2:4" x14ac:dyDescent="0.25">
      <c r="B1894" s="68"/>
      <c r="C1894" s="50"/>
      <c r="D1894" s="15"/>
    </row>
    <row r="1895" spans="2:4" x14ac:dyDescent="0.25">
      <c r="B1895" s="68"/>
      <c r="C1895" s="50"/>
      <c r="D1895" s="15"/>
    </row>
    <row r="1896" spans="2:4" x14ac:dyDescent="0.25">
      <c r="B1896" s="68"/>
      <c r="C1896" s="50"/>
      <c r="D1896" s="15"/>
    </row>
    <row r="1897" spans="2:4" x14ac:dyDescent="0.25">
      <c r="B1897" s="68"/>
      <c r="C1897" s="50"/>
      <c r="D1897" s="15"/>
    </row>
    <row r="1898" spans="2:4" x14ac:dyDescent="0.25">
      <c r="B1898" s="68"/>
      <c r="C1898" s="50"/>
      <c r="D1898" s="15"/>
    </row>
    <row r="1899" spans="2:4" x14ac:dyDescent="0.25">
      <c r="B1899" s="68"/>
      <c r="C1899" s="50"/>
      <c r="D1899" s="15"/>
    </row>
    <row r="1900" spans="2:4" x14ac:dyDescent="0.25">
      <c r="B1900" s="68"/>
      <c r="C1900" s="50"/>
      <c r="D1900" s="15"/>
    </row>
    <row r="1901" spans="2:4" x14ac:dyDescent="0.25">
      <c r="B1901" s="68"/>
      <c r="C1901" s="50"/>
      <c r="D1901" s="15"/>
    </row>
    <row r="1902" spans="2:4" x14ac:dyDescent="0.25">
      <c r="B1902" s="68"/>
      <c r="C1902" s="50"/>
      <c r="D1902" s="15"/>
    </row>
    <row r="1903" spans="2:4" x14ac:dyDescent="0.25">
      <c r="B1903" s="68"/>
      <c r="C1903" s="50"/>
      <c r="D1903" s="15"/>
    </row>
    <row r="1904" spans="2:4" x14ac:dyDescent="0.25">
      <c r="B1904" s="68"/>
      <c r="C1904" s="50"/>
      <c r="D1904" s="15"/>
    </row>
    <row r="1905" spans="2:4" x14ac:dyDescent="0.25">
      <c r="B1905" s="68"/>
      <c r="C1905" s="50"/>
      <c r="D1905" s="15"/>
    </row>
    <row r="1906" spans="2:4" x14ac:dyDescent="0.25">
      <c r="B1906" s="68"/>
      <c r="C1906" s="50"/>
      <c r="D1906" s="15"/>
    </row>
    <row r="1907" spans="2:4" x14ac:dyDescent="0.25">
      <c r="B1907" s="68"/>
      <c r="C1907" s="50"/>
      <c r="D1907" s="15"/>
    </row>
    <row r="1908" spans="2:4" x14ac:dyDescent="0.25">
      <c r="B1908" s="68"/>
      <c r="C1908" s="50"/>
      <c r="D1908" s="15"/>
    </row>
    <row r="1909" spans="2:4" x14ac:dyDescent="0.25">
      <c r="B1909" s="68"/>
      <c r="C1909" s="50"/>
      <c r="D1909" s="15"/>
    </row>
    <row r="1910" spans="2:4" x14ac:dyDescent="0.25">
      <c r="B1910" s="68"/>
      <c r="C1910" s="50"/>
      <c r="D1910" s="15"/>
    </row>
    <row r="1911" spans="2:4" x14ac:dyDescent="0.25">
      <c r="B1911" s="68"/>
      <c r="C1911" s="50"/>
      <c r="D1911" s="15"/>
    </row>
    <row r="1912" spans="2:4" x14ac:dyDescent="0.25">
      <c r="B1912" s="68"/>
      <c r="C1912" s="50"/>
      <c r="D1912" s="15"/>
    </row>
    <row r="1913" spans="2:4" x14ac:dyDescent="0.25">
      <c r="B1913" s="68"/>
      <c r="C1913" s="50"/>
      <c r="D1913" s="15"/>
    </row>
    <row r="1914" spans="2:4" x14ac:dyDescent="0.25">
      <c r="B1914" s="68"/>
      <c r="C1914" s="50"/>
      <c r="D1914" s="15"/>
    </row>
    <row r="1915" spans="2:4" x14ac:dyDescent="0.25">
      <c r="B1915" s="68"/>
      <c r="C1915" s="50"/>
      <c r="D1915" s="15"/>
    </row>
    <row r="1916" spans="2:4" x14ac:dyDescent="0.25">
      <c r="B1916" s="68"/>
      <c r="C1916" s="50"/>
      <c r="D1916" s="15"/>
    </row>
    <row r="1917" spans="2:4" x14ac:dyDescent="0.25">
      <c r="B1917" s="68"/>
      <c r="C1917" s="50"/>
      <c r="D1917" s="15"/>
    </row>
    <row r="1918" spans="2:4" x14ac:dyDescent="0.25">
      <c r="B1918" s="68"/>
      <c r="C1918" s="50"/>
      <c r="D1918" s="15"/>
    </row>
    <row r="1919" spans="2:4" x14ac:dyDescent="0.25">
      <c r="B1919" s="68"/>
      <c r="C1919" s="50"/>
      <c r="D1919" s="15"/>
    </row>
    <row r="1920" spans="2:4" x14ac:dyDescent="0.25">
      <c r="B1920" s="68"/>
      <c r="C1920" s="50"/>
      <c r="D1920" s="15"/>
    </row>
    <row r="1921" spans="2:4" x14ac:dyDescent="0.25">
      <c r="B1921" s="68"/>
      <c r="C1921" s="50"/>
      <c r="D1921" s="15"/>
    </row>
    <row r="1922" spans="2:4" x14ac:dyDescent="0.25">
      <c r="B1922" s="68"/>
      <c r="C1922" s="50"/>
      <c r="D1922" s="15"/>
    </row>
    <row r="1923" spans="2:4" x14ac:dyDescent="0.25">
      <c r="B1923" s="68"/>
      <c r="C1923" s="50"/>
      <c r="D1923" s="15"/>
    </row>
    <row r="1924" spans="2:4" x14ac:dyDescent="0.25">
      <c r="B1924" s="68"/>
      <c r="C1924" s="50"/>
      <c r="D1924" s="15"/>
    </row>
    <row r="1925" spans="2:4" x14ac:dyDescent="0.25">
      <c r="B1925" s="68"/>
      <c r="C1925" s="50"/>
      <c r="D1925" s="15"/>
    </row>
    <row r="1926" spans="2:4" x14ac:dyDescent="0.25">
      <c r="B1926" s="68"/>
      <c r="C1926" s="50"/>
      <c r="D1926" s="15"/>
    </row>
    <row r="1927" spans="2:4" x14ac:dyDescent="0.25">
      <c r="B1927" s="68"/>
      <c r="C1927" s="50"/>
      <c r="D1927" s="15"/>
    </row>
    <row r="1928" spans="2:4" x14ac:dyDescent="0.25">
      <c r="B1928" s="68"/>
      <c r="C1928" s="50"/>
      <c r="D1928" s="15"/>
    </row>
    <row r="1929" spans="2:4" x14ac:dyDescent="0.25">
      <c r="B1929" s="68"/>
      <c r="C1929" s="50"/>
      <c r="D1929" s="15"/>
    </row>
    <row r="1930" spans="2:4" x14ac:dyDescent="0.25">
      <c r="B1930" s="68"/>
      <c r="C1930" s="50"/>
      <c r="D1930" s="15"/>
    </row>
    <row r="1931" spans="2:4" x14ac:dyDescent="0.25">
      <c r="B1931" s="68"/>
      <c r="C1931" s="50"/>
      <c r="D1931" s="15"/>
    </row>
    <row r="1932" spans="2:4" x14ac:dyDescent="0.25">
      <c r="B1932" s="68"/>
      <c r="C1932" s="50"/>
      <c r="D1932" s="15"/>
    </row>
    <row r="1933" spans="2:4" x14ac:dyDescent="0.25">
      <c r="B1933" s="68"/>
      <c r="C1933" s="50"/>
      <c r="D1933" s="15"/>
    </row>
    <row r="1934" spans="2:4" x14ac:dyDescent="0.25">
      <c r="B1934" s="68"/>
      <c r="C1934" s="50"/>
      <c r="D1934" s="15"/>
    </row>
    <row r="1935" spans="2:4" x14ac:dyDescent="0.25">
      <c r="B1935" s="68"/>
      <c r="C1935" s="50"/>
      <c r="D1935" s="15"/>
    </row>
    <row r="1936" spans="2:4" x14ac:dyDescent="0.25">
      <c r="B1936" s="68"/>
      <c r="C1936" s="50"/>
      <c r="D1936" s="15"/>
    </row>
    <row r="1937" spans="2:4" x14ac:dyDescent="0.25">
      <c r="B1937" s="68"/>
      <c r="C1937" s="50"/>
      <c r="D1937" s="15"/>
    </row>
    <row r="1938" spans="2:4" x14ac:dyDescent="0.25">
      <c r="B1938" s="68"/>
      <c r="C1938" s="50"/>
      <c r="D1938" s="15"/>
    </row>
    <row r="1939" spans="2:4" x14ac:dyDescent="0.25">
      <c r="B1939" s="68"/>
      <c r="C1939" s="50"/>
      <c r="D1939" s="15"/>
    </row>
    <row r="1940" spans="2:4" x14ac:dyDescent="0.25">
      <c r="B1940" s="68"/>
      <c r="C1940" s="50"/>
      <c r="D1940" s="15"/>
    </row>
    <row r="1941" spans="2:4" x14ac:dyDescent="0.25">
      <c r="B1941" s="68"/>
      <c r="C1941" s="50"/>
      <c r="D1941" s="15"/>
    </row>
    <row r="1942" spans="2:4" x14ac:dyDescent="0.25">
      <c r="B1942" s="68"/>
      <c r="C1942" s="50"/>
      <c r="D1942" s="15"/>
    </row>
    <row r="1943" spans="2:4" x14ac:dyDescent="0.25">
      <c r="B1943" s="68"/>
      <c r="C1943" s="50"/>
      <c r="D1943" s="15"/>
    </row>
    <row r="1944" spans="2:4" x14ac:dyDescent="0.25">
      <c r="B1944" s="68"/>
      <c r="C1944" s="50"/>
      <c r="D1944" s="15"/>
    </row>
    <row r="1945" spans="2:4" x14ac:dyDescent="0.25">
      <c r="B1945" s="68"/>
      <c r="C1945" s="50"/>
      <c r="D1945" s="15"/>
    </row>
    <row r="1946" spans="2:4" x14ac:dyDescent="0.25">
      <c r="B1946" s="68"/>
      <c r="C1946" s="50"/>
      <c r="D1946" s="15"/>
    </row>
    <row r="1947" spans="2:4" x14ac:dyDescent="0.25">
      <c r="B1947" s="68"/>
      <c r="C1947" s="50"/>
      <c r="D1947" s="15"/>
    </row>
    <row r="1948" spans="2:4" x14ac:dyDescent="0.25">
      <c r="B1948" s="68"/>
      <c r="C1948" s="50"/>
      <c r="D1948" s="15"/>
    </row>
    <row r="1949" spans="2:4" x14ac:dyDescent="0.25">
      <c r="B1949" s="68"/>
      <c r="C1949" s="50"/>
      <c r="D1949" s="15"/>
    </row>
    <row r="1950" spans="2:4" x14ac:dyDescent="0.25">
      <c r="B1950" s="68"/>
      <c r="C1950" s="50"/>
      <c r="D1950" s="15"/>
    </row>
    <row r="1951" spans="2:4" x14ac:dyDescent="0.25">
      <c r="B1951" s="68"/>
      <c r="C1951" s="50"/>
      <c r="D1951" s="15"/>
    </row>
    <row r="1952" spans="2:4" x14ac:dyDescent="0.25">
      <c r="B1952" s="68"/>
      <c r="C1952" s="50"/>
      <c r="D1952" s="15"/>
    </row>
    <row r="1953" spans="2:4" x14ac:dyDescent="0.25">
      <c r="B1953" s="68"/>
      <c r="C1953" s="50"/>
      <c r="D1953" s="15"/>
    </row>
    <row r="1954" spans="2:4" x14ac:dyDescent="0.25">
      <c r="B1954" s="68"/>
      <c r="C1954" s="50"/>
      <c r="D1954" s="15"/>
    </row>
    <row r="1955" spans="2:4" x14ac:dyDescent="0.25">
      <c r="B1955" s="68"/>
      <c r="C1955" s="50"/>
      <c r="D1955" s="15"/>
    </row>
    <row r="1956" spans="2:4" x14ac:dyDescent="0.25">
      <c r="B1956" s="68"/>
      <c r="C1956" s="50"/>
      <c r="D1956" s="15"/>
    </row>
    <row r="1957" spans="2:4" x14ac:dyDescent="0.25">
      <c r="B1957" s="68"/>
      <c r="C1957" s="50"/>
      <c r="D1957" s="15"/>
    </row>
    <row r="1958" spans="2:4" x14ac:dyDescent="0.25">
      <c r="B1958" s="68"/>
      <c r="C1958" s="50"/>
      <c r="D1958" s="15"/>
    </row>
    <row r="1959" spans="2:4" x14ac:dyDescent="0.25">
      <c r="B1959" s="68"/>
      <c r="C1959" s="50"/>
      <c r="D1959" s="15"/>
    </row>
    <row r="1960" spans="2:4" x14ac:dyDescent="0.25">
      <c r="B1960" s="68"/>
      <c r="C1960" s="50"/>
      <c r="D1960" s="15"/>
    </row>
    <row r="1961" spans="2:4" x14ac:dyDescent="0.25">
      <c r="B1961" s="68"/>
      <c r="C1961" s="50"/>
      <c r="D1961" s="15"/>
    </row>
    <row r="1962" spans="2:4" x14ac:dyDescent="0.25">
      <c r="B1962" s="68"/>
      <c r="C1962" s="50"/>
      <c r="D1962" s="15"/>
    </row>
    <row r="1963" spans="2:4" x14ac:dyDescent="0.25">
      <c r="B1963" s="68"/>
      <c r="C1963" s="50"/>
      <c r="D1963" s="15"/>
    </row>
    <row r="1964" spans="2:4" x14ac:dyDescent="0.25">
      <c r="B1964" s="68"/>
      <c r="C1964" s="50"/>
      <c r="D1964" s="15"/>
    </row>
    <row r="1965" spans="2:4" x14ac:dyDescent="0.25">
      <c r="B1965" s="68"/>
      <c r="C1965" s="50"/>
      <c r="D1965" s="15"/>
    </row>
    <row r="1966" spans="2:4" x14ac:dyDescent="0.25">
      <c r="B1966" s="68"/>
      <c r="C1966" s="50"/>
      <c r="D1966" s="15"/>
    </row>
    <row r="1967" spans="2:4" x14ac:dyDescent="0.25">
      <c r="B1967" s="68"/>
      <c r="C1967" s="50"/>
      <c r="D1967" s="15"/>
    </row>
    <row r="1968" spans="2:4" x14ac:dyDescent="0.25">
      <c r="B1968" s="68"/>
      <c r="C1968" s="50"/>
      <c r="D1968" s="15"/>
    </row>
    <row r="1969" spans="2:4" x14ac:dyDescent="0.25">
      <c r="B1969" s="68"/>
      <c r="C1969" s="50"/>
      <c r="D1969" s="15"/>
    </row>
    <row r="1970" spans="2:4" x14ac:dyDescent="0.25">
      <c r="B1970" s="68"/>
      <c r="C1970" s="50"/>
      <c r="D1970" s="15"/>
    </row>
    <row r="1971" spans="2:4" x14ac:dyDescent="0.25">
      <c r="B1971" s="68"/>
      <c r="C1971" s="50"/>
      <c r="D1971" s="15"/>
    </row>
    <row r="1972" spans="2:4" x14ac:dyDescent="0.25">
      <c r="B1972" s="68"/>
      <c r="C1972" s="50"/>
      <c r="D1972" s="15"/>
    </row>
    <row r="1973" spans="2:4" x14ac:dyDescent="0.25">
      <c r="B1973" s="68"/>
      <c r="C1973" s="50"/>
      <c r="D1973" s="15"/>
    </row>
    <row r="1974" spans="2:4" x14ac:dyDescent="0.25">
      <c r="B1974" s="68"/>
      <c r="C1974" s="50"/>
      <c r="D1974" s="15"/>
    </row>
    <row r="1975" spans="2:4" x14ac:dyDescent="0.25">
      <c r="B1975" s="68"/>
      <c r="C1975" s="50"/>
      <c r="D1975" s="15"/>
    </row>
    <row r="1976" spans="2:4" x14ac:dyDescent="0.25">
      <c r="B1976" s="68"/>
      <c r="C1976" s="50"/>
      <c r="D1976" s="15"/>
    </row>
    <row r="1977" spans="2:4" x14ac:dyDescent="0.25">
      <c r="B1977" s="68"/>
      <c r="C1977" s="50"/>
      <c r="D1977" s="15"/>
    </row>
    <row r="1978" spans="2:4" x14ac:dyDescent="0.25">
      <c r="B1978" s="68"/>
      <c r="C1978" s="50"/>
      <c r="D1978" s="15"/>
    </row>
    <row r="1979" spans="2:4" x14ac:dyDescent="0.25">
      <c r="B1979" s="68"/>
      <c r="C1979" s="50"/>
      <c r="D1979" s="15"/>
    </row>
    <row r="1980" spans="2:4" x14ac:dyDescent="0.25">
      <c r="B1980" s="68"/>
      <c r="C1980" s="50"/>
      <c r="D1980" s="15"/>
    </row>
    <row r="1981" spans="2:4" x14ac:dyDescent="0.25">
      <c r="B1981" s="68"/>
      <c r="C1981" s="50"/>
      <c r="D1981" s="15"/>
    </row>
    <row r="1982" spans="2:4" x14ac:dyDescent="0.25">
      <c r="B1982" s="68"/>
      <c r="C1982" s="50"/>
      <c r="D1982" s="15"/>
    </row>
    <row r="1983" spans="2:4" x14ac:dyDescent="0.25">
      <c r="B1983" s="68"/>
      <c r="C1983" s="50"/>
      <c r="D1983" s="15"/>
    </row>
    <row r="1984" spans="2:4" x14ac:dyDescent="0.25">
      <c r="B1984" s="68"/>
      <c r="C1984" s="50"/>
      <c r="D1984" s="15"/>
    </row>
    <row r="1985" spans="2:4" x14ac:dyDescent="0.25">
      <c r="B1985" s="68"/>
      <c r="C1985" s="50"/>
      <c r="D1985" s="15"/>
    </row>
    <row r="1986" spans="2:4" x14ac:dyDescent="0.25">
      <c r="B1986" s="68"/>
      <c r="C1986" s="50"/>
      <c r="D1986" s="15"/>
    </row>
    <row r="1987" spans="2:4" x14ac:dyDescent="0.25">
      <c r="B1987" s="68"/>
      <c r="C1987" s="50"/>
      <c r="D1987" s="15"/>
    </row>
    <row r="1988" spans="2:4" x14ac:dyDescent="0.25">
      <c r="B1988" s="68"/>
      <c r="C1988" s="50"/>
      <c r="D1988" s="15"/>
    </row>
    <row r="1989" spans="2:4" x14ac:dyDescent="0.25">
      <c r="B1989" s="68"/>
      <c r="C1989" s="50"/>
      <c r="D1989" s="15"/>
    </row>
    <row r="1990" spans="2:4" x14ac:dyDescent="0.25">
      <c r="B1990" s="68"/>
      <c r="C1990" s="50"/>
      <c r="D1990" s="15"/>
    </row>
    <row r="1991" spans="2:4" x14ac:dyDescent="0.25">
      <c r="B1991" s="68"/>
      <c r="C1991" s="50"/>
      <c r="D1991" s="15"/>
    </row>
    <row r="1992" spans="2:4" x14ac:dyDescent="0.25">
      <c r="B1992" s="68"/>
      <c r="C1992" s="50"/>
      <c r="D1992" s="15"/>
    </row>
    <row r="1993" spans="2:4" x14ac:dyDescent="0.25">
      <c r="B1993" s="68"/>
      <c r="C1993" s="50"/>
      <c r="D1993" s="15"/>
    </row>
    <row r="1994" spans="2:4" x14ac:dyDescent="0.25">
      <c r="B1994" s="68"/>
      <c r="C1994" s="50"/>
      <c r="D1994" s="15"/>
    </row>
    <row r="1995" spans="2:4" x14ac:dyDescent="0.25">
      <c r="B1995" s="68"/>
      <c r="C1995" s="50"/>
      <c r="D1995" s="15"/>
    </row>
    <row r="1996" spans="2:4" x14ac:dyDescent="0.25">
      <c r="B1996" s="68"/>
      <c r="C1996" s="50"/>
      <c r="D1996" s="15"/>
    </row>
    <row r="1997" spans="2:4" x14ac:dyDescent="0.25">
      <c r="B1997" s="68"/>
      <c r="C1997" s="50"/>
      <c r="D1997" s="15"/>
    </row>
    <row r="1998" spans="2:4" x14ac:dyDescent="0.25">
      <c r="B1998" s="68"/>
      <c r="C1998" s="50"/>
      <c r="D1998" s="15"/>
    </row>
    <row r="1999" spans="2:4" x14ac:dyDescent="0.25">
      <c r="B1999" s="68"/>
      <c r="C1999" s="50"/>
      <c r="D1999" s="15"/>
    </row>
    <row r="2000" spans="2:4" x14ac:dyDescent="0.25">
      <c r="B2000" s="68"/>
      <c r="C2000" s="50"/>
      <c r="D2000" s="15"/>
    </row>
    <row r="2001" spans="2:4" x14ac:dyDescent="0.25">
      <c r="B2001" s="68"/>
      <c r="C2001" s="50"/>
      <c r="D2001" s="15"/>
    </row>
    <row r="2002" spans="2:4" x14ac:dyDescent="0.25">
      <c r="B2002" s="68"/>
      <c r="C2002" s="50"/>
      <c r="D2002" s="15"/>
    </row>
    <row r="2003" spans="2:4" x14ac:dyDescent="0.25">
      <c r="B2003" s="68"/>
      <c r="C2003" s="50"/>
      <c r="D2003" s="15"/>
    </row>
    <row r="2004" spans="2:4" x14ac:dyDescent="0.25">
      <c r="B2004" s="68"/>
      <c r="C2004" s="50"/>
      <c r="D2004" s="15"/>
    </row>
    <row r="2005" spans="2:4" x14ac:dyDescent="0.25">
      <c r="B2005" s="68"/>
      <c r="C2005" s="50"/>
      <c r="D2005" s="15"/>
    </row>
    <row r="2006" spans="2:4" x14ac:dyDescent="0.25">
      <c r="B2006" s="68"/>
      <c r="C2006" s="50"/>
      <c r="D2006" s="15"/>
    </row>
    <row r="2007" spans="2:4" x14ac:dyDescent="0.25">
      <c r="B2007" s="68"/>
      <c r="C2007" s="50"/>
      <c r="D2007" s="15"/>
    </row>
    <row r="2008" spans="2:4" x14ac:dyDescent="0.25">
      <c r="B2008" s="68"/>
      <c r="C2008" s="50"/>
      <c r="D2008" s="15"/>
    </row>
    <row r="2009" spans="2:4" x14ac:dyDescent="0.25">
      <c r="B2009" s="68"/>
      <c r="C2009" s="50"/>
      <c r="D2009" s="15"/>
    </row>
    <row r="2010" spans="2:4" x14ac:dyDescent="0.25">
      <c r="B2010" s="68"/>
      <c r="C2010" s="50"/>
      <c r="D2010" s="15"/>
    </row>
    <row r="2011" spans="2:4" x14ac:dyDescent="0.25">
      <c r="B2011" s="68"/>
      <c r="C2011" s="50"/>
      <c r="D2011" s="15"/>
    </row>
    <row r="2012" spans="2:4" x14ac:dyDescent="0.25">
      <c r="B2012" s="68"/>
      <c r="C2012" s="50"/>
      <c r="D2012" s="15"/>
    </row>
    <row r="2013" spans="2:4" x14ac:dyDescent="0.25">
      <c r="B2013" s="68"/>
      <c r="C2013" s="50"/>
      <c r="D2013" s="15"/>
    </row>
    <row r="2014" spans="2:4" x14ac:dyDescent="0.25">
      <c r="B2014" s="68"/>
      <c r="C2014" s="50"/>
      <c r="D2014" s="15"/>
    </row>
    <row r="2015" spans="2:4" x14ac:dyDescent="0.25">
      <c r="B2015" s="68"/>
      <c r="C2015" s="50"/>
      <c r="D2015" s="15"/>
    </row>
    <row r="2016" spans="2:4" x14ac:dyDescent="0.25">
      <c r="B2016" s="68"/>
      <c r="C2016" s="50"/>
      <c r="D2016" s="15"/>
    </row>
    <row r="2017" spans="2:4" x14ac:dyDescent="0.25">
      <c r="B2017" s="68"/>
      <c r="C2017" s="50"/>
      <c r="D2017" s="15"/>
    </row>
    <row r="2018" spans="2:4" x14ac:dyDescent="0.25">
      <c r="B2018" s="68"/>
      <c r="C2018" s="50"/>
      <c r="D2018" s="15"/>
    </row>
    <row r="2019" spans="2:4" x14ac:dyDescent="0.25">
      <c r="B2019" s="68"/>
      <c r="C2019" s="50"/>
      <c r="D2019" s="15"/>
    </row>
    <row r="2020" spans="2:4" x14ac:dyDescent="0.25">
      <c r="B2020" s="68"/>
      <c r="C2020" s="50"/>
      <c r="D2020" s="15"/>
    </row>
    <row r="2021" spans="2:4" x14ac:dyDescent="0.25">
      <c r="B2021" s="68"/>
      <c r="C2021" s="50"/>
      <c r="D2021" s="15"/>
    </row>
    <row r="2022" spans="2:4" x14ac:dyDescent="0.25">
      <c r="B2022" s="68"/>
      <c r="C2022" s="50"/>
      <c r="D2022" s="15"/>
    </row>
    <row r="2023" spans="2:4" x14ac:dyDescent="0.25">
      <c r="B2023" s="68"/>
      <c r="C2023" s="50"/>
      <c r="D2023" s="15"/>
    </row>
    <row r="2024" spans="2:4" x14ac:dyDescent="0.25">
      <c r="B2024" s="68"/>
      <c r="C2024" s="50"/>
      <c r="D2024" s="15"/>
    </row>
    <row r="2025" spans="2:4" x14ac:dyDescent="0.25">
      <c r="B2025" s="68"/>
      <c r="C2025" s="50"/>
      <c r="D2025" s="15"/>
    </row>
    <row r="2026" spans="2:4" x14ac:dyDescent="0.25">
      <c r="B2026" s="68"/>
      <c r="C2026" s="50"/>
      <c r="D2026" s="15"/>
    </row>
    <row r="2027" spans="2:4" x14ac:dyDescent="0.25">
      <c r="B2027" s="68"/>
      <c r="C2027" s="50"/>
      <c r="D2027" s="15"/>
    </row>
    <row r="2028" spans="2:4" x14ac:dyDescent="0.25">
      <c r="B2028" s="68"/>
      <c r="C2028" s="50"/>
      <c r="D2028" s="15"/>
    </row>
    <row r="2029" spans="2:4" x14ac:dyDescent="0.25">
      <c r="B2029" s="68"/>
      <c r="C2029" s="50"/>
      <c r="D2029" s="15"/>
    </row>
    <row r="2030" spans="2:4" x14ac:dyDescent="0.25">
      <c r="B2030" s="68"/>
      <c r="C2030" s="50"/>
      <c r="D2030" s="15"/>
    </row>
    <row r="2031" spans="2:4" x14ac:dyDescent="0.25">
      <c r="B2031" s="68"/>
      <c r="C2031" s="50"/>
      <c r="D2031" s="15"/>
    </row>
    <row r="2032" spans="2:4" x14ac:dyDescent="0.25">
      <c r="B2032" s="68"/>
      <c r="C2032" s="50"/>
      <c r="D2032" s="15"/>
    </row>
    <row r="2033" spans="2:4" x14ac:dyDescent="0.25">
      <c r="B2033" s="68"/>
      <c r="C2033" s="50"/>
      <c r="D2033" s="15"/>
    </row>
    <row r="2034" spans="2:4" x14ac:dyDescent="0.25">
      <c r="B2034" s="68"/>
      <c r="C2034" s="50"/>
      <c r="D2034" s="15"/>
    </row>
    <row r="2035" spans="2:4" x14ac:dyDescent="0.25">
      <c r="B2035" s="68"/>
      <c r="C2035" s="50"/>
      <c r="D2035" s="15"/>
    </row>
    <row r="2036" spans="2:4" x14ac:dyDescent="0.25">
      <c r="B2036" s="68"/>
      <c r="C2036" s="50"/>
      <c r="D2036" s="15"/>
    </row>
    <row r="2037" spans="2:4" x14ac:dyDescent="0.25">
      <c r="B2037" s="68"/>
      <c r="C2037" s="50"/>
      <c r="D2037" s="15"/>
    </row>
    <row r="2038" spans="2:4" x14ac:dyDescent="0.25">
      <c r="B2038" s="68"/>
      <c r="C2038" s="50"/>
      <c r="D2038" s="15"/>
    </row>
    <row r="2039" spans="2:4" x14ac:dyDescent="0.25">
      <c r="B2039" s="68"/>
      <c r="C2039" s="50"/>
      <c r="D2039" s="15"/>
    </row>
    <row r="2040" spans="2:4" x14ac:dyDescent="0.25">
      <c r="B2040" s="68"/>
      <c r="C2040" s="50"/>
      <c r="D2040" s="15"/>
    </row>
    <row r="2041" spans="2:4" x14ac:dyDescent="0.25">
      <c r="B2041" s="68"/>
      <c r="C2041" s="50"/>
      <c r="D2041" s="15"/>
    </row>
    <row r="2042" spans="2:4" x14ac:dyDescent="0.25">
      <c r="B2042" s="68"/>
      <c r="C2042" s="50"/>
      <c r="D2042" s="15"/>
    </row>
    <row r="2043" spans="2:4" x14ac:dyDescent="0.25">
      <c r="B2043" s="68"/>
      <c r="C2043" s="50"/>
      <c r="D2043" s="15"/>
    </row>
    <row r="2044" spans="2:4" x14ac:dyDescent="0.25">
      <c r="B2044" s="68"/>
      <c r="C2044" s="50"/>
      <c r="D2044" s="15"/>
    </row>
    <row r="2045" spans="2:4" x14ac:dyDescent="0.25">
      <c r="B2045" s="68"/>
      <c r="C2045" s="50"/>
      <c r="D2045" s="15"/>
    </row>
    <row r="2046" spans="2:4" x14ac:dyDescent="0.25">
      <c r="B2046" s="68"/>
      <c r="C2046" s="50"/>
      <c r="D2046" s="15"/>
    </row>
    <row r="2047" spans="2:4" x14ac:dyDescent="0.25">
      <c r="B2047" s="68"/>
      <c r="C2047" s="50"/>
      <c r="D2047" s="15"/>
    </row>
    <row r="2048" spans="2:4" x14ac:dyDescent="0.25">
      <c r="B2048" s="68"/>
      <c r="C2048" s="50"/>
      <c r="D2048" s="15"/>
    </row>
    <row r="2049" spans="2:4" x14ac:dyDescent="0.25">
      <c r="B2049" s="68"/>
      <c r="C2049" s="50"/>
      <c r="D2049" s="15"/>
    </row>
    <row r="2050" spans="2:4" x14ac:dyDescent="0.25">
      <c r="B2050" s="68"/>
      <c r="C2050" s="50"/>
      <c r="D2050" s="15"/>
    </row>
    <row r="2051" spans="2:4" x14ac:dyDescent="0.25">
      <c r="B2051" s="68"/>
      <c r="C2051" s="50"/>
      <c r="D2051" s="15"/>
    </row>
    <row r="2052" spans="2:4" x14ac:dyDescent="0.25">
      <c r="B2052" s="68"/>
      <c r="C2052" s="50"/>
      <c r="D2052" s="15"/>
    </row>
    <row r="2053" spans="2:4" x14ac:dyDescent="0.25">
      <c r="B2053" s="68"/>
      <c r="C2053" s="50"/>
      <c r="D2053" s="15"/>
    </row>
    <row r="2054" spans="2:4" x14ac:dyDescent="0.25">
      <c r="B2054" s="68"/>
      <c r="C2054" s="50"/>
      <c r="D2054" s="15"/>
    </row>
    <row r="2055" spans="2:4" x14ac:dyDescent="0.25">
      <c r="B2055" s="68"/>
      <c r="C2055" s="50"/>
      <c r="D2055" s="15"/>
    </row>
    <row r="2056" spans="2:4" x14ac:dyDescent="0.25">
      <c r="B2056" s="68"/>
      <c r="C2056" s="50"/>
      <c r="D2056" s="15"/>
    </row>
    <row r="2057" spans="2:4" x14ac:dyDescent="0.25">
      <c r="B2057" s="68"/>
      <c r="C2057" s="50"/>
      <c r="D2057" s="15"/>
    </row>
    <row r="2058" spans="2:4" x14ac:dyDescent="0.25">
      <c r="B2058" s="68"/>
      <c r="C2058" s="50"/>
      <c r="D2058" s="15"/>
    </row>
    <row r="2059" spans="2:4" x14ac:dyDescent="0.25">
      <c r="B2059" s="68"/>
      <c r="C2059" s="50"/>
      <c r="D2059" s="15"/>
    </row>
    <row r="2060" spans="2:4" x14ac:dyDescent="0.25">
      <c r="B2060" s="68"/>
      <c r="C2060" s="50"/>
      <c r="D2060" s="15"/>
    </row>
    <row r="2061" spans="2:4" x14ac:dyDescent="0.25">
      <c r="B2061" s="68"/>
      <c r="C2061" s="50"/>
      <c r="D2061" s="15"/>
    </row>
    <row r="2062" spans="2:4" x14ac:dyDescent="0.25">
      <c r="B2062" s="68"/>
      <c r="C2062" s="50"/>
      <c r="D2062" s="15"/>
    </row>
    <row r="2063" spans="2:4" x14ac:dyDescent="0.25">
      <c r="B2063" s="68"/>
      <c r="C2063" s="50"/>
      <c r="D2063" s="15"/>
    </row>
    <row r="2064" spans="2:4" x14ac:dyDescent="0.25">
      <c r="B2064" s="68"/>
      <c r="C2064" s="50"/>
      <c r="D2064" s="15"/>
    </row>
    <row r="2065" spans="2:4" x14ac:dyDescent="0.25">
      <c r="B2065" s="68"/>
      <c r="C2065" s="50"/>
      <c r="D2065" s="15"/>
    </row>
    <row r="2066" spans="2:4" x14ac:dyDescent="0.25">
      <c r="B2066" s="68"/>
      <c r="C2066" s="50"/>
      <c r="D2066" s="15"/>
    </row>
    <row r="2067" spans="2:4" x14ac:dyDescent="0.25">
      <c r="B2067" s="68"/>
      <c r="C2067" s="50"/>
      <c r="D2067" s="15"/>
    </row>
    <row r="2068" spans="2:4" x14ac:dyDescent="0.25">
      <c r="B2068" s="68"/>
      <c r="C2068" s="50"/>
      <c r="D2068" s="15"/>
    </row>
    <row r="2069" spans="2:4" x14ac:dyDescent="0.25">
      <c r="B2069" s="68"/>
      <c r="C2069" s="50"/>
      <c r="D2069" s="15"/>
    </row>
    <row r="2070" spans="2:4" x14ac:dyDescent="0.25">
      <c r="B2070" s="68"/>
      <c r="C2070" s="50"/>
      <c r="D2070" s="15"/>
    </row>
    <row r="2071" spans="2:4" x14ac:dyDescent="0.25">
      <c r="B2071" s="68"/>
      <c r="C2071" s="50"/>
      <c r="D2071" s="15"/>
    </row>
    <row r="2072" spans="2:4" x14ac:dyDescent="0.25">
      <c r="B2072" s="68"/>
      <c r="C2072" s="50"/>
      <c r="D2072" s="15"/>
    </row>
    <row r="2073" spans="2:4" x14ac:dyDescent="0.25">
      <c r="B2073" s="68"/>
      <c r="C2073" s="50"/>
      <c r="D2073" s="15"/>
    </row>
    <row r="2074" spans="2:4" x14ac:dyDescent="0.25">
      <c r="B2074" s="68"/>
      <c r="C2074" s="50"/>
      <c r="D2074" s="15"/>
    </row>
    <row r="2075" spans="2:4" x14ac:dyDescent="0.25">
      <c r="B2075" s="68"/>
      <c r="C2075" s="50"/>
      <c r="D2075" s="15"/>
    </row>
    <row r="2076" spans="2:4" x14ac:dyDescent="0.25">
      <c r="B2076" s="68"/>
      <c r="C2076" s="50"/>
      <c r="D2076" s="15"/>
    </row>
    <row r="2077" spans="2:4" x14ac:dyDescent="0.25">
      <c r="B2077" s="68"/>
      <c r="C2077" s="50"/>
      <c r="D2077" s="15"/>
    </row>
    <row r="2078" spans="2:4" x14ac:dyDescent="0.25">
      <c r="B2078" s="68"/>
      <c r="C2078" s="50"/>
      <c r="D2078" s="15"/>
    </row>
    <row r="2079" spans="2:4" x14ac:dyDescent="0.25">
      <c r="B2079" s="68"/>
      <c r="C2079" s="50"/>
      <c r="D2079" s="15"/>
    </row>
    <row r="2080" spans="2:4" x14ac:dyDescent="0.25">
      <c r="B2080" s="68"/>
      <c r="C2080" s="50"/>
      <c r="D2080" s="15"/>
    </row>
    <row r="2081" spans="2:4" x14ac:dyDescent="0.25">
      <c r="B2081" s="68"/>
      <c r="C2081" s="50"/>
      <c r="D2081" s="15"/>
    </row>
    <row r="2082" spans="2:4" x14ac:dyDescent="0.25">
      <c r="B2082" s="68"/>
      <c r="C2082" s="50"/>
      <c r="D2082" s="15"/>
    </row>
    <row r="2083" spans="2:4" x14ac:dyDescent="0.25">
      <c r="B2083" s="68"/>
      <c r="C2083" s="50"/>
      <c r="D2083" s="15"/>
    </row>
    <row r="2084" spans="2:4" x14ac:dyDescent="0.25">
      <c r="B2084" s="68"/>
      <c r="C2084" s="50"/>
      <c r="D2084" s="15"/>
    </row>
    <row r="2085" spans="2:4" x14ac:dyDescent="0.25">
      <c r="B2085" s="68"/>
      <c r="C2085" s="50"/>
      <c r="D2085" s="15"/>
    </row>
    <row r="2086" spans="2:4" x14ac:dyDescent="0.25">
      <c r="B2086" s="68"/>
      <c r="C2086" s="50"/>
      <c r="D2086" s="15"/>
    </row>
    <row r="2087" spans="2:4" x14ac:dyDescent="0.25">
      <c r="B2087" s="68"/>
      <c r="C2087" s="50"/>
      <c r="D2087" s="15"/>
    </row>
    <row r="2088" spans="2:4" x14ac:dyDescent="0.25">
      <c r="B2088" s="68"/>
      <c r="C2088" s="50"/>
      <c r="D2088" s="15"/>
    </row>
    <row r="2089" spans="2:4" x14ac:dyDescent="0.25">
      <c r="B2089" s="68"/>
      <c r="C2089" s="50"/>
      <c r="D2089" s="15"/>
    </row>
    <row r="2090" spans="2:4" x14ac:dyDescent="0.25">
      <c r="B2090" s="68"/>
      <c r="C2090" s="50"/>
      <c r="D2090" s="15"/>
    </row>
    <row r="2091" spans="2:4" x14ac:dyDescent="0.25">
      <c r="B2091" s="68"/>
      <c r="C2091" s="50"/>
      <c r="D2091" s="15"/>
    </row>
    <row r="2092" spans="2:4" x14ac:dyDescent="0.25">
      <c r="B2092" s="68"/>
      <c r="C2092" s="50"/>
      <c r="D2092" s="15"/>
    </row>
    <row r="2093" spans="2:4" x14ac:dyDescent="0.25">
      <c r="B2093" s="68"/>
      <c r="C2093" s="50"/>
      <c r="D2093" s="15"/>
    </row>
    <row r="2094" spans="2:4" x14ac:dyDescent="0.25">
      <c r="B2094" s="68"/>
      <c r="C2094" s="50"/>
      <c r="D2094" s="15"/>
    </row>
    <row r="2095" spans="2:4" x14ac:dyDescent="0.25">
      <c r="B2095" s="68"/>
      <c r="C2095" s="50"/>
      <c r="D2095" s="15"/>
    </row>
    <row r="2096" spans="2:4" x14ac:dyDescent="0.25">
      <c r="B2096" s="68"/>
      <c r="C2096" s="50"/>
      <c r="D2096" s="15"/>
    </row>
    <row r="2097" spans="2:4" x14ac:dyDescent="0.25">
      <c r="B2097" s="68"/>
      <c r="C2097" s="50"/>
      <c r="D2097" s="15"/>
    </row>
    <row r="2098" spans="2:4" x14ac:dyDescent="0.25">
      <c r="B2098" s="68"/>
      <c r="C2098" s="50"/>
      <c r="D2098" s="15"/>
    </row>
    <row r="2099" spans="2:4" x14ac:dyDescent="0.25">
      <c r="B2099" s="68"/>
      <c r="C2099" s="50"/>
      <c r="D2099" s="15"/>
    </row>
    <row r="2100" spans="2:4" x14ac:dyDescent="0.25">
      <c r="B2100" s="68"/>
      <c r="C2100" s="50"/>
      <c r="D2100" s="15"/>
    </row>
    <row r="2101" spans="2:4" x14ac:dyDescent="0.25">
      <c r="B2101" s="68"/>
      <c r="C2101" s="50"/>
      <c r="D2101" s="15"/>
    </row>
    <row r="2102" spans="2:4" x14ac:dyDescent="0.25">
      <c r="B2102" s="68"/>
      <c r="C2102" s="50"/>
      <c r="D2102" s="15"/>
    </row>
    <row r="2103" spans="2:4" x14ac:dyDescent="0.25">
      <c r="B2103" s="68"/>
      <c r="C2103" s="50"/>
      <c r="D2103" s="15"/>
    </row>
    <row r="2104" spans="2:4" x14ac:dyDescent="0.25">
      <c r="B2104" s="68"/>
      <c r="C2104" s="50"/>
      <c r="D2104" s="15"/>
    </row>
    <row r="2105" spans="2:4" x14ac:dyDescent="0.25">
      <c r="B2105" s="68"/>
      <c r="C2105" s="50"/>
      <c r="D2105" s="15"/>
    </row>
    <row r="2106" spans="2:4" x14ac:dyDescent="0.25">
      <c r="B2106" s="68"/>
      <c r="C2106" s="50"/>
      <c r="D2106" s="15"/>
    </row>
    <row r="2107" spans="2:4" x14ac:dyDescent="0.25">
      <c r="B2107" s="68"/>
      <c r="C2107" s="50"/>
      <c r="D2107" s="15"/>
    </row>
    <row r="2108" spans="2:4" x14ac:dyDescent="0.25">
      <c r="B2108" s="68"/>
      <c r="C2108" s="50"/>
      <c r="D2108" s="15"/>
    </row>
    <row r="2109" spans="2:4" x14ac:dyDescent="0.25">
      <c r="B2109" s="68"/>
      <c r="C2109" s="50"/>
      <c r="D2109" s="15"/>
    </row>
    <row r="2110" spans="2:4" x14ac:dyDescent="0.25">
      <c r="B2110" s="68"/>
      <c r="C2110" s="50"/>
      <c r="D2110" s="15"/>
    </row>
    <row r="2111" spans="2:4" x14ac:dyDescent="0.25">
      <c r="B2111" s="68"/>
      <c r="C2111" s="50"/>
      <c r="D2111" s="15"/>
    </row>
    <row r="2112" spans="2:4" x14ac:dyDescent="0.25">
      <c r="B2112" s="68"/>
      <c r="C2112" s="50"/>
      <c r="D2112" s="15"/>
    </row>
    <row r="2113" spans="2:4" x14ac:dyDescent="0.25">
      <c r="B2113" s="68"/>
      <c r="C2113" s="50"/>
      <c r="D2113" s="15"/>
    </row>
    <row r="2114" spans="2:4" x14ac:dyDescent="0.25">
      <c r="B2114" s="68"/>
      <c r="C2114" s="50"/>
      <c r="D2114" s="15"/>
    </row>
    <row r="2115" spans="2:4" x14ac:dyDescent="0.25">
      <c r="B2115" s="68"/>
      <c r="C2115" s="50"/>
      <c r="D2115" s="15"/>
    </row>
    <row r="2116" spans="2:4" x14ac:dyDescent="0.25">
      <c r="B2116" s="68"/>
      <c r="C2116" s="50"/>
      <c r="D2116" s="15"/>
    </row>
    <row r="2117" spans="2:4" x14ac:dyDescent="0.25">
      <c r="B2117" s="68"/>
      <c r="C2117" s="50"/>
      <c r="D2117" s="15"/>
    </row>
    <row r="2118" spans="2:4" x14ac:dyDescent="0.25">
      <c r="B2118" s="68"/>
      <c r="C2118" s="50"/>
      <c r="D2118" s="15"/>
    </row>
    <row r="2119" spans="2:4" x14ac:dyDescent="0.25">
      <c r="B2119" s="68"/>
      <c r="C2119" s="50"/>
      <c r="D2119" s="15"/>
    </row>
    <row r="2120" spans="2:4" x14ac:dyDescent="0.25">
      <c r="B2120" s="68"/>
      <c r="C2120" s="50"/>
      <c r="D2120" s="15"/>
    </row>
    <row r="2121" spans="2:4" x14ac:dyDescent="0.25">
      <c r="B2121" s="68"/>
      <c r="C2121" s="50"/>
      <c r="D2121" s="15"/>
    </row>
    <row r="2122" spans="2:4" x14ac:dyDescent="0.25">
      <c r="B2122" s="68"/>
      <c r="C2122" s="50"/>
      <c r="D2122" s="15"/>
    </row>
    <row r="2123" spans="2:4" x14ac:dyDescent="0.25">
      <c r="B2123" s="68"/>
      <c r="C2123" s="50"/>
      <c r="D2123" s="15"/>
    </row>
    <row r="2124" spans="2:4" x14ac:dyDescent="0.25">
      <c r="B2124" s="68"/>
      <c r="C2124" s="50"/>
      <c r="D2124" s="15"/>
    </row>
    <row r="2125" spans="2:4" x14ac:dyDescent="0.25">
      <c r="B2125" s="68"/>
      <c r="C2125" s="50"/>
      <c r="D2125" s="15"/>
    </row>
    <row r="2126" spans="2:4" x14ac:dyDescent="0.25">
      <c r="B2126" s="68"/>
      <c r="C2126" s="50"/>
      <c r="D2126" s="15"/>
    </row>
    <row r="2127" spans="2:4" x14ac:dyDescent="0.25">
      <c r="B2127" s="68"/>
      <c r="C2127" s="50"/>
      <c r="D2127" s="15"/>
    </row>
    <row r="2128" spans="2:4" x14ac:dyDescent="0.25">
      <c r="B2128" s="68"/>
      <c r="C2128" s="50"/>
      <c r="D2128" s="15"/>
    </row>
    <row r="2129" spans="2:4" x14ac:dyDescent="0.25">
      <c r="B2129" s="68"/>
      <c r="C2129" s="50"/>
      <c r="D2129" s="15"/>
    </row>
    <row r="2130" spans="2:4" x14ac:dyDescent="0.25">
      <c r="B2130" s="68"/>
      <c r="C2130" s="50"/>
      <c r="D2130" s="15"/>
    </row>
    <row r="2131" spans="2:4" x14ac:dyDescent="0.25">
      <c r="B2131" s="68"/>
      <c r="C2131" s="50"/>
      <c r="D2131" s="15"/>
    </row>
    <row r="2132" spans="2:4" x14ac:dyDescent="0.25">
      <c r="B2132" s="68"/>
      <c r="C2132" s="50"/>
      <c r="D2132" s="15"/>
    </row>
    <row r="2133" spans="2:4" x14ac:dyDescent="0.25">
      <c r="B2133" s="68"/>
      <c r="C2133" s="50"/>
      <c r="D2133" s="15"/>
    </row>
    <row r="2134" spans="2:4" x14ac:dyDescent="0.25">
      <c r="B2134" s="68"/>
      <c r="C2134" s="50"/>
      <c r="D2134" s="15"/>
    </row>
    <row r="2135" spans="2:4" x14ac:dyDescent="0.25">
      <c r="B2135" s="68"/>
      <c r="C2135" s="50"/>
      <c r="D2135" s="15"/>
    </row>
    <row r="2136" spans="2:4" x14ac:dyDescent="0.25">
      <c r="B2136" s="68"/>
      <c r="C2136" s="50"/>
      <c r="D2136" s="15"/>
    </row>
    <row r="2137" spans="2:4" x14ac:dyDescent="0.25">
      <c r="B2137" s="68"/>
      <c r="C2137" s="50"/>
      <c r="D2137" s="15"/>
    </row>
    <row r="2138" spans="2:4" x14ac:dyDescent="0.25">
      <c r="B2138" s="68"/>
      <c r="C2138" s="50"/>
      <c r="D2138" s="15"/>
    </row>
    <row r="2139" spans="2:4" x14ac:dyDescent="0.25">
      <c r="B2139" s="68"/>
      <c r="C2139" s="50"/>
      <c r="D2139" s="15"/>
    </row>
    <row r="2140" spans="2:4" x14ac:dyDescent="0.25">
      <c r="B2140" s="68"/>
      <c r="C2140" s="50"/>
      <c r="D2140" s="15"/>
    </row>
    <row r="2141" spans="2:4" x14ac:dyDescent="0.25">
      <c r="B2141" s="68"/>
      <c r="C2141" s="50"/>
      <c r="D2141" s="15"/>
    </row>
    <row r="2142" spans="2:4" x14ac:dyDescent="0.25">
      <c r="B2142" s="68"/>
      <c r="C2142" s="50"/>
      <c r="D2142" s="15"/>
    </row>
    <row r="2143" spans="2:4" x14ac:dyDescent="0.25">
      <c r="B2143" s="68"/>
      <c r="C2143" s="50"/>
      <c r="D2143" s="15"/>
    </row>
    <row r="2144" spans="2:4" x14ac:dyDescent="0.25">
      <c r="B2144" s="68"/>
      <c r="C2144" s="50"/>
      <c r="D2144" s="15"/>
    </row>
    <row r="2145" spans="2:4" x14ac:dyDescent="0.25">
      <c r="B2145" s="68"/>
      <c r="C2145" s="50"/>
      <c r="D2145" s="15"/>
    </row>
    <row r="2146" spans="2:4" x14ac:dyDescent="0.25">
      <c r="B2146" s="68"/>
      <c r="C2146" s="50"/>
      <c r="D2146" s="15"/>
    </row>
    <row r="2147" spans="2:4" x14ac:dyDescent="0.25">
      <c r="B2147" s="68"/>
      <c r="C2147" s="50"/>
      <c r="D2147" s="15"/>
    </row>
    <row r="2148" spans="2:4" x14ac:dyDescent="0.25">
      <c r="B2148" s="68"/>
      <c r="C2148" s="50"/>
      <c r="D2148" s="15"/>
    </row>
    <row r="2149" spans="2:4" x14ac:dyDescent="0.25">
      <c r="B2149" s="68"/>
      <c r="C2149" s="50"/>
      <c r="D2149" s="15"/>
    </row>
    <row r="2150" spans="2:4" x14ac:dyDescent="0.25">
      <c r="B2150" s="68"/>
      <c r="C2150" s="50"/>
      <c r="D2150" s="15"/>
    </row>
    <row r="2151" spans="2:4" x14ac:dyDescent="0.25">
      <c r="B2151" s="68"/>
      <c r="C2151" s="50"/>
      <c r="D2151" s="15"/>
    </row>
    <row r="2152" spans="2:4" x14ac:dyDescent="0.25">
      <c r="B2152" s="68"/>
      <c r="C2152" s="50"/>
      <c r="D2152" s="15"/>
    </row>
    <row r="2153" spans="2:4" x14ac:dyDescent="0.25">
      <c r="B2153" s="68"/>
      <c r="C2153" s="50"/>
      <c r="D2153" s="15"/>
    </row>
    <row r="2154" spans="2:4" x14ac:dyDescent="0.25">
      <c r="B2154" s="68"/>
      <c r="C2154" s="50"/>
      <c r="D2154" s="15"/>
    </row>
    <row r="2155" spans="2:4" x14ac:dyDescent="0.25">
      <c r="B2155" s="68"/>
      <c r="C2155" s="50"/>
      <c r="D2155" s="15"/>
    </row>
    <row r="2156" spans="2:4" x14ac:dyDescent="0.25">
      <c r="B2156" s="68"/>
      <c r="C2156" s="50"/>
      <c r="D2156" s="15"/>
    </row>
    <row r="2157" spans="2:4" x14ac:dyDescent="0.25">
      <c r="B2157" s="68"/>
      <c r="C2157" s="50"/>
      <c r="D2157" s="15"/>
    </row>
    <row r="2158" spans="2:4" x14ac:dyDescent="0.25">
      <c r="B2158" s="68"/>
      <c r="C2158" s="50"/>
      <c r="D2158" s="15"/>
    </row>
    <row r="2159" spans="2:4" x14ac:dyDescent="0.25">
      <c r="B2159" s="68"/>
      <c r="C2159" s="50"/>
      <c r="D2159" s="15"/>
    </row>
    <row r="2160" spans="2:4" x14ac:dyDescent="0.25">
      <c r="B2160" s="68"/>
      <c r="C2160" s="50"/>
      <c r="D2160" s="15"/>
    </row>
    <row r="2161" spans="2:4" x14ac:dyDescent="0.25">
      <c r="B2161" s="68"/>
      <c r="C2161" s="50"/>
      <c r="D2161" s="15"/>
    </row>
    <row r="2162" spans="2:4" x14ac:dyDescent="0.25">
      <c r="B2162" s="68"/>
      <c r="C2162" s="50"/>
      <c r="D2162" s="15"/>
    </row>
    <row r="2163" spans="2:4" x14ac:dyDescent="0.25">
      <c r="B2163" s="68"/>
      <c r="C2163" s="50"/>
      <c r="D2163" s="15"/>
    </row>
    <row r="2164" spans="2:4" x14ac:dyDescent="0.25">
      <c r="B2164" s="68"/>
      <c r="C2164" s="50"/>
      <c r="D2164" s="15"/>
    </row>
    <row r="2165" spans="2:4" x14ac:dyDescent="0.25">
      <c r="B2165" s="68"/>
      <c r="C2165" s="50"/>
      <c r="D2165" s="15"/>
    </row>
    <row r="2166" spans="2:4" x14ac:dyDescent="0.25">
      <c r="B2166" s="68"/>
      <c r="C2166" s="50"/>
      <c r="D2166" s="15"/>
    </row>
    <row r="2167" spans="2:4" x14ac:dyDescent="0.25">
      <c r="B2167" s="68"/>
      <c r="C2167" s="50"/>
      <c r="D2167" s="15"/>
    </row>
    <row r="2168" spans="2:4" x14ac:dyDescent="0.25">
      <c r="B2168" s="68"/>
      <c r="C2168" s="50"/>
      <c r="D2168" s="15"/>
    </row>
    <row r="2169" spans="2:4" x14ac:dyDescent="0.25">
      <c r="B2169" s="68"/>
      <c r="C2169" s="50"/>
      <c r="D2169" s="15"/>
    </row>
    <row r="2170" spans="2:4" x14ac:dyDescent="0.25">
      <c r="B2170" s="68"/>
      <c r="C2170" s="50"/>
      <c r="D2170" s="15"/>
    </row>
    <row r="2171" spans="2:4" x14ac:dyDescent="0.25">
      <c r="B2171" s="68"/>
      <c r="C2171" s="50"/>
      <c r="D2171" s="15"/>
    </row>
    <row r="2172" spans="2:4" x14ac:dyDescent="0.25">
      <c r="B2172" s="68"/>
      <c r="C2172" s="50"/>
      <c r="D2172" s="15"/>
    </row>
    <row r="2173" spans="2:4" x14ac:dyDescent="0.25">
      <c r="B2173" s="68"/>
      <c r="C2173" s="50"/>
      <c r="D2173" s="15"/>
    </row>
    <row r="2174" spans="2:4" x14ac:dyDescent="0.25">
      <c r="B2174" s="68"/>
      <c r="C2174" s="50"/>
      <c r="D2174" s="15"/>
    </row>
    <row r="2175" spans="2:4" x14ac:dyDescent="0.25">
      <c r="B2175" s="68"/>
      <c r="C2175" s="50"/>
      <c r="D2175" s="15"/>
    </row>
    <row r="2176" spans="2:4" x14ac:dyDescent="0.25">
      <c r="B2176" s="68"/>
      <c r="C2176" s="50"/>
      <c r="D2176" s="15"/>
    </row>
    <row r="2177" spans="2:4" x14ac:dyDescent="0.25">
      <c r="B2177" s="68"/>
      <c r="C2177" s="50"/>
      <c r="D2177" s="15"/>
    </row>
    <row r="2178" spans="2:4" x14ac:dyDescent="0.25">
      <c r="B2178" s="68"/>
      <c r="C2178" s="50"/>
      <c r="D2178" s="15"/>
    </row>
    <row r="2179" spans="2:4" x14ac:dyDescent="0.25">
      <c r="B2179" s="68"/>
      <c r="C2179" s="50"/>
      <c r="D2179" s="15"/>
    </row>
    <row r="2180" spans="2:4" x14ac:dyDescent="0.25">
      <c r="B2180" s="68"/>
      <c r="C2180" s="50"/>
      <c r="D2180" s="15"/>
    </row>
    <row r="2181" spans="2:4" x14ac:dyDescent="0.25">
      <c r="B2181" s="68"/>
      <c r="C2181" s="50"/>
      <c r="D2181" s="15"/>
    </row>
    <row r="2182" spans="2:4" x14ac:dyDescent="0.25">
      <c r="B2182" s="68"/>
      <c r="C2182" s="50"/>
      <c r="D2182" s="15"/>
    </row>
    <row r="2183" spans="2:4" x14ac:dyDescent="0.25">
      <c r="B2183" s="68"/>
      <c r="C2183" s="50"/>
      <c r="D2183" s="15"/>
    </row>
    <row r="2184" spans="2:4" x14ac:dyDescent="0.25">
      <c r="B2184" s="68"/>
      <c r="C2184" s="50"/>
      <c r="D2184" s="15"/>
    </row>
    <row r="2185" spans="2:4" x14ac:dyDescent="0.25">
      <c r="B2185" s="68"/>
      <c r="C2185" s="50"/>
      <c r="D2185" s="15"/>
    </row>
    <row r="2186" spans="2:4" x14ac:dyDescent="0.25">
      <c r="B2186" s="68"/>
      <c r="C2186" s="50"/>
      <c r="D2186" s="15"/>
    </row>
    <row r="2187" spans="2:4" x14ac:dyDescent="0.25">
      <c r="B2187" s="68"/>
      <c r="C2187" s="50"/>
      <c r="D2187" s="15"/>
    </row>
    <row r="2188" spans="2:4" x14ac:dyDescent="0.25">
      <c r="B2188" s="68"/>
      <c r="C2188" s="50"/>
      <c r="D2188" s="15"/>
    </row>
    <row r="2189" spans="2:4" x14ac:dyDescent="0.25">
      <c r="B2189" s="68"/>
      <c r="C2189" s="50"/>
      <c r="D2189" s="15"/>
    </row>
    <row r="2190" spans="2:4" x14ac:dyDescent="0.25">
      <c r="B2190" s="68"/>
      <c r="C2190" s="50"/>
      <c r="D2190" s="15"/>
    </row>
    <row r="2191" spans="2:4" x14ac:dyDescent="0.25">
      <c r="B2191" s="68"/>
      <c r="C2191" s="50"/>
      <c r="D2191" s="15"/>
    </row>
    <row r="2192" spans="2:4" x14ac:dyDescent="0.25">
      <c r="B2192" s="68"/>
      <c r="C2192" s="50"/>
      <c r="D2192" s="15"/>
    </row>
    <row r="2193" spans="2:4" x14ac:dyDescent="0.25">
      <c r="B2193" s="68"/>
      <c r="C2193" s="50"/>
      <c r="D2193" s="15"/>
    </row>
    <row r="2194" spans="2:4" x14ac:dyDescent="0.25">
      <c r="B2194" s="68"/>
      <c r="C2194" s="50"/>
      <c r="D2194" s="15"/>
    </row>
    <row r="2195" spans="2:4" x14ac:dyDescent="0.25">
      <c r="B2195" s="68"/>
      <c r="C2195" s="50"/>
      <c r="D2195" s="15"/>
    </row>
    <row r="2196" spans="2:4" x14ac:dyDescent="0.25">
      <c r="B2196" s="68"/>
      <c r="C2196" s="50"/>
      <c r="D2196" s="15"/>
    </row>
    <row r="2197" spans="2:4" x14ac:dyDescent="0.25">
      <c r="B2197" s="68"/>
      <c r="C2197" s="50"/>
      <c r="D2197" s="15"/>
    </row>
    <row r="2198" spans="2:4" x14ac:dyDescent="0.25">
      <c r="B2198" s="68"/>
      <c r="C2198" s="50"/>
      <c r="D2198" s="15"/>
    </row>
    <row r="2199" spans="2:4" x14ac:dyDescent="0.25">
      <c r="B2199" s="68"/>
      <c r="C2199" s="50"/>
      <c r="D2199" s="15"/>
    </row>
    <row r="2200" spans="2:4" x14ac:dyDescent="0.25">
      <c r="B2200" s="68"/>
      <c r="C2200" s="50"/>
      <c r="D2200" s="15"/>
    </row>
    <row r="2201" spans="2:4" x14ac:dyDescent="0.25">
      <c r="B2201" s="68"/>
      <c r="C2201" s="50"/>
      <c r="D2201" s="15"/>
    </row>
    <row r="2202" spans="2:4" x14ac:dyDescent="0.25">
      <c r="B2202" s="68"/>
      <c r="C2202" s="50"/>
      <c r="D2202" s="15"/>
    </row>
    <row r="2203" spans="2:4" x14ac:dyDescent="0.25">
      <c r="B2203" s="68"/>
      <c r="C2203" s="50"/>
      <c r="D2203" s="15"/>
    </row>
    <row r="2204" spans="2:4" x14ac:dyDescent="0.25">
      <c r="B2204" s="68"/>
      <c r="C2204" s="50"/>
      <c r="D2204" s="15"/>
    </row>
    <row r="2205" spans="2:4" x14ac:dyDescent="0.25">
      <c r="B2205" s="68"/>
      <c r="C2205" s="50"/>
      <c r="D2205" s="15"/>
    </row>
    <row r="2206" spans="2:4" x14ac:dyDescent="0.25">
      <c r="B2206" s="68"/>
      <c r="C2206" s="50"/>
      <c r="D2206" s="15"/>
    </row>
    <row r="2207" spans="2:4" x14ac:dyDescent="0.25">
      <c r="B2207" s="68"/>
      <c r="C2207" s="50"/>
      <c r="D2207" s="15"/>
    </row>
    <row r="2208" spans="2:4" x14ac:dyDescent="0.25">
      <c r="B2208" s="68"/>
      <c r="C2208" s="50"/>
      <c r="D2208" s="15"/>
    </row>
    <row r="2209" spans="2:4" x14ac:dyDescent="0.25">
      <c r="B2209" s="68"/>
      <c r="C2209" s="50"/>
      <c r="D2209" s="15"/>
    </row>
    <row r="2210" spans="2:4" x14ac:dyDescent="0.25">
      <c r="B2210" s="68"/>
      <c r="C2210" s="50"/>
      <c r="D2210" s="15"/>
    </row>
    <row r="2211" spans="2:4" x14ac:dyDescent="0.25">
      <c r="B2211" s="68"/>
      <c r="C2211" s="50"/>
      <c r="D2211" s="15"/>
    </row>
    <row r="2212" spans="2:4" x14ac:dyDescent="0.25">
      <c r="B2212" s="68"/>
      <c r="C2212" s="50"/>
      <c r="D2212" s="15"/>
    </row>
    <row r="2213" spans="2:4" x14ac:dyDescent="0.25">
      <c r="B2213" s="68"/>
      <c r="C2213" s="50"/>
      <c r="D2213" s="15"/>
    </row>
    <row r="2214" spans="2:4" x14ac:dyDescent="0.25">
      <c r="B2214" s="68"/>
      <c r="C2214" s="50"/>
      <c r="D2214" s="15"/>
    </row>
    <row r="2215" spans="2:4" x14ac:dyDescent="0.25">
      <c r="B2215" s="68"/>
      <c r="C2215" s="50"/>
      <c r="D2215" s="15"/>
    </row>
    <row r="2216" spans="2:4" x14ac:dyDescent="0.25">
      <c r="B2216" s="68"/>
      <c r="C2216" s="50"/>
      <c r="D2216" s="15"/>
    </row>
    <row r="2217" spans="2:4" x14ac:dyDescent="0.25">
      <c r="B2217" s="68"/>
      <c r="C2217" s="50"/>
      <c r="D2217" s="15"/>
    </row>
    <row r="2218" spans="2:4" x14ac:dyDescent="0.25">
      <c r="B2218" s="68"/>
      <c r="C2218" s="50"/>
      <c r="D2218" s="15"/>
    </row>
    <row r="2219" spans="2:4" x14ac:dyDescent="0.25">
      <c r="B2219" s="68"/>
      <c r="C2219" s="50"/>
      <c r="D2219" s="15"/>
    </row>
    <row r="2220" spans="2:4" x14ac:dyDescent="0.25">
      <c r="B2220" s="68"/>
      <c r="C2220" s="50"/>
      <c r="D2220" s="15"/>
    </row>
    <row r="2221" spans="2:4" x14ac:dyDescent="0.25">
      <c r="B2221" s="68"/>
      <c r="C2221" s="50"/>
      <c r="D2221" s="15"/>
    </row>
    <row r="2222" spans="2:4" x14ac:dyDescent="0.25">
      <c r="B2222" s="68"/>
      <c r="C2222" s="50"/>
      <c r="D2222" s="15"/>
    </row>
    <row r="2223" spans="2:4" x14ac:dyDescent="0.25">
      <c r="B2223" s="68"/>
      <c r="C2223" s="50"/>
      <c r="D2223" s="15"/>
    </row>
    <row r="2224" spans="2:4" x14ac:dyDescent="0.25">
      <c r="B2224" s="68"/>
      <c r="C2224" s="50"/>
      <c r="D2224" s="15"/>
    </row>
    <row r="2225" spans="2:4" x14ac:dyDescent="0.25">
      <c r="B2225" s="68"/>
      <c r="C2225" s="50"/>
      <c r="D2225" s="15"/>
    </row>
    <row r="2226" spans="2:4" x14ac:dyDescent="0.25">
      <c r="B2226" s="68"/>
      <c r="C2226" s="50"/>
      <c r="D2226" s="15"/>
    </row>
    <row r="2227" spans="2:4" x14ac:dyDescent="0.25">
      <c r="B2227" s="68"/>
      <c r="C2227" s="50"/>
      <c r="D2227" s="15"/>
    </row>
    <row r="2228" spans="2:4" x14ac:dyDescent="0.25">
      <c r="B2228" s="68"/>
      <c r="C2228" s="50"/>
      <c r="D2228" s="15"/>
    </row>
    <row r="2229" spans="2:4" x14ac:dyDescent="0.25">
      <c r="B2229" s="68"/>
      <c r="C2229" s="50"/>
      <c r="D2229" s="15"/>
    </row>
    <row r="2230" spans="2:4" x14ac:dyDescent="0.25">
      <c r="B2230" s="68"/>
      <c r="C2230" s="50"/>
      <c r="D2230" s="15"/>
    </row>
    <row r="2231" spans="2:4" x14ac:dyDescent="0.25">
      <c r="B2231" s="68"/>
      <c r="C2231" s="50"/>
      <c r="D2231" s="15"/>
    </row>
    <row r="2232" spans="2:4" x14ac:dyDescent="0.25">
      <c r="B2232" s="68"/>
      <c r="C2232" s="50"/>
      <c r="D2232" s="15"/>
    </row>
    <row r="2233" spans="2:4" x14ac:dyDescent="0.25">
      <c r="B2233" s="68"/>
      <c r="C2233" s="50"/>
      <c r="D2233" s="15"/>
    </row>
    <row r="2234" spans="2:4" x14ac:dyDescent="0.25">
      <c r="B2234" s="68"/>
      <c r="C2234" s="50"/>
      <c r="D2234" s="15"/>
    </row>
    <row r="2235" spans="2:4" x14ac:dyDescent="0.25">
      <c r="B2235" s="68"/>
      <c r="C2235" s="50"/>
      <c r="D2235" s="15"/>
    </row>
    <row r="2236" spans="2:4" x14ac:dyDescent="0.25">
      <c r="B2236" s="68"/>
      <c r="C2236" s="50"/>
      <c r="D2236" s="15"/>
    </row>
    <row r="2237" spans="2:4" x14ac:dyDescent="0.25">
      <c r="B2237" s="68"/>
      <c r="C2237" s="50"/>
      <c r="D2237" s="15"/>
    </row>
    <row r="2238" spans="2:4" x14ac:dyDescent="0.25">
      <c r="B2238" s="68"/>
      <c r="C2238" s="50"/>
      <c r="D2238" s="15"/>
    </row>
    <row r="2239" spans="2:4" x14ac:dyDescent="0.25">
      <c r="B2239" s="68"/>
      <c r="C2239" s="50"/>
      <c r="D2239" s="15"/>
    </row>
    <row r="2240" spans="2:4" x14ac:dyDescent="0.25">
      <c r="B2240" s="68"/>
      <c r="C2240" s="50"/>
      <c r="D2240" s="15"/>
    </row>
    <row r="2241" spans="2:4" x14ac:dyDescent="0.25">
      <c r="B2241" s="68"/>
      <c r="C2241" s="50"/>
      <c r="D2241" s="15"/>
    </row>
    <row r="2242" spans="2:4" x14ac:dyDescent="0.25">
      <c r="B2242" s="68"/>
      <c r="C2242" s="50"/>
      <c r="D2242" s="15"/>
    </row>
    <row r="2243" spans="2:4" x14ac:dyDescent="0.25">
      <c r="B2243" s="68"/>
      <c r="C2243" s="50"/>
      <c r="D2243" s="15"/>
    </row>
    <row r="2244" spans="2:4" x14ac:dyDescent="0.25">
      <c r="B2244" s="68"/>
      <c r="C2244" s="50"/>
      <c r="D2244" s="15"/>
    </row>
    <row r="2245" spans="2:4" x14ac:dyDescent="0.25">
      <c r="B2245" s="68"/>
      <c r="C2245" s="50"/>
      <c r="D2245" s="15"/>
    </row>
    <row r="2246" spans="2:4" x14ac:dyDescent="0.25">
      <c r="B2246" s="68"/>
      <c r="C2246" s="50"/>
      <c r="D2246" s="15"/>
    </row>
    <row r="2247" spans="2:4" x14ac:dyDescent="0.25">
      <c r="B2247" s="68"/>
      <c r="C2247" s="50"/>
      <c r="D2247" s="15"/>
    </row>
    <row r="2248" spans="2:4" x14ac:dyDescent="0.25">
      <c r="B2248" s="68"/>
      <c r="C2248" s="50"/>
      <c r="D2248" s="15"/>
    </row>
    <row r="2249" spans="2:4" x14ac:dyDescent="0.25">
      <c r="B2249" s="68"/>
      <c r="C2249" s="50"/>
      <c r="D2249" s="15"/>
    </row>
    <row r="2250" spans="2:4" x14ac:dyDescent="0.25">
      <c r="B2250" s="68"/>
      <c r="C2250" s="50"/>
      <c r="D2250" s="15"/>
    </row>
    <row r="2251" spans="2:4" x14ac:dyDescent="0.25">
      <c r="B2251" s="68"/>
      <c r="C2251" s="50"/>
      <c r="D2251" s="15"/>
    </row>
    <row r="2252" spans="2:4" x14ac:dyDescent="0.25">
      <c r="B2252" s="68"/>
      <c r="C2252" s="50"/>
      <c r="D2252" s="15"/>
    </row>
    <row r="2253" spans="2:4" x14ac:dyDescent="0.25">
      <c r="B2253" s="68"/>
      <c r="C2253" s="50"/>
      <c r="D2253" s="15"/>
    </row>
    <row r="2254" spans="2:4" x14ac:dyDescent="0.25">
      <c r="B2254" s="68"/>
      <c r="C2254" s="50"/>
      <c r="D2254" s="15"/>
    </row>
    <row r="2255" spans="2:4" x14ac:dyDescent="0.25">
      <c r="B2255" s="68"/>
      <c r="C2255" s="50"/>
      <c r="D2255" s="15"/>
    </row>
    <row r="2256" spans="2:4" x14ac:dyDescent="0.25">
      <c r="B2256" s="68"/>
      <c r="C2256" s="50"/>
      <c r="D2256" s="15"/>
    </row>
    <row r="2257" spans="2:4" x14ac:dyDescent="0.25">
      <c r="B2257" s="68"/>
      <c r="C2257" s="50"/>
      <c r="D2257" s="15"/>
    </row>
    <row r="2258" spans="2:4" x14ac:dyDescent="0.25">
      <c r="B2258" s="68"/>
      <c r="C2258" s="50"/>
      <c r="D2258" s="15"/>
    </row>
    <row r="2259" spans="2:4" x14ac:dyDescent="0.25">
      <c r="B2259" s="68"/>
      <c r="C2259" s="50"/>
      <c r="D2259" s="15"/>
    </row>
    <row r="2260" spans="2:4" x14ac:dyDescent="0.25">
      <c r="B2260" s="68"/>
      <c r="C2260" s="50"/>
      <c r="D2260" s="15"/>
    </row>
    <row r="2261" spans="2:4" x14ac:dyDescent="0.25">
      <c r="B2261" s="68"/>
      <c r="C2261" s="50"/>
      <c r="D2261" s="15"/>
    </row>
    <row r="2262" spans="2:4" x14ac:dyDescent="0.25">
      <c r="B2262" s="68"/>
      <c r="C2262" s="50"/>
      <c r="D2262" s="15"/>
    </row>
    <row r="2263" spans="2:4" x14ac:dyDescent="0.25">
      <c r="B2263" s="68"/>
      <c r="C2263" s="50"/>
      <c r="D2263" s="15"/>
    </row>
    <row r="2264" spans="2:4" x14ac:dyDescent="0.25">
      <c r="B2264" s="68"/>
      <c r="C2264" s="50"/>
      <c r="D2264" s="15"/>
    </row>
    <row r="2265" spans="2:4" x14ac:dyDescent="0.25">
      <c r="B2265" s="68"/>
      <c r="C2265" s="50"/>
      <c r="D2265" s="15"/>
    </row>
    <row r="2266" spans="2:4" x14ac:dyDescent="0.25">
      <c r="B2266" s="68"/>
      <c r="C2266" s="50"/>
      <c r="D2266" s="15"/>
    </row>
    <row r="2267" spans="2:4" x14ac:dyDescent="0.25">
      <c r="B2267" s="68"/>
      <c r="C2267" s="50"/>
      <c r="D2267" s="15"/>
    </row>
    <row r="2268" spans="2:4" x14ac:dyDescent="0.25">
      <c r="B2268" s="68"/>
      <c r="C2268" s="50"/>
      <c r="D2268" s="15"/>
    </row>
    <row r="2269" spans="2:4" x14ac:dyDescent="0.25">
      <c r="B2269" s="68"/>
      <c r="C2269" s="50"/>
      <c r="D2269" s="15"/>
    </row>
    <row r="2270" spans="2:4" x14ac:dyDescent="0.25">
      <c r="B2270" s="68"/>
      <c r="C2270" s="50"/>
      <c r="D2270" s="15"/>
    </row>
    <row r="2271" spans="2:4" x14ac:dyDescent="0.25">
      <c r="B2271" s="68"/>
      <c r="C2271" s="50"/>
      <c r="D2271" s="15"/>
    </row>
    <row r="2272" spans="2:4" x14ac:dyDescent="0.25">
      <c r="B2272" s="68"/>
      <c r="C2272" s="50"/>
      <c r="D2272" s="15"/>
    </row>
    <row r="2273" spans="2:4" x14ac:dyDescent="0.25">
      <c r="B2273" s="68"/>
      <c r="C2273" s="50"/>
      <c r="D2273" s="15"/>
    </row>
    <row r="2274" spans="2:4" x14ac:dyDescent="0.25">
      <c r="B2274" s="68"/>
      <c r="C2274" s="50"/>
      <c r="D2274" s="15"/>
    </row>
    <row r="2275" spans="2:4" x14ac:dyDescent="0.25">
      <c r="B2275" s="68"/>
      <c r="C2275" s="50"/>
      <c r="D2275" s="15"/>
    </row>
    <row r="2276" spans="2:4" x14ac:dyDescent="0.25">
      <c r="B2276" s="68"/>
      <c r="C2276" s="50"/>
      <c r="D2276" s="15"/>
    </row>
    <row r="2277" spans="2:4" x14ac:dyDescent="0.25">
      <c r="B2277" s="68"/>
      <c r="C2277" s="50"/>
      <c r="D2277" s="15"/>
    </row>
    <row r="2278" spans="2:4" x14ac:dyDescent="0.25">
      <c r="B2278" s="68"/>
      <c r="C2278" s="50"/>
      <c r="D2278" s="15"/>
    </row>
    <row r="2279" spans="2:4" x14ac:dyDescent="0.25">
      <c r="B2279" s="68"/>
      <c r="C2279" s="50"/>
      <c r="D2279" s="15"/>
    </row>
    <row r="2280" spans="2:4" x14ac:dyDescent="0.25">
      <c r="B2280" s="68"/>
      <c r="C2280" s="50"/>
      <c r="D2280" s="15"/>
    </row>
    <row r="2281" spans="2:4" x14ac:dyDescent="0.25">
      <c r="B2281" s="68"/>
      <c r="C2281" s="50"/>
      <c r="D2281" s="15"/>
    </row>
    <row r="2282" spans="2:4" x14ac:dyDescent="0.25">
      <c r="B2282" s="68"/>
      <c r="C2282" s="50"/>
      <c r="D2282" s="15"/>
    </row>
    <row r="2283" spans="2:4" x14ac:dyDescent="0.25">
      <c r="B2283" s="68"/>
      <c r="C2283" s="50"/>
      <c r="D2283" s="15"/>
    </row>
    <row r="2284" spans="2:4" x14ac:dyDescent="0.25">
      <c r="B2284" s="68"/>
      <c r="C2284" s="50"/>
      <c r="D2284" s="15"/>
    </row>
    <row r="2285" spans="2:4" x14ac:dyDescent="0.25">
      <c r="B2285" s="68"/>
      <c r="C2285" s="50"/>
      <c r="D2285" s="15"/>
    </row>
    <row r="2286" spans="2:4" x14ac:dyDescent="0.25">
      <c r="B2286" s="68"/>
      <c r="C2286" s="50"/>
      <c r="D2286" s="15"/>
    </row>
    <row r="2287" spans="2:4" x14ac:dyDescent="0.25">
      <c r="B2287" s="68"/>
      <c r="C2287" s="50"/>
      <c r="D2287" s="15"/>
    </row>
    <row r="2288" spans="2:4" x14ac:dyDescent="0.25">
      <c r="B2288" s="68"/>
      <c r="C2288" s="50"/>
      <c r="D2288" s="15"/>
    </row>
    <row r="2289" spans="2:4" x14ac:dyDescent="0.25">
      <c r="B2289" s="68"/>
      <c r="C2289" s="50"/>
      <c r="D2289" s="15"/>
    </row>
    <row r="2290" spans="2:4" x14ac:dyDescent="0.25">
      <c r="B2290" s="68"/>
      <c r="C2290" s="50"/>
      <c r="D2290" s="15"/>
    </row>
    <row r="2291" spans="2:4" x14ac:dyDescent="0.25">
      <c r="B2291" s="68"/>
      <c r="C2291" s="50"/>
      <c r="D2291" s="15"/>
    </row>
    <row r="2292" spans="2:4" x14ac:dyDescent="0.25">
      <c r="B2292" s="68"/>
      <c r="C2292" s="50"/>
      <c r="D2292" s="15"/>
    </row>
    <row r="2293" spans="2:4" x14ac:dyDescent="0.25">
      <c r="B2293" s="68"/>
      <c r="C2293" s="50"/>
      <c r="D2293" s="15"/>
    </row>
    <row r="2294" spans="2:4" x14ac:dyDescent="0.25">
      <c r="B2294" s="68"/>
      <c r="C2294" s="50"/>
      <c r="D2294" s="15"/>
    </row>
    <row r="2295" spans="2:4" x14ac:dyDescent="0.25">
      <c r="B2295" s="68"/>
      <c r="C2295" s="50"/>
      <c r="D2295" s="15"/>
    </row>
    <row r="2296" spans="2:4" x14ac:dyDescent="0.25">
      <c r="B2296" s="68"/>
      <c r="C2296" s="50"/>
      <c r="D2296" s="15"/>
    </row>
    <row r="2297" spans="2:4" x14ac:dyDescent="0.25">
      <c r="B2297" s="68"/>
      <c r="C2297" s="50"/>
      <c r="D2297" s="15"/>
    </row>
    <row r="2298" spans="2:4" x14ac:dyDescent="0.25">
      <c r="B2298" s="68"/>
      <c r="C2298" s="50"/>
      <c r="D2298" s="15"/>
    </row>
    <row r="2299" spans="2:4" x14ac:dyDescent="0.25">
      <c r="B2299" s="68"/>
      <c r="C2299" s="50"/>
      <c r="D2299" s="15"/>
    </row>
    <row r="2300" spans="2:4" x14ac:dyDescent="0.25">
      <c r="B2300" s="68"/>
      <c r="C2300" s="50"/>
      <c r="D2300" s="15"/>
    </row>
    <row r="2301" spans="2:4" x14ac:dyDescent="0.25">
      <c r="B2301" s="68"/>
      <c r="C2301" s="50"/>
      <c r="D2301" s="15"/>
    </row>
    <row r="2302" spans="2:4" x14ac:dyDescent="0.25">
      <c r="B2302" s="68"/>
      <c r="C2302" s="50"/>
      <c r="D2302" s="15"/>
    </row>
    <row r="2303" spans="2:4" x14ac:dyDescent="0.25">
      <c r="B2303" s="68"/>
      <c r="C2303" s="50"/>
      <c r="D2303" s="15"/>
    </row>
    <row r="2304" spans="2:4" x14ac:dyDescent="0.25">
      <c r="B2304" s="68"/>
      <c r="C2304" s="50"/>
      <c r="D2304" s="15"/>
    </row>
    <row r="2305" spans="2:4" x14ac:dyDescent="0.25">
      <c r="B2305" s="68"/>
      <c r="C2305" s="50"/>
      <c r="D2305" s="15"/>
    </row>
    <row r="2306" spans="2:4" x14ac:dyDescent="0.25">
      <c r="B2306" s="68"/>
      <c r="C2306" s="50"/>
      <c r="D2306" s="15"/>
    </row>
    <row r="2307" spans="2:4" x14ac:dyDescent="0.25">
      <c r="B2307" s="68"/>
      <c r="C2307" s="50"/>
      <c r="D2307" s="15"/>
    </row>
    <row r="2308" spans="2:4" x14ac:dyDescent="0.25">
      <c r="B2308" s="68"/>
      <c r="C2308" s="50"/>
      <c r="D2308" s="15"/>
    </row>
    <row r="2309" spans="2:4" x14ac:dyDescent="0.25">
      <c r="B2309" s="68"/>
      <c r="C2309" s="50"/>
      <c r="D2309" s="15"/>
    </row>
    <row r="2310" spans="2:4" x14ac:dyDescent="0.25">
      <c r="B2310" s="68"/>
      <c r="C2310" s="50"/>
      <c r="D2310" s="15"/>
    </row>
    <row r="2311" spans="2:4" x14ac:dyDescent="0.25">
      <c r="B2311" s="68"/>
      <c r="C2311" s="50"/>
      <c r="D2311" s="15"/>
    </row>
    <row r="2312" spans="2:4" x14ac:dyDescent="0.25">
      <c r="B2312" s="68"/>
      <c r="C2312" s="50"/>
      <c r="D2312" s="15"/>
    </row>
    <row r="2313" spans="2:4" x14ac:dyDescent="0.25">
      <c r="B2313" s="68"/>
      <c r="C2313" s="50"/>
      <c r="D2313" s="15"/>
    </row>
    <row r="2314" spans="2:4" x14ac:dyDescent="0.25">
      <c r="B2314" s="68"/>
      <c r="C2314" s="50"/>
      <c r="D2314" s="15"/>
    </row>
    <row r="2315" spans="2:4" x14ac:dyDescent="0.25">
      <c r="B2315" s="68"/>
      <c r="C2315" s="50"/>
      <c r="D2315" s="15"/>
    </row>
    <row r="2316" spans="2:4" x14ac:dyDescent="0.25">
      <c r="B2316" s="68"/>
      <c r="C2316" s="50"/>
      <c r="D2316" s="15"/>
    </row>
    <row r="2317" spans="2:4" x14ac:dyDescent="0.25">
      <c r="B2317" s="68"/>
      <c r="C2317" s="50"/>
      <c r="D2317" s="15"/>
    </row>
    <row r="2318" spans="2:4" x14ac:dyDescent="0.25">
      <c r="B2318" s="68"/>
      <c r="C2318" s="50"/>
      <c r="D2318" s="15"/>
    </row>
    <row r="2319" spans="2:4" x14ac:dyDescent="0.25">
      <c r="B2319" s="68"/>
      <c r="C2319" s="50"/>
      <c r="D2319" s="15"/>
    </row>
    <row r="2320" spans="2:4" x14ac:dyDescent="0.25">
      <c r="B2320" s="68"/>
      <c r="C2320" s="50"/>
      <c r="D2320" s="15"/>
    </row>
    <row r="2321" spans="2:4" x14ac:dyDescent="0.25">
      <c r="B2321" s="68"/>
      <c r="C2321" s="50"/>
      <c r="D2321" s="15"/>
    </row>
    <row r="2322" spans="2:4" x14ac:dyDescent="0.25">
      <c r="B2322" s="68"/>
      <c r="C2322" s="50"/>
      <c r="D2322" s="15"/>
    </row>
    <row r="2323" spans="2:4" x14ac:dyDescent="0.25">
      <c r="B2323" s="68"/>
      <c r="C2323" s="50"/>
      <c r="D2323" s="15"/>
    </row>
    <row r="2324" spans="2:4" x14ac:dyDescent="0.25">
      <c r="B2324" s="68"/>
      <c r="C2324" s="50"/>
      <c r="D2324" s="15"/>
    </row>
    <row r="2325" spans="2:4" x14ac:dyDescent="0.25">
      <c r="B2325" s="68"/>
      <c r="C2325" s="50"/>
      <c r="D2325" s="15"/>
    </row>
    <row r="2326" spans="2:4" x14ac:dyDescent="0.25">
      <c r="B2326" s="68"/>
      <c r="C2326" s="50"/>
      <c r="D2326" s="15"/>
    </row>
    <row r="2327" spans="2:4" x14ac:dyDescent="0.25">
      <c r="B2327" s="68"/>
      <c r="C2327" s="50"/>
      <c r="D2327" s="15"/>
    </row>
    <row r="2328" spans="2:4" x14ac:dyDescent="0.25">
      <c r="B2328" s="68"/>
      <c r="C2328" s="50"/>
      <c r="D2328" s="15"/>
    </row>
    <row r="2329" spans="2:4" x14ac:dyDescent="0.25">
      <c r="B2329" s="68"/>
      <c r="C2329" s="50"/>
      <c r="D2329" s="15"/>
    </row>
    <row r="2330" spans="2:4" x14ac:dyDescent="0.25">
      <c r="B2330" s="68"/>
      <c r="C2330" s="50"/>
      <c r="D2330" s="15"/>
    </row>
    <row r="2331" spans="2:4" x14ac:dyDescent="0.25">
      <c r="B2331" s="68"/>
      <c r="C2331" s="50"/>
      <c r="D2331" s="15"/>
    </row>
    <row r="2332" spans="2:4" x14ac:dyDescent="0.25">
      <c r="B2332" s="68"/>
      <c r="C2332" s="50"/>
      <c r="D2332" s="15"/>
    </row>
    <row r="2333" spans="2:4" x14ac:dyDescent="0.25">
      <c r="B2333" s="68"/>
      <c r="C2333" s="50"/>
      <c r="D2333" s="15"/>
    </row>
    <row r="2334" spans="2:4" x14ac:dyDescent="0.25">
      <c r="B2334" s="68"/>
      <c r="C2334" s="50"/>
      <c r="D2334" s="15"/>
    </row>
    <row r="2335" spans="2:4" x14ac:dyDescent="0.25">
      <c r="B2335" s="68"/>
      <c r="C2335" s="50"/>
      <c r="D2335" s="15"/>
    </row>
    <row r="2336" spans="2:4" x14ac:dyDescent="0.25">
      <c r="B2336" s="68"/>
      <c r="C2336" s="50"/>
      <c r="D2336" s="15"/>
    </row>
    <row r="2337" spans="2:4" x14ac:dyDescent="0.25">
      <c r="B2337" s="68"/>
      <c r="C2337" s="50"/>
      <c r="D2337" s="15"/>
    </row>
    <row r="2338" spans="2:4" x14ac:dyDescent="0.25">
      <c r="B2338" s="68"/>
      <c r="C2338" s="50"/>
      <c r="D2338" s="15"/>
    </row>
    <row r="2339" spans="2:4" x14ac:dyDescent="0.25">
      <c r="B2339" s="68"/>
      <c r="C2339" s="50"/>
      <c r="D2339" s="15"/>
    </row>
    <row r="2340" spans="2:4" x14ac:dyDescent="0.25">
      <c r="B2340" s="68"/>
      <c r="C2340" s="50"/>
      <c r="D2340" s="15"/>
    </row>
    <row r="2341" spans="2:4" x14ac:dyDescent="0.25">
      <c r="B2341" s="68"/>
      <c r="C2341" s="50"/>
      <c r="D2341" s="15"/>
    </row>
    <row r="2342" spans="2:4" x14ac:dyDescent="0.25">
      <c r="B2342" s="68"/>
      <c r="C2342" s="50"/>
      <c r="D2342" s="15"/>
    </row>
    <row r="2343" spans="2:4" x14ac:dyDescent="0.25">
      <c r="B2343" s="68"/>
      <c r="C2343" s="50"/>
      <c r="D2343" s="15"/>
    </row>
    <row r="2344" spans="2:4" x14ac:dyDescent="0.25">
      <c r="B2344" s="68"/>
      <c r="C2344" s="50"/>
      <c r="D2344" s="15"/>
    </row>
    <row r="2345" spans="2:4" x14ac:dyDescent="0.25">
      <c r="B2345" s="68"/>
      <c r="C2345" s="50"/>
      <c r="D2345" s="15"/>
    </row>
    <row r="2346" spans="2:4" x14ac:dyDescent="0.25">
      <c r="B2346" s="68"/>
      <c r="C2346" s="50"/>
      <c r="D2346" s="15"/>
    </row>
    <row r="2347" spans="2:4" x14ac:dyDescent="0.25">
      <c r="B2347" s="68"/>
      <c r="C2347" s="50"/>
      <c r="D2347" s="15"/>
    </row>
    <row r="2348" spans="2:4" x14ac:dyDescent="0.25">
      <c r="B2348" s="68"/>
      <c r="C2348" s="50"/>
      <c r="D2348" s="15"/>
    </row>
    <row r="2349" spans="2:4" x14ac:dyDescent="0.25">
      <c r="B2349" s="68"/>
      <c r="C2349" s="50"/>
      <c r="D2349" s="15"/>
    </row>
    <row r="2350" spans="2:4" x14ac:dyDescent="0.25">
      <c r="B2350" s="68"/>
      <c r="C2350" s="50"/>
      <c r="D2350" s="15"/>
    </row>
    <row r="2351" spans="2:4" x14ac:dyDescent="0.25">
      <c r="B2351" s="68"/>
      <c r="C2351" s="50"/>
      <c r="D2351" s="15"/>
    </row>
    <row r="2352" spans="2:4" x14ac:dyDescent="0.25">
      <c r="B2352" s="68"/>
      <c r="C2352" s="50"/>
      <c r="D2352" s="15"/>
    </row>
    <row r="2353" spans="2:4" x14ac:dyDescent="0.25">
      <c r="B2353" s="68"/>
      <c r="C2353" s="50"/>
      <c r="D2353" s="15"/>
    </row>
    <row r="2354" spans="2:4" x14ac:dyDescent="0.25">
      <c r="B2354" s="68"/>
      <c r="C2354" s="50"/>
      <c r="D2354" s="15"/>
    </row>
    <row r="2355" spans="2:4" x14ac:dyDescent="0.25">
      <c r="B2355" s="68"/>
      <c r="C2355" s="50"/>
      <c r="D2355" s="15"/>
    </row>
    <row r="2356" spans="2:4" x14ac:dyDescent="0.25">
      <c r="B2356" s="68"/>
      <c r="C2356" s="50"/>
      <c r="D2356" s="15"/>
    </row>
    <row r="2357" spans="2:4" x14ac:dyDescent="0.25">
      <c r="B2357" s="68"/>
      <c r="C2357" s="50"/>
      <c r="D2357" s="15"/>
    </row>
    <row r="2358" spans="2:4" x14ac:dyDescent="0.25">
      <c r="B2358" s="68"/>
      <c r="C2358" s="50"/>
      <c r="D2358" s="15"/>
    </row>
    <row r="2359" spans="2:4" x14ac:dyDescent="0.25">
      <c r="B2359" s="68"/>
      <c r="C2359" s="50"/>
      <c r="D2359" s="15"/>
    </row>
    <row r="2360" spans="2:4" x14ac:dyDescent="0.25">
      <c r="B2360" s="68"/>
      <c r="C2360" s="50"/>
      <c r="D2360" s="15"/>
    </row>
    <row r="2361" spans="2:4" x14ac:dyDescent="0.25">
      <c r="B2361" s="68"/>
      <c r="C2361" s="50"/>
      <c r="D2361" s="15"/>
    </row>
    <row r="2362" spans="2:4" x14ac:dyDescent="0.25">
      <c r="B2362" s="68"/>
      <c r="C2362" s="50"/>
      <c r="D2362" s="15"/>
    </row>
    <row r="2363" spans="2:4" x14ac:dyDescent="0.25">
      <c r="B2363" s="68"/>
      <c r="C2363" s="50"/>
      <c r="D2363" s="15"/>
    </row>
    <row r="2364" spans="2:4" x14ac:dyDescent="0.25">
      <c r="B2364" s="68"/>
      <c r="C2364" s="50"/>
      <c r="D2364" s="15"/>
    </row>
    <row r="2365" spans="2:4" x14ac:dyDescent="0.25">
      <c r="B2365" s="68"/>
      <c r="C2365" s="50"/>
      <c r="D2365" s="15"/>
    </row>
    <row r="2366" spans="2:4" x14ac:dyDescent="0.25">
      <c r="B2366" s="68"/>
      <c r="C2366" s="50"/>
      <c r="D2366" s="15"/>
    </row>
    <row r="2367" spans="2:4" x14ac:dyDescent="0.25">
      <c r="B2367" s="68"/>
      <c r="C2367" s="50"/>
      <c r="D2367" s="15"/>
    </row>
    <row r="2368" spans="2:4" x14ac:dyDescent="0.25">
      <c r="B2368" s="68"/>
      <c r="C2368" s="50"/>
      <c r="D2368" s="15"/>
    </row>
    <row r="2369" spans="2:4" x14ac:dyDescent="0.25">
      <c r="B2369" s="68"/>
      <c r="C2369" s="50"/>
      <c r="D2369" s="15"/>
    </row>
    <row r="2370" spans="2:4" x14ac:dyDescent="0.25">
      <c r="B2370" s="68"/>
      <c r="C2370" s="50"/>
      <c r="D2370" s="15"/>
    </row>
    <row r="2371" spans="2:4" x14ac:dyDescent="0.25">
      <c r="B2371" s="68"/>
      <c r="C2371" s="50"/>
      <c r="D2371" s="15"/>
    </row>
    <row r="2372" spans="2:4" x14ac:dyDescent="0.25">
      <c r="B2372" s="68"/>
      <c r="C2372" s="50"/>
      <c r="D2372" s="15"/>
    </row>
    <row r="2373" spans="2:4" x14ac:dyDescent="0.25">
      <c r="B2373" s="68"/>
      <c r="C2373" s="50"/>
      <c r="D2373" s="15"/>
    </row>
    <row r="2374" spans="2:4" x14ac:dyDescent="0.25">
      <c r="B2374" s="68"/>
      <c r="C2374" s="50"/>
      <c r="D2374" s="15"/>
    </row>
    <row r="2375" spans="2:4" x14ac:dyDescent="0.25">
      <c r="B2375" s="68"/>
      <c r="C2375" s="50"/>
      <c r="D2375" s="15"/>
    </row>
    <row r="2376" spans="2:4" x14ac:dyDescent="0.25">
      <c r="B2376" s="68"/>
      <c r="C2376" s="50"/>
      <c r="D2376" s="15"/>
    </row>
    <row r="2377" spans="2:4" x14ac:dyDescent="0.25">
      <c r="B2377" s="68"/>
      <c r="C2377" s="50"/>
      <c r="D2377" s="15"/>
    </row>
    <row r="2378" spans="2:4" x14ac:dyDescent="0.25">
      <c r="B2378" s="68"/>
      <c r="C2378" s="50"/>
      <c r="D2378" s="15"/>
    </row>
    <row r="2379" spans="2:4" x14ac:dyDescent="0.25">
      <c r="B2379" s="68"/>
      <c r="C2379" s="50"/>
      <c r="D2379" s="15"/>
    </row>
    <row r="2380" spans="2:4" x14ac:dyDescent="0.25">
      <c r="B2380" s="68"/>
      <c r="C2380" s="50"/>
      <c r="D2380" s="15"/>
    </row>
    <row r="2381" spans="2:4" x14ac:dyDescent="0.25">
      <c r="B2381" s="68"/>
      <c r="C2381" s="50"/>
      <c r="D2381" s="15"/>
    </row>
    <row r="2382" spans="2:4" x14ac:dyDescent="0.25">
      <c r="B2382" s="68"/>
      <c r="C2382" s="50"/>
      <c r="D2382" s="15"/>
    </row>
    <row r="2383" spans="2:4" x14ac:dyDescent="0.25">
      <c r="B2383" s="68"/>
      <c r="C2383" s="50"/>
      <c r="D2383" s="15"/>
    </row>
    <row r="2384" spans="2:4" x14ac:dyDescent="0.25">
      <c r="B2384" s="68"/>
      <c r="C2384" s="50"/>
      <c r="D2384" s="15"/>
    </row>
    <row r="2385" spans="2:4" x14ac:dyDescent="0.25">
      <c r="B2385" s="68"/>
      <c r="C2385" s="50"/>
      <c r="D2385" s="15"/>
    </row>
    <row r="2386" spans="2:4" x14ac:dyDescent="0.25">
      <c r="B2386" s="68"/>
      <c r="C2386" s="50"/>
      <c r="D2386" s="15"/>
    </row>
    <row r="2387" spans="2:4" x14ac:dyDescent="0.25">
      <c r="B2387" s="68"/>
      <c r="C2387" s="50"/>
      <c r="D2387" s="15"/>
    </row>
    <row r="2388" spans="2:4" x14ac:dyDescent="0.25">
      <c r="B2388" s="68"/>
      <c r="C2388" s="50"/>
      <c r="D2388" s="15"/>
    </row>
    <row r="2389" spans="2:4" x14ac:dyDescent="0.25">
      <c r="B2389" s="68"/>
      <c r="C2389" s="50"/>
      <c r="D2389" s="15"/>
    </row>
    <row r="2390" spans="2:4" x14ac:dyDescent="0.25">
      <c r="B2390" s="68"/>
      <c r="C2390" s="50"/>
      <c r="D2390" s="15"/>
    </row>
    <row r="2391" spans="2:4" x14ac:dyDescent="0.25">
      <c r="B2391" s="68"/>
      <c r="C2391" s="50"/>
      <c r="D2391" s="15"/>
    </row>
    <row r="2392" spans="2:4" x14ac:dyDescent="0.25">
      <c r="B2392" s="68"/>
      <c r="C2392" s="50"/>
      <c r="D2392" s="15"/>
    </row>
    <row r="2393" spans="2:4" x14ac:dyDescent="0.25">
      <c r="B2393" s="68"/>
      <c r="C2393" s="50"/>
      <c r="D2393" s="15"/>
    </row>
    <row r="2394" spans="2:4" x14ac:dyDescent="0.25">
      <c r="B2394" s="68"/>
      <c r="C2394" s="50"/>
      <c r="D2394" s="15"/>
    </row>
    <row r="2395" spans="2:4" x14ac:dyDescent="0.25">
      <c r="B2395" s="68"/>
      <c r="C2395" s="50"/>
      <c r="D2395" s="15"/>
    </row>
    <row r="2396" spans="2:4" x14ac:dyDescent="0.25">
      <c r="B2396" s="68"/>
      <c r="C2396" s="50"/>
      <c r="D2396" s="15"/>
    </row>
    <row r="2397" spans="2:4" x14ac:dyDescent="0.25">
      <c r="B2397" s="68"/>
      <c r="C2397" s="50"/>
      <c r="D2397" s="15"/>
    </row>
    <row r="2398" spans="2:4" x14ac:dyDescent="0.25">
      <c r="B2398" s="68"/>
      <c r="C2398" s="50"/>
      <c r="D2398" s="15"/>
    </row>
    <row r="2399" spans="2:4" x14ac:dyDescent="0.25">
      <c r="B2399" s="68"/>
      <c r="C2399" s="50"/>
      <c r="D2399" s="15"/>
    </row>
    <row r="2400" spans="2:4" x14ac:dyDescent="0.25">
      <c r="B2400" s="68"/>
      <c r="C2400" s="50"/>
      <c r="D2400" s="15"/>
    </row>
    <row r="2401" spans="2:4" x14ac:dyDescent="0.25">
      <c r="B2401" s="68"/>
      <c r="C2401" s="50"/>
      <c r="D2401" s="15"/>
    </row>
    <row r="2402" spans="2:4" x14ac:dyDescent="0.25">
      <c r="B2402" s="68"/>
      <c r="C2402" s="50"/>
      <c r="D2402" s="15"/>
    </row>
    <row r="2403" spans="2:4" x14ac:dyDescent="0.25">
      <c r="B2403" s="68"/>
      <c r="C2403" s="50"/>
      <c r="D2403" s="15"/>
    </row>
    <row r="2404" spans="2:4" x14ac:dyDescent="0.25">
      <c r="B2404" s="68"/>
      <c r="C2404" s="50"/>
      <c r="D2404" s="15"/>
    </row>
    <row r="2405" spans="2:4" x14ac:dyDescent="0.25">
      <c r="B2405" s="68"/>
      <c r="C2405" s="50"/>
      <c r="D2405" s="15"/>
    </row>
    <row r="2406" spans="2:4" x14ac:dyDescent="0.25">
      <c r="B2406" s="68"/>
      <c r="C2406" s="50"/>
      <c r="D2406" s="15"/>
    </row>
    <row r="2407" spans="2:4" x14ac:dyDescent="0.25">
      <c r="B2407" s="68"/>
      <c r="C2407" s="50"/>
      <c r="D2407" s="15"/>
    </row>
    <row r="2408" spans="2:4" x14ac:dyDescent="0.25">
      <c r="B2408" s="68"/>
      <c r="C2408" s="50"/>
      <c r="D2408" s="15"/>
    </row>
    <row r="2409" spans="2:4" x14ac:dyDescent="0.25">
      <c r="B2409" s="68"/>
      <c r="C2409" s="50"/>
      <c r="D2409" s="15"/>
    </row>
    <row r="2410" spans="2:4" x14ac:dyDescent="0.25">
      <c r="B2410" s="68"/>
      <c r="C2410" s="50"/>
      <c r="D2410" s="15"/>
    </row>
    <row r="2411" spans="2:4" x14ac:dyDescent="0.25">
      <c r="B2411" s="68"/>
      <c r="C2411" s="50"/>
      <c r="D2411" s="15"/>
    </row>
    <row r="2412" spans="2:4" x14ac:dyDescent="0.25">
      <c r="B2412" s="68"/>
      <c r="C2412" s="50"/>
      <c r="D2412" s="15"/>
    </row>
    <row r="2413" spans="2:4" x14ac:dyDescent="0.25">
      <c r="B2413" s="68"/>
      <c r="C2413" s="50"/>
      <c r="D2413" s="15"/>
    </row>
    <row r="2414" spans="2:4" x14ac:dyDescent="0.25">
      <c r="B2414" s="68"/>
      <c r="C2414" s="50"/>
      <c r="D2414" s="15"/>
    </row>
    <row r="2415" spans="2:4" x14ac:dyDescent="0.25">
      <c r="B2415" s="68"/>
      <c r="C2415" s="50"/>
      <c r="D2415" s="15"/>
    </row>
    <row r="2416" spans="2:4" x14ac:dyDescent="0.25">
      <c r="B2416" s="68"/>
      <c r="C2416" s="50"/>
      <c r="D2416" s="15"/>
    </row>
    <row r="2417" spans="2:4" x14ac:dyDescent="0.25">
      <c r="B2417" s="68"/>
      <c r="C2417" s="50"/>
      <c r="D2417" s="15"/>
    </row>
    <row r="2418" spans="2:4" x14ac:dyDescent="0.25">
      <c r="B2418" s="68"/>
      <c r="C2418" s="50"/>
      <c r="D2418" s="15"/>
    </row>
    <row r="2419" spans="2:4" x14ac:dyDescent="0.25">
      <c r="B2419" s="68"/>
      <c r="C2419" s="50"/>
      <c r="D2419" s="15"/>
    </row>
    <row r="2420" spans="2:4" x14ac:dyDescent="0.25">
      <c r="B2420" s="68"/>
      <c r="C2420" s="50"/>
      <c r="D2420" s="15"/>
    </row>
    <row r="2421" spans="2:4" x14ac:dyDescent="0.25">
      <c r="B2421" s="68"/>
      <c r="C2421" s="50"/>
      <c r="D2421" s="15"/>
    </row>
    <row r="2422" spans="2:4" x14ac:dyDescent="0.25">
      <c r="B2422" s="68"/>
      <c r="C2422" s="50"/>
      <c r="D2422" s="15"/>
    </row>
    <row r="2423" spans="2:4" x14ac:dyDescent="0.25">
      <c r="B2423" s="68"/>
      <c r="C2423" s="50"/>
      <c r="D2423" s="15"/>
    </row>
    <row r="2424" spans="2:4" x14ac:dyDescent="0.25">
      <c r="B2424" s="68"/>
      <c r="C2424" s="50"/>
      <c r="D2424" s="15"/>
    </row>
    <row r="2425" spans="2:4" x14ac:dyDescent="0.25">
      <c r="B2425" s="68"/>
      <c r="C2425" s="50"/>
      <c r="D2425" s="15"/>
    </row>
    <row r="2426" spans="2:4" x14ac:dyDescent="0.25">
      <c r="B2426" s="68"/>
      <c r="C2426" s="50"/>
      <c r="D2426" s="15"/>
    </row>
    <row r="2427" spans="2:4" x14ac:dyDescent="0.25">
      <c r="B2427" s="68"/>
      <c r="C2427" s="50"/>
      <c r="D2427" s="15"/>
    </row>
    <row r="2428" spans="2:4" x14ac:dyDescent="0.25">
      <c r="B2428" s="68"/>
      <c r="C2428" s="50"/>
      <c r="D2428" s="15"/>
    </row>
    <row r="2429" spans="2:4" x14ac:dyDescent="0.25">
      <c r="B2429" s="68"/>
      <c r="C2429" s="50"/>
      <c r="D2429" s="15"/>
    </row>
    <row r="2430" spans="2:4" x14ac:dyDescent="0.25">
      <c r="B2430" s="68"/>
      <c r="C2430" s="50"/>
      <c r="D2430" s="15"/>
    </row>
    <row r="2431" spans="2:4" x14ac:dyDescent="0.25">
      <c r="B2431" s="68"/>
      <c r="C2431" s="50"/>
      <c r="D2431" s="15"/>
    </row>
    <row r="2432" spans="2:4" x14ac:dyDescent="0.25">
      <c r="B2432" s="68"/>
      <c r="C2432" s="50"/>
      <c r="D2432" s="15"/>
    </row>
    <row r="2433" spans="2:4" x14ac:dyDescent="0.25">
      <c r="B2433" s="68"/>
      <c r="C2433" s="50"/>
      <c r="D2433" s="15"/>
    </row>
    <row r="2434" spans="2:4" x14ac:dyDescent="0.25">
      <c r="B2434" s="68"/>
      <c r="C2434" s="50"/>
      <c r="D2434" s="15"/>
    </row>
    <row r="2435" spans="2:4" x14ac:dyDescent="0.25">
      <c r="B2435" s="68"/>
      <c r="C2435" s="50"/>
      <c r="D2435" s="15"/>
    </row>
    <row r="2436" spans="2:4" x14ac:dyDescent="0.25">
      <c r="B2436" s="68"/>
      <c r="C2436" s="50"/>
      <c r="D2436" s="15"/>
    </row>
    <row r="2437" spans="2:4" x14ac:dyDescent="0.25">
      <c r="B2437" s="68"/>
      <c r="C2437" s="50"/>
      <c r="D2437" s="15"/>
    </row>
    <row r="2438" spans="2:4" x14ac:dyDescent="0.25">
      <c r="B2438" s="68"/>
      <c r="C2438" s="50"/>
      <c r="D2438" s="15"/>
    </row>
    <row r="2439" spans="2:4" x14ac:dyDescent="0.25">
      <c r="B2439" s="68"/>
      <c r="C2439" s="50"/>
      <c r="D2439" s="15"/>
    </row>
    <row r="2440" spans="2:4" x14ac:dyDescent="0.25">
      <c r="B2440" s="68"/>
      <c r="C2440" s="50"/>
      <c r="D2440" s="15"/>
    </row>
    <row r="2441" spans="2:4" x14ac:dyDescent="0.25">
      <c r="B2441" s="68"/>
      <c r="C2441" s="50"/>
      <c r="D2441" s="15"/>
    </row>
    <row r="2442" spans="2:4" x14ac:dyDescent="0.25">
      <c r="B2442" s="68"/>
      <c r="C2442" s="50"/>
      <c r="D2442" s="15"/>
    </row>
    <row r="2443" spans="2:4" x14ac:dyDescent="0.25">
      <c r="B2443" s="68"/>
      <c r="C2443" s="50"/>
      <c r="D2443" s="15"/>
    </row>
    <row r="2444" spans="2:4" x14ac:dyDescent="0.25">
      <c r="B2444" s="68"/>
      <c r="C2444" s="50"/>
      <c r="D2444" s="15"/>
    </row>
    <row r="2445" spans="2:4" x14ac:dyDescent="0.25">
      <c r="B2445" s="68"/>
      <c r="C2445" s="50"/>
      <c r="D2445" s="15"/>
    </row>
    <row r="2446" spans="2:4" x14ac:dyDescent="0.25">
      <c r="B2446" s="68"/>
      <c r="C2446" s="50"/>
      <c r="D2446" s="15"/>
    </row>
    <row r="2447" spans="2:4" x14ac:dyDescent="0.25">
      <c r="B2447" s="68"/>
      <c r="C2447" s="50"/>
      <c r="D2447" s="15"/>
    </row>
    <row r="2448" spans="2:4" x14ac:dyDescent="0.25">
      <c r="B2448" s="68"/>
      <c r="C2448" s="50"/>
      <c r="D2448" s="15"/>
    </row>
    <row r="2449" spans="2:4" x14ac:dyDescent="0.25">
      <c r="B2449" s="68"/>
      <c r="C2449" s="50"/>
      <c r="D2449" s="15"/>
    </row>
    <row r="2450" spans="2:4" x14ac:dyDescent="0.25">
      <c r="B2450" s="68"/>
      <c r="C2450" s="50"/>
      <c r="D2450" s="15"/>
    </row>
    <row r="2451" spans="2:4" x14ac:dyDescent="0.25">
      <c r="B2451" s="68"/>
      <c r="C2451" s="50"/>
      <c r="D2451" s="15"/>
    </row>
    <row r="2452" spans="2:4" x14ac:dyDescent="0.25">
      <c r="B2452" s="68"/>
      <c r="C2452" s="50"/>
      <c r="D2452" s="15"/>
    </row>
    <row r="2453" spans="2:4" x14ac:dyDescent="0.25">
      <c r="B2453" s="68"/>
      <c r="C2453" s="50"/>
      <c r="D2453" s="15"/>
    </row>
    <row r="2454" spans="2:4" x14ac:dyDescent="0.25">
      <c r="B2454" s="68"/>
      <c r="C2454" s="50"/>
      <c r="D2454" s="15"/>
    </row>
    <row r="2455" spans="2:4" x14ac:dyDescent="0.25">
      <c r="B2455" s="68"/>
      <c r="C2455" s="50"/>
      <c r="D2455" s="15"/>
    </row>
    <row r="2456" spans="2:4" x14ac:dyDescent="0.25">
      <c r="B2456" s="68"/>
      <c r="C2456" s="50"/>
      <c r="D2456" s="15"/>
    </row>
    <row r="2457" spans="2:4" x14ac:dyDescent="0.25">
      <c r="B2457" s="68"/>
      <c r="C2457" s="50"/>
      <c r="D2457" s="15"/>
    </row>
    <row r="2458" spans="2:4" x14ac:dyDescent="0.25">
      <c r="B2458" s="68"/>
      <c r="C2458" s="50"/>
      <c r="D2458" s="15"/>
    </row>
    <row r="2459" spans="2:4" x14ac:dyDescent="0.25">
      <c r="B2459" s="68"/>
      <c r="C2459" s="50"/>
      <c r="D2459" s="15"/>
    </row>
    <row r="2460" spans="2:4" x14ac:dyDescent="0.25">
      <c r="B2460" s="68"/>
      <c r="C2460" s="50"/>
      <c r="D2460" s="15"/>
    </row>
    <row r="2461" spans="2:4" x14ac:dyDescent="0.25">
      <c r="B2461" s="68"/>
      <c r="C2461" s="50"/>
      <c r="D2461" s="15"/>
    </row>
    <row r="2462" spans="2:4" x14ac:dyDescent="0.25">
      <c r="B2462" s="68"/>
      <c r="C2462" s="50"/>
      <c r="D2462" s="15"/>
    </row>
    <row r="2463" spans="2:4" x14ac:dyDescent="0.25">
      <c r="B2463" s="68"/>
      <c r="C2463" s="50"/>
      <c r="D2463" s="15"/>
    </row>
    <row r="2464" spans="2:4" x14ac:dyDescent="0.25">
      <c r="B2464" s="68"/>
      <c r="C2464" s="50"/>
      <c r="D2464" s="15"/>
    </row>
    <row r="2465" spans="2:4" x14ac:dyDescent="0.25">
      <c r="B2465" s="68"/>
      <c r="C2465" s="50"/>
      <c r="D2465" s="15"/>
    </row>
    <row r="2466" spans="2:4" x14ac:dyDescent="0.25">
      <c r="B2466" s="68"/>
      <c r="C2466" s="50"/>
      <c r="D2466" s="15"/>
    </row>
    <row r="2467" spans="2:4" x14ac:dyDescent="0.25">
      <c r="B2467" s="68"/>
      <c r="C2467" s="50"/>
      <c r="D2467" s="15"/>
    </row>
    <row r="2468" spans="2:4" x14ac:dyDescent="0.25">
      <c r="B2468" s="68"/>
      <c r="C2468" s="50"/>
      <c r="D2468" s="15"/>
    </row>
    <row r="2469" spans="2:4" x14ac:dyDescent="0.25">
      <c r="B2469" s="68"/>
      <c r="C2469" s="50"/>
      <c r="D2469" s="15"/>
    </row>
    <row r="2470" spans="2:4" x14ac:dyDescent="0.25">
      <c r="B2470" s="68"/>
      <c r="C2470" s="50"/>
      <c r="D2470" s="15"/>
    </row>
    <row r="2471" spans="2:4" x14ac:dyDescent="0.25">
      <c r="B2471" s="68"/>
      <c r="C2471" s="50"/>
      <c r="D2471" s="15"/>
    </row>
    <row r="2472" spans="2:4" x14ac:dyDescent="0.25">
      <c r="B2472" s="68"/>
      <c r="C2472" s="50"/>
      <c r="D2472" s="15"/>
    </row>
    <row r="2473" spans="2:4" x14ac:dyDescent="0.25">
      <c r="B2473" s="68"/>
      <c r="C2473" s="50"/>
      <c r="D2473" s="15"/>
    </row>
    <row r="2474" spans="2:4" x14ac:dyDescent="0.25">
      <c r="B2474" s="68"/>
      <c r="C2474" s="50"/>
      <c r="D2474" s="15"/>
    </row>
    <row r="2475" spans="2:4" x14ac:dyDescent="0.25">
      <c r="B2475" s="68"/>
      <c r="C2475" s="50"/>
      <c r="D2475" s="15"/>
    </row>
    <row r="2476" spans="2:4" x14ac:dyDescent="0.25">
      <c r="B2476" s="68"/>
      <c r="C2476" s="50"/>
      <c r="D2476" s="15"/>
    </row>
    <row r="2477" spans="2:4" x14ac:dyDescent="0.25">
      <c r="B2477" s="68"/>
      <c r="C2477" s="50"/>
      <c r="D2477" s="15"/>
    </row>
    <row r="2478" spans="2:4" x14ac:dyDescent="0.25">
      <c r="B2478" s="68"/>
      <c r="C2478" s="50"/>
      <c r="D2478" s="15"/>
    </row>
    <row r="2479" spans="2:4" x14ac:dyDescent="0.25">
      <c r="B2479" s="68"/>
      <c r="C2479" s="50"/>
      <c r="D2479" s="15"/>
    </row>
    <row r="2480" spans="2:4" x14ac:dyDescent="0.25">
      <c r="B2480" s="68"/>
      <c r="C2480" s="50"/>
      <c r="D2480" s="15"/>
    </row>
    <row r="2481" spans="2:4" x14ac:dyDescent="0.25">
      <c r="B2481" s="68"/>
      <c r="C2481" s="50"/>
      <c r="D2481" s="15"/>
    </row>
    <row r="2482" spans="2:4" x14ac:dyDescent="0.25">
      <c r="B2482" s="68"/>
      <c r="C2482" s="50"/>
      <c r="D2482" s="15"/>
    </row>
    <row r="2483" spans="2:4" x14ac:dyDescent="0.25">
      <c r="B2483" s="68"/>
      <c r="C2483" s="50"/>
      <c r="D2483" s="15"/>
    </row>
    <row r="2484" spans="2:4" x14ac:dyDescent="0.25">
      <c r="B2484" s="68"/>
      <c r="C2484" s="50"/>
      <c r="D2484" s="15"/>
    </row>
    <row r="2485" spans="2:4" x14ac:dyDescent="0.25">
      <c r="B2485" s="68"/>
      <c r="C2485" s="50"/>
      <c r="D2485" s="15"/>
    </row>
    <row r="2486" spans="2:4" x14ac:dyDescent="0.25">
      <c r="B2486" s="68"/>
      <c r="C2486" s="50"/>
      <c r="D2486" s="15"/>
    </row>
    <row r="2487" spans="2:4" x14ac:dyDescent="0.25">
      <c r="B2487" s="68"/>
      <c r="C2487" s="50"/>
      <c r="D2487" s="15"/>
    </row>
    <row r="2488" spans="2:4" x14ac:dyDescent="0.25">
      <c r="B2488" s="68"/>
      <c r="C2488" s="50"/>
      <c r="D2488" s="15"/>
    </row>
    <row r="2489" spans="2:4" x14ac:dyDescent="0.25">
      <c r="B2489" s="68"/>
      <c r="C2489" s="50"/>
      <c r="D2489" s="15"/>
    </row>
    <row r="2490" spans="2:4" x14ac:dyDescent="0.25">
      <c r="B2490" s="68"/>
      <c r="C2490" s="50"/>
      <c r="D2490" s="15"/>
    </row>
    <row r="2491" spans="2:4" x14ac:dyDescent="0.25">
      <c r="B2491" s="68"/>
      <c r="C2491" s="50"/>
      <c r="D2491" s="15"/>
    </row>
    <row r="2492" spans="2:4" x14ac:dyDescent="0.25">
      <c r="B2492" s="68"/>
      <c r="C2492" s="50"/>
      <c r="D2492" s="15"/>
    </row>
    <row r="2493" spans="2:4" x14ac:dyDescent="0.25">
      <c r="B2493" s="68"/>
      <c r="C2493" s="50"/>
      <c r="D2493" s="15"/>
    </row>
    <row r="2494" spans="2:4" x14ac:dyDescent="0.25">
      <c r="B2494" s="68"/>
      <c r="C2494" s="50"/>
      <c r="D2494" s="15"/>
    </row>
    <row r="2495" spans="2:4" x14ac:dyDescent="0.25">
      <c r="B2495" s="68"/>
      <c r="C2495" s="50"/>
      <c r="D2495" s="15"/>
    </row>
    <row r="2496" spans="2:4" x14ac:dyDescent="0.25">
      <c r="B2496" s="68"/>
      <c r="C2496" s="50"/>
      <c r="D2496" s="15"/>
    </row>
    <row r="2497" spans="2:4" x14ac:dyDescent="0.25">
      <c r="B2497" s="68"/>
      <c r="C2497" s="50"/>
      <c r="D2497" s="15"/>
    </row>
    <row r="2498" spans="2:4" x14ac:dyDescent="0.25">
      <c r="B2498" s="68"/>
      <c r="C2498" s="50"/>
      <c r="D2498" s="15"/>
    </row>
    <row r="2499" spans="2:4" x14ac:dyDescent="0.25">
      <c r="B2499" s="68"/>
      <c r="C2499" s="50"/>
      <c r="D2499" s="15"/>
    </row>
    <row r="2500" spans="2:4" x14ac:dyDescent="0.25">
      <c r="B2500" s="68"/>
      <c r="C2500" s="50"/>
      <c r="D2500" s="15"/>
    </row>
    <row r="2501" spans="2:4" x14ac:dyDescent="0.25">
      <c r="B2501" s="68"/>
      <c r="C2501" s="50"/>
      <c r="D2501" s="15"/>
    </row>
    <row r="2502" spans="2:4" x14ac:dyDescent="0.25">
      <c r="B2502" s="68"/>
      <c r="C2502" s="50"/>
      <c r="D2502" s="15"/>
    </row>
    <row r="2503" spans="2:4" x14ac:dyDescent="0.25">
      <c r="B2503" s="68"/>
      <c r="C2503" s="50"/>
      <c r="D2503" s="15"/>
    </row>
    <row r="2504" spans="2:4" x14ac:dyDescent="0.25">
      <c r="B2504" s="68"/>
      <c r="C2504" s="50"/>
      <c r="D2504" s="15"/>
    </row>
    <row r="2505" spans="2:4" x14ac:dyDescent="0.25">
      <c r="B2505" s="68"/>
      <c r="C2505" s="50"/>
      <c r="D2505" s="15"/>
    </row>
    <row r="2506" spans="2:4" x14ac:dyDescent="0.25">
      <c r="B2506" s="68"/>
      <c r="C2506" s="50"/>
      <c r="D2506" s="15"/>
    </row>
    <row r="2507" spans="2:4" x14ac:dyDescent="0.25">
      <c r="B2507" s="68"/>
      <c r="C2507" s="50"/>
      <c r="D2507" s="15"/>
    </row>
    <row r="2508" spans="2:4" x14ac:dyDescent="0.25">
      <c r="B2508" s="68"/>
      <c r="C2508" s="50"/>
      <c r="D2508" s="15"/>
    </row>
    <row r="2509" spans="2:4" x14ac:dyDescent="0.25">
      <c r="B2509" s="68"/>
      <c r="C2509" s="50"/>
      <c r="D2509" s="15"/>
    </row>
    <row r="2510" spans="2:4" x14ac:dyDescent="0.25">
      <c r="B2510" s="68"/>
      <c r="C2510" s="50"/>
      <c r="D2510" s="15"/>
    </row>
    <row r="2511" spans="2:4" x14ac:dyDescent="0.25">
      <c r="B2511" s="68"/>
      <c r="C2511" s="50"/>
      <c r="D2511" s="15"/>
    </row>
    <row r="2512" spans="2:4" x14ac:dyDescent="0.25">
      <c r="B2512" s="68"/>
      <c r="C2512" s="50"/>
      <c r="D2512" s="15"/>
    </row>
    <row r="2513" spans="2:4" x14ac:dyDescent="0.25">
      <c r="B2513" s="68"/>
      <c r="C2513" s="50"/>
      <c r="D2513" s="15"/>
    </row>
    <row r="2514" spans="2:4" x14ac:dyDescent="0.25">
      <c r="B2514" s="68"/>
      <c r="C2514" s="50"/>
      <c r="D2514" s="15"/>
    </row>
    <row r="2515" spans="2:4" x14ac:dyDescent="0.25">
      <c r="B2515" s="68"/>
      <c r="C2515" s="50"/>
      <c r="D2515" s="15"/>
    </row>
    <row r="2516" spans="2:4" x14ac:dyDescent="0.25">
      <c r="B2516" s="68"/>
      <c r="C2516" s="50"/>
      <c r="D2516" s="15"/>
    </row>
    <row r="2517" spans="2:4" x14ac:dyDescent="0.25">
      <c r="B2517" s="68"/>
      <c r="C2517" s="50"/>
      <c r="D2517" s="15"/>
    </row>
    <row r="2518" spans="2:4" x14ac:dyDescent="0.25">
      <c r="B2518" s="68"/>
      <c r="C2518" s="50"/>
      <c r="D2518" s="15"/>
    </row>
    <row r="2519" spans="2:4" x14ac:dyDescent="0.25">
      <c r="B2519" s="68"/>
      <c r="C2519" s="50"/>
      <c r="D2519" s="15"/>
    </row>
    <row r="2520" spans="2:4" x14ac:dyDescent="0.25">
      <c r="B2520" s="68"/>
      <c r="C2520" s="50"/>
      <c r="D2520" s="15"/>
    </row>
    <row r="2521" spans="2:4" x14ac:dyDescent="0.25">
      <c r="B2521" s="68"/>
      <c r="C2521" s="50"/>
      <c r="D2521" s="15"/>
    </row>
    <row r="2522" spans="2:4" x14ac:dyDescent="0.25">
      <c r="B2522" s="68"/>
      <c r="C2522" s="50"/>
      <c r="D2522" s="15"/>
    </row>
    <row r="2523" spans="2:4" x14ac:dyDescent="0.25">
      <c r="B2523" s="68"/>
      <c r="C2523" s="50"/>
      <c r="D2523" s="15"/>
    </row>
    <row r="2524" spans="2:4" x14ac:dyDescent="0.25">
      <c r="B2524" s="68"/>
      <c r="C2524" s="50"/>
      <c r="D2524" s="15"/>
    </row>
    <row r="2525" spans="2:4" x14ac:dyDescent="0.25">
      <c r="B2525" s="68"/>
      <c r="C2525" s="50"/>
      <c r="D2525" s="15"/>
    </row>
    <row r="2526" spans="2:4" x14ac:dyDescent="0.25">
      <c r="B2526" s="68"/>
      <c r="C2526" s="50"/>
      <c r="D2526" s="15"/>
    </row>
    <row r="2527" spans="2:4" x14ac:dyDescent="0.25">
      <c r="B2527" s="68"/>
      <c r="C2527" s="50"/>
      <c r="D2527" s="15"/>
    </row>
    <row r="2528" spans="2:4" x14ac:dyDescent="0.25">
      <c r="B2528" s="68"/>
      <c r="C2528" s="50"/>
      <c r="D2528" s="15"/>
    </row>
    <row r="2529" spans="2:4" x14ac:dyDescent="0.25">
      <c r="B2529" s="68"/>
      <c r="C2529" s="50"/>
      <c r="D2529" s="15"/>
    </row>
    <row r="2530" spans="2:4" x14ac:dyDescent="0.25">
      <c r="B2530" s="68"/>
      <c r="C2530" s="50"/>
      <c r="D2530" s="15"/>
    </row>
    <row r="2531" spans="2:4" x14ac:dyDescent="0.25">
      <c r="B2531" s="68"/>
      <c r="C2531" s="50"/>
      <c r="D2531" s="15"/>
    </row>
    <row r="2532" spans="2:4" x14ac:dyDescent="0.25">
      <c r="B2532" s="68"/>
      <c r="C2532" s="50"/>
      <c r="D2532" s="15"/>
    </row>
    <row r="2533" spans="2:4" x14ac:dyDescent="0.25">
      <c r="B2533" s="68"/>
      <c r="C2533" s="50"/>
      <c r="D2533" s="15"/>
    </row>
    <row r="2534" spans="2:4" x14ac:dyDescent="0.25">
      <c r="B2534" s="68"/>
      <c r="C2534" s="50"/>
      <c r="D2534" s="15"/>
    </row>
    <row r="2535" spans="2:4" x14ac:dyDescent="0.25">
      <c r="B2535" s="68"/>
      <c r="C2535" s="50"/>
      <c r="D2535" s="15"/>
    </row>
    <row r="2536" spans="2:4" x14ac:dyDescent="0.25">
      <c r="B2536" s="68"/>
      <c r="C2536" s="50"/>
      <c r="D2536" s="15"/>
    </row>
    <row r="2537" spans="2:4" x14ac:dyDescent="0.25">
      <c r="B2537" s="68"/>
      <c r="C2537" s="50"/>
      <c r="D2537" s="15"/>
    </row>
    <row r="2538" spans="2:4" x14ac:dyDescent="0.25">
      <c r="B2538" s="68"/>
      <c r="C2538" s="50"/>
      <c r="D2538" s="15"/>
    </row>
    <row r="2539" spans="2:4" x14ac:dyDescent="0.25">
      <c r="B2539" s="68"/>
      <c r="C2539" s="50"/>
      <c r="D2539" s="15"/>
    </row>
    <row r="2540" spans="2:4" x14ac:dyDescent="0.25">
      <c r="B2540" s="68"/>
      <c r="C2540" s="50"/>
      <c r="D2540" s="15"/>
    </row>
    <row r="2541" spans="2:4" x14ac:dyDescent="0.25">
      <c r="B2541" s="68"/>
      <c r="C2541" s="50"/>
      <c r="D2541" s="15"/>
    </row>
    <row r="2542" spans="2:4" x14ac:dyDescent="0.25">
      <c r="B2542" s="68"/>
      <c r="C2542" s="50"/>
      <c r="D2542" s="15"/>
    </row>
    <row r="2543" spans="2:4" x14ac:dyDescent="0.25">
      <c r="B2543" s="68"/>
      <c r="C2543" s="50"/>
      <c r="D2543" s="15"/>
    </row>
    <row r="2544" spans="2:4" x14ac:dyDescent="0.25">
      <c r="B2544" s="68"/>
      <c r="C2544" s="50"/>
      <c r="D2544" s="15"/>
    </row>
    <row r="2545" spans="2:4" x14ac:dyDescent="0.25">
      <c r="B2545" s="68"/>
      <c r="C2545" s="50"/>
      <c r="D2545" s="15"/>
    </row>
    <row r="2546" spans="2:4" x14ac:dyDescent="0.25">
      <c r="B2546" s="68"/>
      <c r="C2546" s="50"/>
      <c r="D2546" s="15"/>
    </row>
    <row r="2547" spans="2:4" x14ac:dyDescent="0.25">
      <c r="B2547" s="68"/>
      <c r="C2547" s="50"/>
      <c r="D2547" s="15"/>
    </row>
    <row r="2548" spans="2:4" x14ac:dyDescent="0.25">
      <c r="B2548" s="68"/>
      <c r="C2548" s="50"/>
      <c r="D2548" s="15"/>
    </row>
    <row r="2549" spans="2:4" x14ac:dyDescent="0.25">
      <c r="B2549" s="68"/>
      <c r="C2549" s="50"/>
      <c r="D2549" s="15"/>
    </row>
    <row r="2550" spans="2:4" x14ac:dyDescent="0.25">
      <c r="B2550" s="68"/>
      <c r="C2550" s="50"/>
      <c r="D2550" s="15"/>
    </row>
    <row r="2551" spans="2:4" x14ac:dyDescent="0.25">
      <c r="B2551" s="68"/>
      <c r="C2551" s="50"/>
      <c r="D2551" s="15"/>
    </row>
    <row r="2552" spans="2:4" x14ac:dyDescent="0.25">
      <c r="B2552" s="68"/>
      <c r="C2552" s="50"/>
      <c r="D2552" s="15"/>
    </row>
    <row r="2553" spans="2:4" x14ac:dyDescent="0.25">
      <c r="B2553" s="68"/>
      <c r="C2553" s="50"/>
      <c r="D2553" s="15"/>
    </row>
    <row r="2554" spans="2:4" x14ac:dyDescent="0.25">
      <c r="B2554" s="68"/>
      <c r="C2554" s="50"/>
      <c r="D2554" s="15"/>
    </row>
    <row r="2555" spans="2:4" x14ac:dyDescent="0.25">
      <c r="B2555" s="68"/>
      <c r="C2555" s="50"/>
      <c r="D2555" s="15"/>
    </row>
    <row r="2556" spans="2:4" x14ac:dyDescent="0.25">
      <c r="B2556" s="68"/>
      <c r="C2556" s="50"/>
      <c r="D2556" s="15"/>
    </row>
    <row r="2557" spans="2:4" x14ac:dyDescent="0.25">
      <c r="B2557" s="68"/>
      <c r="C2557" s="50"/>
      <c r="D2557" s="15"/>
    </row>
    <row r="2558" spans="2:4" x14ac:dyDescent="0.25">
      <c r="B2558" s="68"/>
      <c r="C2558" s="50"/>
      <c r="D2558" s="15"/>
    </row>
    <row r="2559" spans="2:4" x14ac:dyDescent="0.25">
      <c r="B2559" s="68"/>
      <c r="C2559" s="50"/>
      <c r="D2559" s="15"/>
    </row>
    <row r="2560" spans="2:4" x14ac:dyDescent="0.25">
      <c r="B2560" s="68"/>
      <c r="C2560" s="50"/>
      <c r="D2560" s="15"/>
    </row>
    <row r="2561" spans="2:4" x14ac:dyDescent="0.25">
      <c r="B2561" s="68"/>
      <c r="C2561" s="50"/>
      <c r="D2561" s="15"/>
    </row>
    <row r="2562" spans="2:4" x14ac:dyDescent="0.25">
      <c r="B2562" s="68"/>
      <c r="C2562" s="50"/>
      <c r="D2562" s="15"/>
    </row>
    <row r="2563" spans="2:4" x14ac:dyDescent="0.25">
      <c r="B2563" s="68"/>
      <c r="C2563" s="50"/>
      <c r="D2563" s="15"/>
    </row>
    <row r="2564" spans="2:4" x14ac:dyDescent="0.25">
      <c r="B2564" s="68"/>
      <c r="C2564" s="50"/>
      <c r="D2564" s="15"/>
    </row>
    <row r="2565" spans="2:4" x14ac:dyDescent="0.25">
      <c r="B2565" s="68"/>
      <c r="C2565" s="50"/>
      <c r="D2565" s="15"/>
    </row>
    <row r="2566" spans="2:4" x14ac:dyDescent="0.25">
      <c r="B2566" s="68"/>
      <c r="C2566" s="50"/>
      <c r="D2566" s="15"/>
    </row>
    <row r="2567" spans="2:4" x14ac:dyDescent="0.25">
      <c r="B2567" s="68"/>
      <c r="C2567" s="50"/>
      <c r="D2567" s="15"/>
    </row>
    <row r="2568" spans="2:4" x14ac:dyDescent="0.25">
      <c r="B2568" s="68"/>
      <c r="C2568" s="50"/>
      <c r="D2568" s="15"/>
    </row>
    <row r="2569" spans="2:4" x14ac:dyDescent="0.25">
      <c r="B2569" s="68"/>
      <c r="C2569" s="50"/>
      <c r="D2569" s="15"/>
    </row>
    <row r="2570" spans="2:4" x14ac:dyDescent="0.25">
      <c r="B2570" s="68"/>
      <c r="C2570" s="50"/>
      <c r="D2570" s="15"/>
    </row>
    <row r="2571" spans="2:4" x14ac:dyDescent="0.25">
      <c r="B2571" s="68"/>
      <c r="C2571" s="50"/>
      <c r="D2571" s="15"/>
    </row>
    <row r="2572" spans="2:4" x14ac:dyDescent="0.25">
      <c r="B2572" s="68"/>
      <c r="C2572" s="50"/>
      <c r="D2572" s="15"/>
    </row>
    <row r="2573" spans="2:4" x14ac:dyDescent="0.25">
      <c r="B2573" s="68"/>
      <c r="C2573" s="50"/>
      <c r="D2573" s="15"/>
    </row>
    <row r="2574" spans="2:4" x14ac:dyDescent="0.25">
      <c r="B2574" s="68"/>
      <c r="C2574" s="50"/>
      <c r="D2574" s="15"/>
    </row>
    <row r="2575" spans="2:4" x14ac:dyDescent="0.25">
      <c r="B2575" s="68"/>
      <c r="C2575" s="50"/>
      <c r="D2575" s="15"/>
    </row>
    <row r="2576" spans="2:4" x14ac:dyDescent="0.25">
      <c r="B2576" s="68"/>
      <c r="C2576" s="50"/>
      <c r="D2576" s="15"/>
    </row>
    <row r="2577" spans="2:4" x14ac:dyDescent="0.25">
      <c r="B2577" s="68"/>
      <c r="C2577" s="50"/>
      <c r="D2577" s="15"/>
    </row>
    <row r="2578" spans="2:4" x14ac:dyDescent="0.25">
      <c r="B2578" s="68"/>
      <c r="C2578" s="50"/>
      <c r="D2578" s="15"/>
    </row>
    <row r="2579" spans="2:4" x14ac:dyDescent="0.25">
      <c r="B2579" s="68"/>
      <c r="C2579" s="50"/>
      <c r="D2579" s="15"/>
    </row>
    <row r="2580" spans="2:4" x14ac:dyDescent="0.25">
      <c r="B2580" s="68"/>
      <c r="C2580" s="50"/>
      <c r="D2580" s="15"/>
    </row>
    <row r="2581" spans="2:4" x14ac:dyDescent="0.25">
      <c r="B2581" s="68"/>
      <c r="C2581" s="50"/>
      <c r="D2581" s="15"/>
    </row>
    <row r="2582" spans="2:4" x14ac:dyDescent="0.25">
      <c r="B2582" s="68"/>
      <c r="C2582" s="50"/>
      <c r="D2582" s="15"/>
    </row>
    <row r="2583" spans="2:4" x14ac:dyDescent="0.25">
      <c r="B2583" s="68"/>
      <c r="C2583" s="50"/>
      <c r="D2583" s="15"/>
    </row>
    <row r="2584" spans="2:4" x14ac:dyDescent="0.25">
      <c r="B2584" s="68"/>
      <c r="C2584" s="50"/>
      <c r="D2584" s="15"/>
    </row>
    <row r="2585" spans="2:4" x14ac:dyDescent="0.25">
      <c r="B2585" s="68"/>
      <c r="C2585" s="50"/>
      <c r="D2585" s="15"/>
    </row>
    <row r="2586" spans="2:4" x14ac:dyDescent="0.25">
      <c r="B2586" s="68"/>
      <c r="C2586" s="50"/>
      <c r="D2586" s="15"/>
    </row>
    <row r="2587" spans="2:4" x14ac:dyDescent="0.25">
      <c r="B2587" s="68"/>
      <c r="C2587" s="50"/>
      <c r="D2587" s="15"/>
    </row>
    <row r="2588" spans="2:4" x14ac:dyDescent="0.25">
      <c r="B2588" s="68"/>
      <c r="C2588" s="50"/>
      <c r="D2588" s="15"/>
    </row>
    <row r="2589" spans="2:4" x14ac:dyDescent="0.25">
      <c r="B2589" s="68"/>
      <c r="C2589" s="50"/>
      <c r="D2589" s="15"/>
    </row>
    <row r="2590" spans="2:4" x14ac:dyDescent="0.25">
      <c r="B2590" s="68"/>
      <c r="C2590" s="50"/>
      <c r="D2590" s="15"/>
    </row>
    <row r="2591" spans="2:4" x14ac:dyDescent="0.25">
      <c r="B2591" s="68"/>
      <c r="C2591" s="50"/>
      <c r="D2591" s="15"/>
    </row>
    <row r="2592" spans="2:4" x14ac:dyDescent="0.25">
      <c r="B2592" s="68"/>
      <c r="C2592" s="50"/>
      <c r="D2592" s="15"/>
    </row>
    <row r="2593" spans="2:4" x14ac:dyDescent="0.25">
      <c r="B2593" s="68"/>
      <c r="C2593" s="50"/>
      <c r="D2593" s="15"/>
    </row>
    <row r="2594" spans="2:4" x14ac:dyDescent="0.25">
      <c r="B2594" s="68"/>
      <c r="C2594" s="50"/>
      <c r="D2594" s="15"/>
    </row>
    <row r="2595" spans="2:4" x14ac:dyDescent="0.25">
      <c r="B2595" s="68"/>
      <c r="C2595" s="50"/>
      <c r="D2595" s="15"/>
    </row>
    <row r="2596" spans="2:4" x14ac:dyDescent="0.25">
      <c r="B2596" s="68"/>
      <c r="C2596" s="50"/>
      <c r="D2596" s="15"/>
    </row>
    <row r="2597" spans="2:4" x14ac:dyDescent="0.25">
      <c r="B2597" s="68"/>
      <c r="C2597" s="50"/>
      <c r="D2597" s="15"/>
    </row>
    <row r="2598" spans="2:4" x14ac:dyDescent="0.25">
      <c r="B2598" s="68"/>
      <c r="C2598" s="50"/>
      <c r="D2598" s="15"/>
    </row>
    <row r="2599" spans="2:4" x14ac:dyDescent="0.25">
      <c r="B2599" s="68"/>
      <c r="C2599" s="50"/>
      <c r="D2599" s="15"/>
    </row>
    <row r="2600" spans="2:4" x14ac:dyDescent="0.25">
      <c r="B2600" s="68"/>
      <c r="C2600" s="50"/>
      <c r="D2600" s="15"/>
    </row>
    <row r="2601" spans="2:4" x14ac:dyDescent="0.25">
      <c r="B2601" s="68"/>
      <c r="C2601" s="50"/>
      <c r="D2601" s="15"/>
    </row>
    <row r="2602" spans="2:4" x14ac:dyDescent="0.25">
      <c r="B2602" s="68"/>
      <c r="C2602" s="50"/>
      <c r="D2602" s="15"/>
    </row>
    <row r="2603" spans="2:4" x14ac:dyDescent="0.25">
      <c r="B2603" s="68"/>
      <c r="C2603" s="50"/>
      <c r="D2603" s="15"/>
    </row>
    <row r="2604" spans="2:4" x14ac:dyDescent="0.25">
      <c r="B2604" s="68"/>
      <c r="C2604" s="50"/>
      <c r="D2604" s="15"/>
    </row>
    <row r="2605" spans="2:4" x14ac:dyDescent="0.25">
      <c r="B2605" s="68"/>
      <c r="C2605" s="50"/>
      <c r="D2605" s="15"/>
    </row>
    <row r="2606" spans="2:4" x14ac:dyDescent="0.25">
      <c r="B2606" s="68"/>
      <c r="C2606" s="50"/>
      <c r="D2606" s="15"/>
    </row>
    <row r="2607" spans="2:4" x14ac:dyDescent="0.25">
      <c r="B2607" s="68"/>
      <c r="C2607" s="50"/>
      <c r="D2607" s="15"/>
    </row>
    <row r="2608" spans="2:4" x14ac:dyDescent="0.25">
      <c r="B2608" s="68"/>
      <c r="C2608" s="50"/>
      <c r="D2608" s="15"/>
    </row>
    <row r="2609" spans="2:4" x14ac:dyDescent="0.25">
      <c r="B2609" s="68"/>
      <c r="C2609" s="50"/>
      <c r="D2609" s="15"/>
    </row>
    <row r="2610" spans="2:4" x14ac:dyDescent="0.25">
      <c r="B2610" s="68"/>
      <c r="C2610" s="50"/>
      <c r="D2610" s="15"/>
    </row>
    <row r="2611" spans="2:4" x14ac:dyDescent="0.25">
      <c r="B2611" s="68"/>
      <c r="C2611" s="50"/>
      <c r="D2611" s="15"/>
    </row>
    <row r="2612" spans="2:4" x14ac:dyDescent="0.25">
      <c r="B2612" s="68"/>
      <c r="C2612" s="50"/>
      <c r="D2612" s="15"/>
    </row>
    <row r="2613" spans="2:4" x14ac:dyDescent="0.25">
      <c r="B2613" s="68"/>
      <c r="C2613" s="50"/>
      <c r="D2613" s="15"/>
    </row>
    <row r="2614" spans="2:4" x14ac:dyDescent="0.25">
      <c r="B2614" s="68"/>
      <c r="C2614" s="50"/>
      <c r="D2614" s="15"/>
    </row>
    <row r="2615" spans="2:4" x14ac:dyDescent="0.25">
      <c r="B2615" s="68"/>
      <c r="C2615" s="50"/>
      <c r="D2615" s="15"/>
    </row>
    <row r="2616" spans="2:4" x14ac:dyDescent="0.25">
      <c r="B2616" s="68"/>
      <c r="C2616" s="50"/>
      <c r="D2616" s="15"/>
    </row>
    <row r="2617" spans="2:4" x14ac:dyDescent="0.25">
      <c r="B2617" s="68"/>
      <c r="C2617" s="50"/>
      <c r="D2617" s="15"/>
    </row>
    <row r="2618" spans="2:4" x14ac:dyDescent="0.25">
      <c r="B2618" s="68"/>
      <c r="C2618" s="50"/>
      <c r="D2618" s="15"/>
    </row>
    <row r="2619" spans="2:4" x14ac:dyDescent="0.25">
      <c r="B2619" s="68"/>
      <c r="C2619" s="50"/>
      <c r="D2619" s="15"/>
    </row>
    <row r="2620" spans="2:4" x14ac:dyDescent="0.25">
      <c r="B2620" s="68"/>
      <c r="C2620" s="50"/>
      <c r="D2620" s="15"/>
    </row>
    <row r="2621" spans="2:4" x14ac:dyDescent="0.25">
      <c r="B2621" s="68"/>
      <c r="C2621" s="50"/>
      <c r="D2621" s="15"/>
    </row>
    <row r="2622" spans="2:4" x14ac:dyDescent="0.25">
      <c r="B2622" s="68"/>
      <c r="C2622" s="50"/>
      <c r="D2622" s="15"/>
    </row>
    <row r="2623" spans="2:4" x14ac:dyDescent="0.25">
      <c r="B2623" s="68"/>
      <c r="C2623" s="50"/>
      <c r="D2623" s="15"/>
    </row>
    <row r="2624" spans="2:4" x14ac:dyDescent="0.25">
      <c r="B2624" s="68"/>
      <c r="C2624" s="50"/>
      <c r="D2624" s="15"/>
    </row>
    <row r="2625" spans="2:4" x14ac:dyDescent="0.25">
      <c r="B2625" s="68"/>
      <c r="C2625" s="50"/>
      <c r="D2625" s="15"/>
    </row>
    <row r="2626" spans="2:4" x14ac:dyDescent="0.25">
      <c r="B2626" s="68"/>
      <c r="C2626" s="50"/>
      <c r="D2626" s="15"/>
    </row>
    <row r="2627" spans="2:4" x14ac:dyDescent="0.25">
      <c r="B2627" s="68"/>
      <c r="C2627" s="50"/>
      <c r="D2627" s="15"/>
    </row>
    <row r="2628" spans="2:4" x14ac:dyDescent="0.25">
      <c r="B2628" s="68"/>
      <c r="C2628" s="50"/>
      <c r="D2628" s="15"/>
    </row>
    <row r="2629" spans="2:4" x14ac:dyDescent="0.25">
      <c r="B2629" s="68"/>
      <c r="C2629" s="50"/>
      <c r="D2629" s="15"/>
    </row>
    <row r="2630" spans="2:4" x14ac:dyDescent="0.25">
      <c r="B2630" s="68"/>
      <c r="C2630" s="50"/>
      <c r="D2630" s="15"/>
    </row>
    <row r="2631" spans="2:4" x14ac:dyDescent="0.25">
      <c r="B2631" s="68"/>
      <c r="C2631" s="50"/>
      <c r="D2631" s="15"/>
    </row>
    <row r="2632" spans="2:4" x14ac:dyDescent="0.25">
      <c r="B2632" s="68"/>
      <c r="C2632" s="50"/>
      <c r="D2632" s="15"/>
    </row>
    <row r="2633" spans="2:4" x14ac:dyDescent="0.25">
      <c r="B2633" s="68"/>
      <c r="C2633" s="50"/>
      <c r="D2633" s="15"/>
    </row>
    <row r="2634" spans="2:4" x14ac:dyDescent="0.25">
      <c r="B2634" s="68"/>
      <c r="C2634" s="50"/>
      <c r="D2634" s="15"/>
    </row>
    <row r="2635" spans="2:4" x14ac:dyDescent="0.25">
      <c r="B2635" s="68"/>
      <c r="C2635" s="50"/>
      <c r="D2635" s="15"/>
    </row>
    <row r="2636" spans="2:4" x14ac:dyDescent="0.25">
      <c r="B2636" s="68"/>
      <c r="C2636" s="50"/>
      <c r="D2636" s="15"/>
    </row>
    <row r="2637" spans="2:4" x14ac:dyDescent="0.25">
      <c r="B2637" s="68"/>
      <c r="C2637" s="50"/>
      <c r="D2637" s="15"/>
    </row>
    <row r="2638" spans="2:4" x14ac:dyDescent="0.25">
      <c r="B2638" s="68"/>
      <c r="C2638" s="50"/>
      <c r="D2638" s="15"/>
    </row>
    <row r="2639" spans="2:4" x14ac:dyDescent="0.25">
      <c r="B2639" s="68"/>
      <c r="C2639" s="50"/>
      <c r="D2639" s="15"/>
    </row>
    <row r="2640" spans="2:4" x14ac:dyDescent="0.25">
      <c r="B2640" s="68"/>
      <c r="C2640" s="50"/>
      <c r="D2640" s="15"/>
    </row>
    <row r="2641" spans="2:4" x14ac:dyDescent="0.25">
      <c r="B2641" s="68"/>
      <c r="C2641" s="50"/>
      <c r="D2641" s="15"/>
    </row>
    <row r="2642" spans="2:4" x14ac:dyDescent="0.25">
      <c r="B2642" s="68"/>
      <c r="C2642" s="50"/>
      <c r="D2642" s="15"/>
    </row>
    <row r="2643" spans="2:4" x14ac:dyDescent="0.25">
      <c r="B2643" s="68"/>
      <c r="C2643" s="50"/>
      <c r="D2643" s="15"/>
    </row>
    <row r="2644" spans="2:4" x14ac:dyDescent="0.25">
      <c r="B2644" s="68"/>
      <c r="C2644" s="50"/>
      <c r="D2644" s="15"/>
    </row>
    <row r="2645" spans="2:4" x14ac:dyDescent="0.25">
      <c r="B2645" s="68"/>
      <c r="C2645" s="50"/>
      <c r="D2645" s="15"/>
    </row>
    <row r="2646" spans="2:4" x14ac:dyDescent="0.25">
      <c r="B2646" s="68"/>
      <c r="C2646" s="50"/>
      <c r="D2646" s="15"/>
    </row>
    <row r="2647" spans="2:4" x14ac:dyDescent="0.25">
      <c r="B2647" s="68"/>
      <c r="C2647" s="50"/>
      <c r="D2647" s="15"/>
    </row>
    <row r="2648" spans="2:4" x14ac:dyDescent="0.25">
      <c r="B2648" s="68"/>
      <c r="C2648" s="50"/>
      <c r="D2648" s="15"/>
    </row>
    <row r="2649" spans="2:4" x14ac:dyDescent="0.25">
      <c r="B2649" s="68"/>
      <c r="C2649" s="50"/>
      <c r="D2649" s="15"/>
    </row>
    <row r="2650" spans="2:4" x14ac:dyDescent="0.25">
      <c r="B2650" s="68"/>
      <c r="C2650" s="50"/>
      <c r="D2650" s="15"/>
    </row>
    <row r="2651" spans="2:4" x14ac:dyDescent="0.25">
      <c r="B2651" s="68"/>
      <c r="C2651" s="50"/>
      <c r="D2651" s="15"/>
    </row>
    <row r="2652" spans="2:4" x14ac:dyDescent="0.25">
      <c r="B2652" s="68"/>
      <c r="C2652" s="50"/>
      <c r="D2652" s="15"/>
    </row>
    <row r="2653" spans="2:4" x14ac:dyDescent="0.25">
      <c r="B2653" s="68"/>
      <c r="C2653" s="50"/>
      <c r="D2653" s="15"/>
    </row>
    <row r="2654" spans="2:4" x14ac:dyDescent="0.25">
      <c r="B2654" s="68"/>
      <c r="C2654" s="50"/>
      <c r="D2654" s="15"/>
    </row>
    <row r="2655" spans="2:4" x14ac:dyDescent="0.25">
      <c r="B2655" s="68"/>
      <c r="C2655" s="50"/>
      <c r="D2655" s="15"/>
    </row>
    <row r="2656" spans="2:4" x14ac:dyDescent="0.25">
      <c r="B2656" s="68"/>
      <c r="C2656" s="50"/>
      <c r="D2656" s="15"/>
    </row>
    <row r="2657" spans="2:4" x14ac:dyDescent="0.25">
      <c r="B2657" s="68"/>
      <c r="C2657" s="50"/>
      <c r="D2657" s="15"/>
    </row>
    <row r="2658" spans="2:4" x14ac:dyDescent="0.25">
      <c r="B2658" s="68"/>
      <c r="C2658" s="50"/>
      <c r="D2658" s="15"/>
    </row>
    <row r="2659" spans="2:4" x14ac:dyDescent="0.25">
      <c r="B2659" s="68"/>
      <c r="C2659" s="50"/>
      <c r="D2659" s="15"/>
    </row>
    <row r="2660" spans="2:4" x14ac:dyDescent="0.25">
      <c r="B2660" s="68"/>
      <c r="C2660" s="50"/>
      <c r="D2660" s="15"/>
    </row>
    <row r="2661" spans="2:4" x14ac:dyDescent="0.25">
      <c r="B2661" s="68"/>
      <c r="C2661" s="50"/>
      <c r="D2661" s="15"/>
    </row>
    <row r="2662" spans="2:4" x14ac:dyDescent="0.25">
      <c r="B2662" s="68"/>
      <c r="C2662" s="50"/>
      <c r="D2662" s="15"/>
    </row>
    <row r="2663" spans="2:4" x14ac:dyDescent="0.25">
      <c r="B2663" s="68"/>
      <c r="C2663" s="50"/>
      <c r="D2663" s="15"/>
    </row>
    <row r="2664" spans="2:4" x14ac:dyDescent="0.25">
      <c r="B2664" s="68"/>
      <c r="C2664" s="50"/>
      <c r="D2664" s="15"/>
    </row>
    <row r="2665" spans="2:4" x14ac:dyDescent="0.25">
      <c r="B2665" s="68"/>
      <c r="C2665" s="50"/>
      <c r="D2665" s="15"/>
    </row>
    <row r="2666" spans="2:4" x14ac:dyDescent="0.25">
      <c r="B2666" s="68"/>
      <c r="C2666" s="50"/>
      <c r="D2666" s="15"/>
    </row>
    <row r="2667" spans="2:4" x14ac:dyDescent="0.25">
      <c r="B2667" s="68"/>
      <c r="C2667" s="50"/>
      <c r="D2667" s="15"/>
    </row>
    <row r="2668" spans="2:4" x14ac:dyDescent="0.25">
      <c r="B2668" s="68"/>
      <c r="C2668" s="50"/>
      <c r="D2668" s="15"/>
    </row>
    <row r="2669" spans="2:4" x14ac:dyDescent="0.25">
      <c r="B2669" s="68"/>
      <c r="C2669" s="50"/>
      <c r="D2669" s="15"/>
    </row>
    <row r="2670" spans="2:4" x14ac:dyDescent="0.25">
      <c r="B2670" s="68"/>
      <c r="C2670" s="50"/>
      <c r="D2670" s="15"/>
    </row>
    <row r="2671" spans="2:4" x14ac:dyDescent="0.25">
      <c r="B2671" s="68"/>
      <c r="C2671" s="50"/>
      <c r="D2671" s="15"/>
    </row>
    <row r="2672" spans="2:4" x14ac:dyDescent="0.25">
      <c r="B2672" s="68"/>
      <c r="C2672" s="50"/>
      <c r="D2672" s="15"/>
    </row>
    <row r="2673" spans="2:4" x14ac:dyDescent="0.25">
      <c r="B2673" s="68"/>
      <c r="C2673" s="50"/>
      <c r="D2673" s="15"/>
    </row>
    <row r="2674" spans="2:4" x14ac:dyDescent="0.25">
      <c r="B2674" s="68"/>
      <c r="C2674" s="50"/>
      <c r="D2674" s="15"/>
    </row>
    <row r="2675" spans="2:4" x14ac:dyDescent="0.25">
      <c r="B2675" s="68"/>
      <c r="C2675" s="50"/>
      <c r="D2675" s="15"/>
    </row>
    <row r="2676" spans="2:4" x14ac:dyDescent="0.25">
      <c r="B2676" s="68"/>
      <c r="C2676" s="50"/>
      <c r="D2676" s="15"/>
    </row>
    <row r="2677" spans="2:4" x14ac:dyDescent="0.25">
      <c r="B2677" s="68"/>
      <c r="C2677" s="50"/>
      <c r="D2677" s="15"/>
    </row>
    <row r="2678" spans="2:4" x14ac:dyDescent="0.25">
      <c r="B2678" s="68"/>
      <c r="C2678" s="50"/>
      <c r="D2678" s="15"/>
    </row>
    <row r="2679" spans="2:4" x14ac:dyDescent="0.25">
      <c r="B2679" s="68"/>
      <c r="C2679" s="50"/>
      <c r="D2679" s="15"/>
    </row>
    <row r="2680" spans="2:4" x14ac:dyDescent="0.25">
      <c r="B2680" s="68"/>
      <c r="C2680" s="50"/>
      <c r="D2680" s="15"/>
    </row>
    <row r="2681" spans="2:4" x14ac:dyDescent="0.25">
      <c r="B2681" s="68"/>
      <c r="C2681" s="50"/>
      <c r="D2681" s="15"/>
    </row>
    <row r="2682" spans="2:4" x14ac:dyDescent="0.25">
      <c r="B2682" s="68"/>
      <c r="C2682" s="50"/>
      <c r="D2682" s="15"/>
    </row>
    <row r="2683" spans="2:4" x14ac:dyDescent="0.25">
      <c r="B2683" s="68"/>
      <c r="C2683" s="50"/>
      <c r="D2683" s="15"/>
    </row>
    <row r="2684" spans="2:4" x14ac:dyDescent="0.25">
      <c r="B2684" s="68"/>
      <c r="C2684" s="50"/>
      <c r="D2684" s="15"/>
    </row>
    <row r="2685" spans="2:4" x14ac:dyDescent="0.25">
      <c r="B2685" s="68"/>
      <c r="C2685" s="50"/>
      <c r="D2685" s="15"/>
    </row>
    <row r="2686" spans="2:4" x14ac:dyDescent="0.25">
      <c r="B2686" s="68"/>
      <c r="C2686" s="50"/>
      <c r="D2686" s="15"/>
    </row>
    <row r="2687" spans="2:4" x14ac:dyDescent="0.25">
      <c r="B2687" s="68"/>
      <c r="C2687" s="50"/>
      <c r="D2687" s="15"/>
    </row>
    <row r="2688" spans="2:4" x14ac:dyDescent="0.25">
      <c r="B2688" s="68"/>
      <c r="C2688" s="50"/>
      <c r="D2688" s="15"/>
    </row>
    <row r="2689" spans="2:4" x14ac:dyDescent="0.25">
      <c r="B2689" s="68"/>
      <c r="C2689" s="50"/>
      <c r="D2689" s="15"/>
    </row>
    <row r="2690" spans="2:4" x14ac:dyDescent="0.25">
      <c r="B2690" s="68"/>
      <c r="C2690" s="50"/>
      <c r="D2690" s="15"/>
    </row>
    <row r="2691" spans="2:4" x14ac:dyDescent="0.25">
      <c r="B2691" s="68"/>
      <c r="C2691" s="50"/>
      <c r="D2691" s="15"/>
    </row>
    <row r="2692" spans="2:4" x14ac:dyDescent="0.25">
      <c r="B2692" s="68"/>
      <c r="C2692" s="50"/>
      <c r="D2692" s="15"/>
    </row>
    <row r="2693" spans="2:4" x14ac:dyDescent="0.25">
      <c r="B2693" s="68"/>
      <c r="C2693" s="50"/>
      <c r="D2693" s="15"/>
    </row>
    <row r="2694" spans="2:4" x14ac:dyDescent="0.25">
      <c r="B2694" s="68"/>
      <c r="C2694" s="50"/>
      <c r="D2694" s="15"/>
    </row>
    <row r="2695" spans="2:4" x14ac:dyDescent="0.25">
      <c r="B2695" s="68"/>
      <c r="C2695" s="50"/>
      <c r="D2695" s="15"/>
    </row>
    <row r="2696" spans="2:4" x14ac:dyDescent="0.25">
      <c r="B2696" s="68"/>
      <c r="C2696" s="50"/>
      <c r="D2696" s="15"/>
    </row>
    <row r="2697" spans="2:4" x14ac:dyDescent="0.25">
      <c r="B2697" s="68"/>
      <c r="C2697" s="50"/>
      <c r="D2697" s="15"/>
    </row>
    <row r="2698" spans="2:4" x14ac:dyDescent="0.25">
      <c r="B2698" s="68"/>
      <c r="C2698" s="50"/>
      <c r="D2698" s="15"/>
    </row>
    <row r="2699" spans="2:4" x14ac:dyDescent="0.25">
      <c r="B2699" s="68"/>
      <c r="C2699" s="50"/>
      <c r="D2699" s="15"/>
    </row>
    <row r="2700" spans="2:4" x14ac:dyDescent="0.25">
      <c r="B2700" s="68"/>
      <c r="C2700" s="50"/>
      <c r="D2700" s="15"/>
    </row>
    <row r="2701" spans="2:4" x14ac:dyDescent="0.25">
      <c r="B2701" s="68"/>
      <c r="C2701" s="50"/>
      <c r="D2701" s="15"/>
    </row>
    <row r="2702" spans="2:4" x14ac:dyDescent="0.25">
      <c r="B2702" s="68"/>
      <c r="C2702" s="50"/>
      <c r="D2702" s="15"/>
    </row>
    <row r="2703" spans="2:4" x14ac:dyDescent="0.25">
      <c r="B2703" s="68"/>
      <c r="C2703" s="50"/>
      <c r="D2703" s="15"/>
    </row>
    <row r="2704" spans="2:4" x14ac:dyDescent="0.25">
      <c r="B2704" s="68"/>
      <c r="C2704" s="50"/>
      <c r="D2704" s="15"/>
    </row>
    <row r="2705" spans="2:4" x14ac:dyDescent="0.25">
      <c r="B2705" s="68"/>
      <c r="C2705" s="50"/>
      <c r="D2705" s="15"/>
    </row>
    <row r="2706" spans="2:4" x14ac:dyDescent="0.25">
      <c r="B2706" s="68"/>
      <c r="C2706" s="50"/>
      <c r="D2706" s="15"/>
    </row>
    <row r="2707" spans="2:4" x14ac:dyDescent="0.25">
      <c r="B2707" s="68"/>
      <c r="C2707" s="50"/>
      <c r="D2707" s="15"/>
    </row>
    <row r="2708" spans="2:4" x14ac:dyDescent="0.25">
      <c r="B2708" s="68"/>
      <c r="C2708" s="50"/>
      <c r="D2708" s="15"/>
    </row>
    <row r="2709" spans="2:4" x14ac:dyDescent="0.25">
      <c r="B2709" s="68"/>
      <c r="C2709" s="50"/>
      <c r="D2709" s="15"/>
    </row>
    <row r="2710" spans="2:4" x14ac:dyDescent="0.25">
      <c r="B2710" s="68"/>
      <c r="C2710" s="50"/>
      <c r="D2710" s="15"/>
    </row>
    <row r="2711" spans="2:4" x14ac:dyDescent="0.25">
      <c r="B2711" s="68"/>
      <c r="C2711" s="50"/>
      <c r="D2711" s="15"/>
    </row>
    <row r="2712" spans="2:4" x14ac:dyDescent="0.25">
      <c r="B2712" s="68"/>
      <c r="C2712" s="50"/>
      <c r="D2712" s="15"/>
    </row>
    <row r="2713" spans="2:4" x14ac:dyDescent="0.25">
      <c r="B2713" s="68"/>
      <c r="C2713" s="50"/>
      <c r="D2713" s="15"/>
    </row>
    <row r="2714" spans="2:4" x14ac:dyDescent="0.25">
      <c r="B2714" s="68"/>
      <c r="C2714" s="50"/>
      <c r="D2714" s="15"/>
    </row>
    <row r="2715" spans="2:4" x14ac:dyDescent="0.25">
      <c r="B2715" s="68"/>
      <c r="C2715" s="50"/>
      <c r="D2715" s="15"/>
    </row>
    <row r="2716" spans="2:4" x14ac:dyDescent="0.25">
      <c r="B2716" s="68"/>
      <c r="C2716" s="50"/>
      <c r="D2716" s="15"/>
    </row>
    <row r="2717" spans="2:4" x14ac:dyDescent="0.25">
      <c r="B2717" s="68"/>
      <c r="C2717" s="50"/>
      <c r="D2717" s="15"/>
    </row>
    <row r="2718" spans="2:4" x14ac:dyDescent="0.25">
      <c r="B2718" s="68"/>
      <c r="C2718" s="50"/>
      <c r="D2718" s="15"/>
    </row>
    <row r="2719" spans="2:4" x14ac:dyDescent="0.25">
      <c r="B2719" s="68"/>
      <c r="C2719" s="50"/>
      <c r="D2719" s="15"/>
    </row>
    <row r="2720" spans="2:4" x14ac:dyDescent="0.25">
      <c r="B2720" s="68"/>
      <c r="C2720" s="50"/>
      <c r="D2720" s="15"/>
    </row>
    <row r="2721" spans="2:4" x14ac:dyDescent="0.25">
      <c r="B2721" s="68"/>
      <c r="C2721" s="50"/>
      <c r="D2721" s="15"/>
    </row>
    <row r="2722" spans="2:4" x14ac:dyDescent="0.25">
      <c r="B2722" s="68"/>
      <c r="C2722" s="50"/>
      <c r="D2722" s="15"/>
    </row>
    <row r="2723" spans="2:4" x14ac:dyDescent="0.25">
      <c r="B2723" s="68"/>
      <c r="C2723" s="50"/>
      <c r="D2723" s="15"/>
    </row>
    <row r="2724" spans="2:4" x14ac:dyDescent="0.25">
      <c r="B2724" s="68"/>
      <c r="C2724" s="50"/>
      <c r="D2724" s="15"/>
    </row>
    <row r="2725" spans="2:4" x14ac:dyDescent="0.25">
      <c r="B2725" s="68"/>
      <c r="C2725" s="50"/>
      <c r="D2725" s="15"/>
    </row>
    <row r="2726" spans="2:4" x14ac:dyDescent="0.25">
      <c r="B2726" s="68"/>
      <c r="C2726" s="50"/>
      <c r="D2726" s="15"/>
    </row>
    <row r="2727" spans="2:4" x14ac:dyDescent="0.25">
      <c r="B2727" s="68"/>
      <c r="C2727" s="50"/>
      <c r="D2727" s="15"/>
    </row>
    <row r="2728" spans="2:4" x14ac:dyDescent="0.25">
      <c r="B2728" s="68"/>
      <c r="C2728" s="50"/>
      <c r="D2728" s="15"/>
    </row>
    <row r="2729" spans="2:4" x14ac:dyDescent="0.25">
      <c r="B2729" s="68"/>
      <c r="C2729" s="50"/>
      <c r="D2729" s="15"/>
    </row>
    <row r="2730" spans="2:4" x14ac:dyDescent="0.25">
      <c r="B2730" s="68"/>
      <c r="C2730" s="50"/>
      <c r="D2730" s="15"/>
    </row>
    <row r="2731" spans="2:4" x14ac:dyDescent="0.25">
      <c r="B2731" s="68"/>
      <c r="C2731" s="50"/>
      <c r="D2731" s="15"/>
    </row>
    <row r="2732" spans="2:4" x14ac:dyDescent="0.25">
      <c r="B2732" s="68"/>
      <c r="C2732" s="50"/>
      <c r="D2732" s="15"/>
    </row>
    <row r="2733" spans="2:4" x14ac:dyDescent="0.25">
      <c r="B2733" s="68"/>
      <c r="C2733" s="50"/>
      <c r="D2733" s="15"/>
    </row>
    <row r="2734" spans="2:4" x14ac:dyDescent="0.25">
      <c r="B2734" s="68"/>
      <c r="C2734" s="50"/>
      <c r="D2734" s="15"/>
    </row>
    <row r="2735" spans="2:4" x14ac:dyDescent="0.25">
      <c r="B2735" s="68"/>
      <c r="C2735" s="50"/>
      <c r="D2735" s="15"/>
    </row>
    <row r="2736" spans="2:4" x14ac:dyDescent="0.25">
      <c r="B2736" s="68"/>
      <c r="C2736" s="50"/>
      <c r="D2736" s="15"/>
    </row>
    <row r="2737" spans="2:4" x14ac:dyDescent="0.25">
      <c r="B2737" s="68"/>
      <c r="C2737" s="50"/>
      <c r="D2737" s="15"/>
    </row>
    <row r="2738" spans="2:4" x14ac:dyDescent="0.25">
      <c r="B2738" s="68"/>
      <c r="C2738" s="50"/>
      <c r="D2738" s="15"/>
    </row>
    <row r="2739" spans="2:4" x14ac:dyDescent="0.25">
      <c r="B2739" s="68"/>
      <c r="C2739" s="50"/>
      <c r="D2739" s="15"/>
    </row>
    <row r="2740" spans="2:4" x14ac:dyDescent="0.25">
      <c r="B2740" s="68"/>
      <c r="C2740" s="50"/>
      <c r="D2740" s="15"/>
    </row>
    <row r="2741" spans="2:4" x14ac:dyDescent="0.25">
      <c r="B2741" s="68"/>
      <c r="C2741" s="50"/>
      <c r="D2741" s="15"/>
    </row>
    <row r="2742" spans="2:4" x14ac:dyDescent="0.25">
      <c r="B2742" s="68"/>
      <c r="C2742" s="50"/>
      <c r="D2742" s="15"/>
    </row>
    <row r="2743" spans="2:4" x14ac:dyDescent="0.25">
      <c r="B2743" s="68"/>
      <c r="C2743" s="50"/>
      <c r="D2743" s="15"/>
    </row>
    <row r="2744" spans="2:4" x14ac:dyDescent="0.25">
      <c r="B2744" s="68"/>
      <c r="C2744" s="50"/>
      <c r="D2744" s="15"/>
    </row>
    <row r="2745" spans="2:4" x14ac:dyDescent="0.25">
      <c r="B2745" s="68"/>
      <c r="C2745" s="50"/>
      <c r="D2745" s="15"/>
    </row>
    <row r="2746" spans="2:4" x14ac:dyDescent="0.25">
      <c r="B2746" s="68"/>
      <c r="C2746" s="50"/>
      <c r="D2746" s="15"/>
    </row>
    <row r="2747" spans="2:4" x14ac:dyDescent="0.25">
      <c r="B2747" s="68"/>
      <c r="C2747" s="50"/>
      <c r="D2747" s="15"/>
    </row>
    <row r="2748" spans="2:4" x14ac:dyDescent="0.25">
      <c r="B2748" s="68"/>
      <c r="C2748" s="50"/>
      <c r="D2748" s="15"/>
    </row>
    <row r="2749" spans="2:4" x14ac:dyDescent="0.25">
      <c r="B2749" s="68"/>
      <c r="C2749" s="50"/>
      <c r="D2749" s="15"/>
    </row>
    <row r="2750" spans="2:4" x14ac:dyDescent="0.25">
      <c r="B2750" s="68"/>
      <c r="C2750" s="50"/>
      <c r="D2750" s="15"/>
    </row>
    <row r="2751" spans="2:4" x14ac:dyDescent="0.25">
      <c r="B2751" s="68"/>
      <c r="C2751" s="50"/>
      <c r="D2751" s="15"/>
    </row>
    <row r="2752" spans="2:4" x14ac:dyDescent="0.25">
      <c r="B2752" s="68"/>
      <c r="C2752" s="50"/>
      <c r="D2752" s="15"/>
    </row>
    <row r="2753" spans="2:4" x14ac:dyDescent="0.25">
      <c r="B2753" s="68"/>
      <c r="C2753" s="50"/>
      <c r="D2753" s="15"/>
    </row>
    <row r="2754" spans="2:4" x14ac:dyDescent="0.25">
      <c r="B2754" s="68"/>
      <c r="C2754" s="50"/>
      <c r="D2754" s="15"/>
    </row>
    <row r="2755" spans="2:4" x14ac:dyDescent="0.25">
      <c r="B2755" s="68"/>
      <c r="C2755" s="50"/>
      <c r="D2755" s="15"/>
    </row>
    <row r="2756" spans="2:4" x14ac:dyDescent="0.25">
      <c r="B2756" s="68"/>
      <c r="C2756" s="50"/>
      <c r="D2756" s="15"/>
    </row>
    <row r="2757" spans="2:4" x14ac:dyDescent="0.25">
      <c r="B2757" s="68"/>
      <c r="C2757" s="50"/>
      <c r="D2757" s="15"/>
    </row>
    <row r="2758" spans="2:4" x14ac:dyDescent="0.25">
      <c r="B2758" s="68"/>
      <c r="C2758" s="50"/>
      <c r="D2758" s="15"/>
    </row>
    <row r="2759" spans="2:4" x14ac:dyDescent="0.25">
      <c r="B2759" s="68"/>
      <c r="C2759" s="50"/>
      <c r="D2759" s="15"/>
    </row>
    <row r="2760" spans="2:4" x14ac:dyDescent="0.25">
      <c r="B2760" s="68"/>
      <c r="C2760" s="50"/>
      <c r="D2760" s="15"/>
    </row>
    <row r="2761" spans="2:4" x14ac:dyDescent="0.25">
      <c r="B2761" s="68"/>
      <c r="C2761" s="50"/>
      <c r="D2761" s="15"/>
    </row>
    <row r="2762" spans="2:4" x14ac:dyDescent="0.25">
      <c r="B2762" s="68"/>
      <c r="C2762" s="50"/>
      <c r="D2762" s="15"/>
    </row>
    <row r="2763" spans="2:4" x14ac:dyDescent="0.25">
      <c r="B2763" s="68"/>
      <c r="C2763" s="50"/>
      <c r="D2763" s="15"/>
    </row>
    <row r="2764" spans="2:4" x14ac:dyDescent="0.25">
      <c r="B2764" s="68"/>
      <c r="C2764" s="50"/>
      <c r="D2764" s="15"/>
    </row>
    <row r="2765" spans="2:4" x14ac:dyDescent="0.25">
      <c r="B2765" s="68"/>
      <c r="C2765" s="50"/>
      <c r="D2765" s="15"/>
    </row>
    <row r="2766" spans="2:4" x14ac:dyDescent="0.25">
      <c r="B2766" s="68"/>
      <c r="C2766" s="50"/>
      <c r="D2766" s="15"/>
    </row>
    <row r="2767" spans="2:4" x14ac:dyDescent="0.25">
      <c r="B2767" s="68"/>
      <c r="C2767" s="50"/>
      <c r="D2767" s="15"/>
    </row>
    <row r="2768" spans="2:4" x14ac:dyDescent="0.25">
      <c r="B2768" s="68"/>
      <c r="C2768" s="50"/>
      <c r="D2768" s="15"/>
    </row>
    <row r="2769" spans="2:4" x14ac:dyDescent="0.25">
      <c r="B2769" s="68"/>
      <c r="C2769" s="50"/>
      <c r="D2769" s="15"/>
    </row>
    <row r="2770" spans="2:4" x14ac:dyDescent="0.25">
      <c r="B2770" s="68"/>
      <c r="C2770" s="50"/>
      <c r="D2770" s="15"/>
    </row>
    <row r="2771" spans="2:4" x14ac:dyDescent="0.25">
      <c r="B2771" s="68"/>
      <c r="C2771" s="50"/>
      <c r="D2771" s="15"/>
    </row>
    <row r="2772" spans="2:4" x14ac:dyDescent="0.25">
      <c r="B2772" s="68"/>
      <c r="C2772" s="50"/>
      <c r="D2772" s="15"/>
    </row>
    <row r="2773" spans="2:4" x14ac:dyDescent="0.25">
      <c r="B2773" s="68"/>
      <c r="C2773" s="50"/>
      <c r="D2773" s="15"/>
    </row>
    <row r="2774" spans="2:4" x14ac:dyDescent="0.25">
      <c r="B2774" s="68"/>
      <c r="C2774" s="50"/>
      <c r="D2774" s="15"/>
    </row>
    <row r="2775" spans="2:4" x14ac:dyDescent="0.25">
      <c r="B2775" s="68"/>
      <c r="C2775" s="50"/>
      <c r="D2775" s="15"/>
    </row>
    <row r="2776" spans="2:4" x14ac:dyDescent="0.25">
      <c r="B2776" s="68"/>
      <c r="C2776" s="50"/>
      <c r="D2776" s="15"/>
    </row>
    <row r="2777" spans="2:4" x14ac:dyDescent="0.25">
      <c r="B2777" s="68"/>
      <c r="C2777" s="50"/>
      <c r="D2777" s="15"/>
    </row>
    <row r="2778" spans="2:4" x14ac:dyDescent="0.25">
      <c r="B2778" s="68"/>
      <c r="C2778" s="50"/>
      <c r="D2778" s="15"/>
    </row>
    <row r="2779" spans="2:4" x14ac:dyDescent="0.25">
      <c r="B2779" s="68"/>
      <c r="C2779" s="50"/>
      <c r="D2779" s="15"/>
    </row>
    <row r="2780" spans="2:4" x14ac:dyDescent="0.25">
      <c r="B2780" s="68"/>
      <c r="C2780" s="50"/>
      <c r="D2780" s="15"/>
    </row>
    <row r="2781" spans="2:4" x14ac:dyDescent="0.25">
      <c r="B2781" s="68"/>
      <c r="C2781" s="50"/>
      <c r="D2781" s="15"/>
    </row>
    <row r="2782" spans="2:4" x14ac:dyDescent="0.25">
      <c r="B2782" s="68"/>
      <c r="C2782" s="50"/>
      <c r="D2782" s="15"/>
    </row>
    <row r="2783" spans="2:4" x14ac:dyDescent="0.25">
      <c r="B2783" s="68"/>
      <c r="C2783" s="50"/>
      <c r="D2783" s="15"/>
    </row>
    <row r="2784" spans="2:4" x14ac:dyDescent="0.25">
      <c r="B2784" s="68"/>
      <c r="C2784" s="50"/>
      <c r="D2784" s="15"/>
    </row>
    <row r="2785" spans="2:4" x14ac:dyDescent="0.25">
      <c r="B2785" s="68"/>
      <c r="C2785" s="50"/>
      <c r="D2785" s="15"/>
    </row>
    <row r="2786" spans="2:4" x14ac:dyDescent="0.25">
      <c r="B2786" s="68"/>
      <c r="C2786" s="50"/>
      <c r="D2786" s="15"/>
    </row>
    <row r="2787" spans="2:4" x14ac:dyDescent="0.25">
      <c r="B2787" s="68"/>
      <c r="C2787" s="50"/>
      <c r="D2787" s="15"/>
    </row>
    <row r="2788" spans="2:4" x14ac:dyDescent="0.25">
      <c r="B2788" s="68"/>
      <c r="C2788" s="50"/>
      <c r="D2788" s="15"/>
    </row>
    <row r="2789" spans="2:4" x14ac:dyDescent="0.25">
      <c r="B2789" s="68"/>
      <c r="C2789" s="50"/>
      <c r="D2789" s="15"/>
    </row>
    <row r="2790" spans="2:4" x14ac:dyDescent="0.25">
      <c r="B2790" s="68"/>
      <c r="C2790" s="50"/>
      <c r="D2790" s="15"/>
    </row>
    <row r="2791" spans="2:4" x14ac:dyDescent="0.25">
      <c r="B2791" s="68"/>
      <c r="C2791" s="50"/>
      <c r="D2791" s="15"/>
    </row>
    <row r="2792" spans="2:4" x14ac:dyDescent="0.25">
      <c r="B2792" s="68"/>
      <c r="C2792" s="50"/>
      <c r="D2792" s="15"/>
    </row>
    <row r="2793" spans="2:4" x14ac:dyDescent="0.25">
      <c r="B2793" s="68"/>
      <c r="C2793" s="50"/>
      <c r="D2793" s="15"/>
    </row>
    <row r="2794" spans="2:4" x14ac:dyDescent="0.25">
      <c r="B2794" s="68"/>
      <c r="C2794" s="50"/>
      <c r="D2794" s="15"/>
    </row>
    <row r="2795" spans="2:4" x14ac:dyDescent="0.25">
      <c r="B2795" s="68"/>
      <c r="C2795" s="50"/>
      <c r="D2795" s="15"/>
    </row>
    <row r="2796" spans="2:4" x14ac:dyDescent="0.25">
      <c r="B2796" s="68"/>
      <c r="C2796" s="50"/>
      <c r="D2796" s="15"/>
    </row>
    <row r="2797" spans="2:4" x14ac:dyDescent="0.25">
      <c r="B2797" s="68"/>
      <c r="C2797" s="50"/>
      <c r="D2797" s="15"/>
    </row>
    <row r="2798" spans="2:4" x14ac:dyDescent="0.25">
      <c r="B2798" s="68"/>
      <c r="C2798" s="50"/>
      <c r="D2798" s="15"/>
    </row>
    <row r="2799" spans="2:4" x14ac:dyDescent="0.25">
      <c r="B2799" s="68"/>
      <c r="C2799" s="50"/>
      <c r="D2799" s="15"/>
    </row>
    <row r="2800" spans="2:4" x14ac:dyDescent="0.25">
      <c r="B2800" s="68"/>
      <c r="C2800" s="50"/>
      <c r="D2800" s="15"/>
    </row>
    <row r="2801" spans="2:4" x14ac:dyDescent="0.25">
      <c r="B2801" s="68"/>
      <c r="C2801" s="50"/>
      <c r="D2801" s="15"/>
    </row>
    <row r="2802" spans="2:4" x14ac:dyDescent="0.25">
      <c r="B2802" s="68"/>
      <c r="C2802" s="50"/>
      <c r="D2802" s="15"/>
    </row>
    <row r="2803" spans="2:4" x14ac:dyDescent="0.25">
      <c r="B2803" s="68"/>
      <c r="C2803" s="50"/>
      <c r="D2803" s="15"/>
    </row>
    <row r="2804" spans="2:4" x14ac:dyDescent="0.25">
      <c r="B2804" s="68"/>
      <c r="C2804" s="50"/>
      <c r="D2804" s="15"/>
    </row>
    <row r="2805" spans="2:4" x14ac:dyDescent="0.25">
      <c r="B2805" s="68"/>
      <c r="C2805" s="50"/>
      <c r="D2805" s="15"/>
    </row>
    <row r="2806" spans="2:4" x14ac:dyDescent="0.25">
      <c r="B2806" s="68"/>
      <c r="C2806" s="50"/>
      <c r="D2806" s="15"/>
    </row>
    <row r="2807" spans="2:4" x14ac:dyDescent="0.25">
      <c r="B2807" s="68"/>
      <c r="C2807" s="50"/>
      <c r="D2807" s="15"/>
    </row>
    <row r="2808" spans="2:4" x14ac:dyDescent="0.25">
      <c r="B2808" s="68"/>
      <c r="C2808" s="50"/>
      <c r="D2808" s="15"/>
    </row>
    <row r="2809" spans="2:4" x14ac:dyDescent="0.25">
      <c r="B2809" s="68"/>
      <c r="C2809" s="50"/>
      <c r="D2809" s="15"/>
    </row>
    <row r="2810" spans="2:4" x14ac:dyDescent="0.25">
      <c r="B2810" s="68"/>
      <c r="C2810" s="50"/>
      <c r="D2810" s="15"/>
    </row>
    <row r="2811" spans="2:4" x14ac:dyDescent="0.25">
      <c r="B2811" s="68"/>
      <c r="C2811" s="50"/>
      <c r="D2811" s="15"/>
    </row>
    <row r="2812" spans="2:4" x14ac:dyDescent="0.25">
      <c r="B2812" s="68"/>
      <c r="C2812" s="50"/>
      <c r="D2812" s="15"/>
    </row>
    <row r="2813" spans="2:4" x14ac:dyDescent="0.25">
      <c r="B2813" s="68"/>
      <c r="C2813" s="50"/>
      <c r="D2813" s="15"/>
    </row>
    <row r="2814" spans="2:4" x14ac:dyDescent="0.25">
      <c r="B2814" s="68"/>
      <c r="C2814" s="50"/>
      <c r="D2814" s="15"/>
    </row>
    <row r="2815" spans="2:4" x14ac:dyDescent="0.25">
      <c r="B2815" s="68"/>
      <c r="C2815" s="50"/>
      <c r="D2815" s="15"/>
    </row>
    <row r="2816" spans="2:4" x14ac:dyDescent="0.25">
      <c r="B2816" s="68"/>
      <c r="C2816" s="50"/>
      <c r="D2816" s="15"/>
    </row>
    <row r="2817" spans="2:4" x14ac:dyDescent="0.25">
      <c r="B2817" s="68"/>
      <c r="C2817" s="50"/>
      <c r="D2817" s="15"/>
    </row>
    <row r="2818" spans="2:4" x14ac:dyDescent="0.25">
      <c r="B2818" s="68"/>
      <c r="C2818" s="50"/>
      <c r="D2818" s="15"/>
    </row>
    <row r="2819" spans="2:4" x14ac:dyDescent="0.25">
      <c r="B2819" s="68"/>
      <c r="C2819" s="50"/>
      <c r="D2819" s="15"/>
    </row>
    <row r="2820" spans="2:4" x14ac:dyDescent="0.25">
      <c r="B2820" s="68"/>
      <c r="C2820" s="50"/>
      <c r="D2820" s="15"/>
    </row>
    <row r="2821" spans="2:4" x14ac:dyDescent="0.25">
      <c r="B2821" s="68"/>
      <c r="C2821" s="50"/>
      <c r="D2821" s="15"/>
    </row>
    <row r="2822" spans="2:4" x14ac:dyDescent="0.25">
      <c r="B2822" s="68"/>
      <c r="C2822" s="50"/>
      <c r="D2822" s="15"/>
    </row>
    <row r="2823" spans="2:4" x14ac:dyDescent="0.25">
      <c r="B2823" s="68"/>
      <c r="C2823" s="50"/>
      <c r="D2823" s="15"/>
    </row>
    <row r="2824" spans="2:4" x14ac:dyDescent="0.25">
      <c r="B2824" s="68"/>
      <c r="C2824" s="50"/>
      <c r="D2824" s="15"/>
    </row>
    <row r="2825" spans="2:4" x14ac:dyDescent="0.25">
      <c r="B2825" s="68"/>
      <c r="C2825" s="50"/>
      <c r="D2825" s="15"/>
    </row>
    <row r="2826" spans="2:4" x14ac:dyDescent="0.25">
      <c r="B2826" s="68"/>
      <c r="C2826" s="50"/>
      <c r="D2826" s="15"/>
    </row>
    <row r="2827" spans="2:4" x14ac:dyDescent="0.25">
      <c r="B2827" s="68"/>
      <c r="C2827" s="50"/>
      <c r="D2827" s="15"/>
    </row>
    <row r="2828" spans="2:4" x14ac:dyDescent="0.25">
      <c r="B2828" s="68"/>
      <c r="C2828" s="50"/>
      <c r="D2828" s="15"/>
    </row>
    <row r="2829" spans="2:4" x14ac:dyDescent="0.25">
      <c r="B2829" s="68"/>
      <c r="C2829" s="50"/>
      <c r="D2829" s="15"/>
    </row>
    <row r="2830" spans="2:4" x14ac:dyDescent="0.25">
      <c r="B2830" s="68"/>
      <c r="C2830" s="50"/>
      <c r="D2830" s="15"/>
    </row>
    <row r="2831" spans="2:4" x14ac:dyDescent="0.25">
      <c r="B2831" s="68"/>
      <c r="C2831" s="50"/>
      <c r="D2831" s="15"/>
    </row>
    <row r="2832" spans="2:4" x14ac:dyDescent="0.25">
      <c r="B2832" s="68"/>
      <c r="C2832" s="50"/>
      <c r="D2832" s="15"/>
    </row>
    <row r="2833" spans="2:4" x14ac:dyDescent="0.25">
      <c r="B2833" s="68"/>
      <c r="C2833" s="50"/>
      <c r="D2833" s="15"/>
    </row>
    <row r="2834" spans="2:4" x14ac:dyDescent="0.25">
      <c r="B2834" s="68"/>
      <c r="C2834" s="50"/>
      <c r="D2834" s="15"/>
    </row>
    <row r="2835" spans="2:4" x14ac:dyDescent="0.25">
      <c r="B2835" s="68"/>
      <c r="C2835" s="50"/>
      <c r="D2835" s="15"/>
    </row>
    <row r="2836" spans="2:4" x14ac:dyDescent="0.25">
      <c r="B2836" s="68"/>
      <c r="C2836" s="50"/>
      <c r="D2836" s="15"/>
    </row>
    <row r="2837" spans="2:4" x14ac:dyDescent="0.25">
      <c r="B2837" s="68"/>
      <c r="C2837" s="50"/>
      <c r="D2837" s="15"/>
    </row>
    <row r="2838" spans="2:4" x14ac:dyDescent="0.25">
      <c r="B2838" s="68"/>
      <c r="C2838" s="50"/>
      <c r="D2838" s="15"/>
    </row>
    <row r="2839" spans="2:4" x14ac:dyDescent="0.25">
      <c r="B2839" s="68"/>
      <c r="C2839" s="50"/>
      <c r="D2839" s="15"/>
    </row>
    <row r="2840" spans="2:4" x14ac:dyDescent="0.25">
      <c r="B2840" s="68"/>
      <c r="C2840" s="50"/>
      <c r="D2840" s="15"/>
    </row>
    <row r="2841" spans="2:4" x14ac:dyDescent="0.25">
      <c r="B2841" s="68"/>
      <c r="C2841" s="50"/>
      <c r="D2841" s="15"/>
    </row>
    <row r="2842" spans="2:4" x14ac:dyDescent="0.25">
      <c r="B2842" s="68"/>
      <c r="C2842" s="50"/>
      <c r="D2842" s="15"/>
    </row>
    <row r="2843" spans="2:4" x14ac:dyDescent="0.25">
      <c r="B2843" s="68"/>
      <c r="C2843" s="50"/>
      <c r="D2843" s="15"/>
    </row>
    <row r="2844" spans="2:4" x14ac:dyDescent="0.25">
      <c r="B2844" s="68"/>
      <c r="C2844" s="50"/>
      <c r="D2844" s="15"/>
    </row>
    <row r="2845" spans="2:4" x14ac:dyDescent="0.25">
      <c r="B2845" s="68"/>
      <c r="C2845" s="50"/>
      <c r="D2845" s="15"/>
    </row>
    <row r="2846" spans="2:4" x14ac:dyDescent="0.25">
      <c r="B2846" s="68"/>
      <c r="C2846" s="50"/>
      <c r="D2846" s="15"/>
    </row>
    <row r="2847" spans="2:4" x14ac:dyDescent="0.25">
      <c r="B2847" s="68"/>
      <c r="C2847" s="50"/>
      <c r="D2847" s="15"/>
    </row>
    <row r="2848" spans="2:4" x14ac:dyDescent="0.25">
      <c r="B2848" s="68"/>
      <c r="C2848" s="50"/>
      <c r="D2848" s="15"/>
    </row>
    <row r="2849" spans="2:4" x14ac:dyDescent="0.25">
      <c r="B2849" s="68"/>
      <c r="C2849" s="50"/>
      <c r="D2849" s="15"/>
    </row>
    <row r="2850" spans="2:4" x14ac:dyDescent="0.25">
      <c r="B2850" s="68"/>
      <c r="C2850" s="50"/>
      <c r="D2850" s="15"/>
    </row>
    <row r="2851" spans="2:4" x14ac:dyDescent="0.25">
      <c r="B2851" s="68"/>
      <c r="C2851" s="50"/>
      <c r="D2851" s="15"/>
    </row>
    <row r="2852" spans="2:4" x14ac:dyDescent="0.25">
      <c r="B2852" s="68"/>
      <c r="C2852" s="50"/>
      <c r="D2852" s="15"/>
    </row>
    <row r="2853" spans="2:4" x14ac:dyDescent="0.25">
      <c r="B2853" s="68"/>
      <c r="C2853" s="50"/>
      <c r="D2853" s="15"/>
    </row>
    <row r="2854" spans="2:4" x14ac:dyDescent="0.25">
      <c r="B2854" s="68"/>
      <c r="C2854" s="50"/>
      <c r="D2854" s="15"/>
    </row>
    <row r="2855" spans="2:4" x14ac:dyDescent="0.25">
      <c r="B2855" s="68"/>
      <c r="C2855" s="50"/>
      <c r="D2855" s="15"/>
    </row>
    <row r="2856" spans="2:4" x14ac:dyDescent="0.25">
      <c r="B2856" s="68"/>
      <c r="C2856" s="50"/>
      <c r="D2856" s="15"/>
    </row>
    <row r="2857" spans="2:4" x14ac:dyDescent="0.25">
      <c r="B2857" s="68"/>
      <c r="C2857" s="50"/>
      <c r="D2857" s="15"/>
    </row>
    <row r="2858" spans="2:4" x14ac:dyDescent="0.25">
      <c r="B2858" s="68"/>
      <c r="C2858" s="50"/>
      <c r="D2858" s="15"/>
    </row>
    <row r="2859" spans="2:4" x14ac:dyDescent="0.25">
      <c r="B2859" s="68"/>
      <c r="C2859" s="50"/>
      <c r="D2859" s="15"/>
    </row>
    <row r="2860" spans="2:4" x14ac:dyDescent="0.25">
      <c r="B2860" s="68"/>
      <c r="C2860" s="50"/>
      <c r="D2860" s="15"/>
    </row>
    <row r="2861" spans="2:4" x14ac:dyDescent="0.25">
      <c r="B2861" s="68"/>
      <c r="C2861" s="50"/>
      <c r="D2861" s="15"/>
    </row>
    <row r="2862" spans="2:4" x14ac:dyDescent="0.25">
      <c r="B2862" s="68"/>
      <c r="C2862" s="50"/>
      <c r="D2862" s="15"/>
    </row>
    <row r="2863" spans="2:4" x14ac:dyDescent="0.25">
      <c r="B2863" s="68"/>
      <c r="C2863" s="50"/>
      <c r="D2863" s="15"/>
    </row>
    <row r="2864" spans="2:4" x14ac:dyDescent="0.25">
      <c r="B2864" s="68"/>
      <c r="C2864" s="50"/>
      <c r="D2864" s="15"/>
    </row>
    <row r="2865" spans="2:4" x14ac:dyDescent="0.25">
      <c r="B2865" s="68"/>
      <c r="C2865" s="50"/>
      <c r="D2865" s="15"/>
    </row>
    <row r="2866" spans="2:4" x14ac:dyDescent="0.25">
      <c r="B2866" s="68"/>
      <c r="C2866" s="50"/>
      <c r="D2866" s="15"/>
    </row>
    <row r="2867" spans="2:4" x14ac:dyDescent="0.25">
      <c r="B2867" s="68"/>
      <c r="C2867" s="50"/>
      <c r="D2867" s="15"/>
    </row>
    <row r="2868" spans="2:4" x14ac:dyDescent="0.25">
      <c r="B2868" s="68"/>
      <c r="C2868" s="50"/>
      <c r="D2868" s="15"/>
    </row>
    <row r="2869" spans="2:4" x14ac:dyDescent="0.25">
      <c r="B2869" s="68"/>
      <c r="C2869" s="50"/>
      <c r="D2869" s="15"/>
    </row>
    <row r="2870" spans="2:4" x14ac:dyDescent="0.25">
      <c r="B2870" s="68"/>
      <c r="C2870" s="50"/>
      <c r="D2870" s="15"/>
    </row>
    <row r="2871" spans="2:4" x14ac:dyDescent="0.25">
      <c r="B2871" s="68"/>
      <c r="C2871" s="50"/>
      <c r="D2871" s="15"/>
    </row>
    <row r="2872" spans="2:4" x14ac:dyDescent="0.25">
      <c r="B2872" s="68"/>
      <c r="C2872" s="50"/>
      <c r="D2872" s="15"/>
    </row>
    <row r="2873" spans="2:4" x14ac:dyDescent="0.25">
      <c r="B2873" s="68"/>
      <c r="C2873" s="50"/>
      <c r="D2873" s="15"/>
    </row>
    <row r="2874" spans="2:4" x14ac:dyDescent="0.25">
      <c r="B2874" s="68"/>
      <c r="C2874" s="50"/>
      <c r="D2874" s="15"/>
    </row>
    <row r="2875" spans="2:4" x14ac:dyDescent="0.25">
      <c r="B2875" s="68"/>
      <c r="C2875" s="50"/>
      <c r="D2875" s="15"/>
    </row>
    <row r="2876" spans="2:4" x14ac:dyDescent="0.25">
      <c r="B2876" s="68"/>
      <c r="C2876" s="50"/>
      <c r="D2876" s="15"/>
    </row>
    <row r="2877" spans="2:4" x14ac:dyDescent="0.25">
      <c r="B2877" s="68"/>
      <c r="C2877" s="50"/>
      <c r="D2877" s="15"/>
    </row>
    <row r="2878" spans="2:4" x14ac:dyDescent="0.25">
      <c r="B2878" s="68"/>
      <c r="C2878" s="50"/>
      <c r="D2878" s="15"/>
    </row>
    <row r="2879" spans="2:4" x14ac:dyDescent="0.25">
      <c r="B2879" s="68"/>
      <c r="C2879" s="50"/>
      <c r="D2879" s="15"/>
    </row>
    <row r="2880" spans="2:4" x14ac:dyDescent="0.25">
      <c r="B2880" s="68"/>
      <c r="C2880" s="50"/>
      <c r="D2880" s="15"/>
    </row>
    <row r="2881" spans="2:4" x14ac:dyDescent="0.25">
      <c r="B2881" s="68"/>
      <c r="C2881" s="50"/>
      <c r="D2881" s="15"/>
    </row>
    <row r="2882" spans="2:4" x14ac:dyDescent="0.25">
      <c r="B2882" s="68"/>
      <c r="C2882" s="50"/>
      <c r="D2882" s="15"/>
    </row>
    <row r="2883" spans="2:4" x14ac:dyDescent="0.25">
      <c r="B2883" s="68"/>
      <c r="C2883" s="50"/>
      <c r="D2883" s="15"/>
    </row>
    <row r="2884" spans="2:4" x14ac:dyDescent="0.25">
      <c r="B2884" s="68"/>
      <c r="C2884" s="50"/>
      <c r="D2884" s="15"/>
    </row>
    <row r="2885" spans="2:4" x14ac:dyDescent="0.25">
      <c r="B2885" s="68"/>
      <c r="C2885" s="50"/>
      <c r="D2885" s="15"/>
    </row>
    <row r="2886" spans="2:4" x14ac:dyDescent="0.25">
      <c r="B2886" s="68"/>
      <c r="C2886" s="50"/>
      <c r="D2886" s="15"/>
    </row>
    <row r="2887" spans="2:4" x14ac:dyDescent="0.25">
      <c r="B2887" s="68"/>
      <c r="C2887" s="50"/>
      <c r="D2887" s="15"/>
    </row>
    <row r="2888" spans="2:4" x14ac:dyDescent="0.25">
      <c r="B2888" s="68"/>
      <c r="C2888" s="50"/>
      <c r="D2888" s="15"/>
    </row>
    <row r="2889" spans="2:4" x14ac:dyDescent="0.25">
      <c r="B2889" s="68"/>
      <c r="C2889" s="50"/>
      <c r="D2889" s="15"/>
    </row>
    <row r="2890" spans="2:4" x14ac:dyDescent="0.25">
      <c r="B2890" s="68"/>
      <c r="C2890" s="50"/>
      <c r="D2890" s="15"/>
    </row>
    <row r="2891" spans="2:4" x14ac:dyDescent="0.25">
      <c r="B2891" s="68"/>
      <c r="C2891" s="50"/>
      <c r="D2891" s="15"/>
    </row>
    <row r="2892" spans="2:4" x14ac:dyDescent="0.25">
      <c r="B2892" s="68"/>
      <c r="C2892" s="50"/>
      <c r="D2892" s="15"/>
    </row>
    <row r="2893" spans="2:4" x14ac:dyDescent="0.25">
      <c r="B2893" s="68"/>
      <c r="C2893" s="50"/>
      <c r="D2893" s="15"/>
    </row>
    <row r="2894" spans="2:4" x14ac:dyDescent="0.25">
      <c r="B2894" s="68"/>
      <c r="C2894" s="50"/>
      <c r="D2894" s="15"/>
    </row>
    <row r="2895" spans="2:4" x14ac:dyDescent="0.25">
      <c r="B2895" s="68"/>
      <c r="C2895" s="50"/>
      <c r="D2895" s="15"/>
    </row>
    <row r="2896" spans="2:4" x14ac:dyDescent="0.25">
      <c r="B2896" s="68"/>
      <c r="C2896" s="50"/>
      <c r="D2896" s="15"/>
    </row>
    <row r="2897" spans="2:4" x14ac:dyDescent="0.25">
      <c r="B2897" s="68"/>
      <c r="C2897" s="50"/>
      <c r="D2897" s="15"/>
    </row>
    <row r="2898" spans="2:4" x14ac:dyDescent="0.25">
      <c r="B2898" s="68"/>
      <c r="C2898" s="50"/>
      <c r="D2898" s="15"/>
    </row>
    <row r="2899" spans="2:4" x14ac:dyDescent="0.25">
      <c r="B2899" s="68"/>
      <c r="C2899" s="50"/>
      <c r="D2899" s="15"/>
    </row>
    <row r="2900" spans="2:4" x14ac:dyDescent="0.25">
      <c r="B2900" s="68"/>
      <c r="C2900" s="50"/>
      <c r="D2900" s="15"/>
    </row>
    <row r="2901" spans="2:4" x14ac:dyDescent="0.25">
      <c r="B2901" s="68"/>
      <c r="C2901" s="50"/>
      <c r="D2901" s="15"/>
    </row>
    <row r="2902" spans="2:4" x14ac:dyDescent="0.25">
      <c r="B2902" s="68"/>
      <c r="C2902" s="50"/>
      <c r="D2902" s="15"/>
    </row>
    <row r="2903" spans="2:4" x14ac:dyDescent="0.25">
      <c r="B2903" s="68"/>
      <c r="C2903" s="50"/>
      <c r="D2903" s="15"/>
    </row>
    <row r="2904" spans="2:4" x14ac:dyDescent="0.25">
      <c r="B2904" s="68"/>
      <c r="C2904" s="50"/>
      <c r="D2904" s="15"/>
    </row>
    <row r="2905" spans="2:4" x14ac:dyDescent="0.25">
      <c r="B2905" s="68"/>
      <c r="C2905" s="50"/>
      <c r="D2905" s="15"/>
    </row>
    <row r="2906" spans="2:4" x14ac:dyDescent="0.25">
      <c r="B2906" s="68"/>
      <c r="C2906" s="50"/>
      <c r="D2906" s="15"/>
    </row>
    <row r="2907" spans="2:4" x14ac:dyDescent="0.25">
      <c r="B2907" s="68"/>
      <c r="C2907" s="50"/>
      <c r="D2907" s="15"/>
    </row>
    <row r="2908" spans="2:4" x14ac:dyDescent="0.25">
      <c r="B2908" s="68"/>
      <c r="C2908" s="50"/>
      <c r="D2908" s="15"/>
    </row>
    <row r="2909" spans="2:4" x14ac:dyDescent="0.25">
      <c r="B2909" s="68"/>
      <c r="C2909" s="50"/>
      <c r="D2909" s="15"/>
    </row>
    <row r="2910" spans="2:4" x14ac:dyDescent="0.25">
      <c r="B2910" s="68"/>
      <c r="C2910" s="50"/>
      <c r="D2910" s="15"/>
    </row>
    <row r="2911" spans="2:4" x14ac:dyDescent="0.25">
      <c r="B2911" s="68"/>
      <c r="C2911" s="50"/>
      <c r="D2911" s="15"/>
    </row>
    <row r="2912" spans="2:4" x14ac:dyDescent="0.25">
      <c r="B2912" s="68"/>
      <c r="C2912" s="50"/>
      <c r="D2912" s="15"/>
    </row>
    <row r="2913" spans="2:4" x14ac:dyDescent="0.25">
      <c r="B2913" s="68"/>
      <c r="C2913" s="50"/>
      <c r="D2913" s="15"/>
    </row>
    <row r="2914" spans="2:4" x14ac:dyDescent="0.25">
      <c r="B2914" s="68"/>
      <c r="C2914" s="50"/>
      <c r="D2914" s="15"/>
    </row>
    <row r="2915" spans="2:4" x14ac:dyDescent="0.25">
      <c r="B2915" s="68"/>
      <c r="C2915" s="50"/>
      <c r="D2915" s="15"/>
    </row>
    <row r="2916" spans="2:4" x14ac:dyDescent="0.25">
      <c r="B2916" s="68"/>
      <c r="C2916" s="50"/>
      <c r="D2916" s="15"/>
    </row>
    <row r="2917" spans="2:4" x14ac:dyDescent="0.25">
      <c r="B2917" s="68"/>
      <c r="C2917" s="50"/>
      <c r="D2917" s="15"/>
    </row>
    <row r="2918" spans="2:4" x14ac:dyDescent="0.25">
      <c r="B2918" s="68"/>
      <c r="C2918" s="50"/>
      <c r="D2918" s="15"/>
    </row>
    <row r="2919" spans="2:4" x14ac:dyDescent="0.25">
      <c r="B2919" s="68"/>
      <c r="C2919" s="50"/>
      <c r="D2919" s="15"/>
    </row>
    <row r="2920" spans="2:4" x14ac:dyDescent="0.25">
      <c r="B2920" s="68"/>
      <c r="C2920" s="50"/>
      <c r="D2920" s="15"/>
    </row>
    <row r="2921" spans="2:4" x14ac:dyDescent="0.25">
      <c r="B2921" s="68"/>
      <c r="C2921" s="50"/>
      <c r="D2921" s="15"/>
    </row>
    <row r="2922" spans="2:4" x14ac:dyDescent="0.25">
      <c r="B2922" s="68"/>
      <c r="C2922" s="50"/>
      <c r="D2922" s="15"/>
    </row>
    <row r="2923" spans="2:4" x14ac:dyDescent="0.25">
      <c r="B2923" s="68"/>
      <c r="C2923" s="50"/>
      <c r="D2923" s="15"/>
    </row>
    <row r="2924" spans="2:4" x14ac:dyDescent="0.25">
      <c r="B2924" s="68"/>
      <c r="C2924" s="50"/>
      <c r="D2924" s="15"/>
    </row>
    <row r="2925" spans="2:4" x14ac:dyDescent="0.25">
      <c r="B2925" s="68"/>
      <c r="C2925" s="50"/>
      <c r="D2925" s="15"/>
    </row>
    <row r="2926" spans="2:4" x14ac:dyDescent="0.25">
      <c r="B2926" s="68"/>
      <c r="C2926" s="50"/>
      <c r="D2926" s="15"/>
    </row>
    <row r="2927" spans="2:4" x14ac:dyDescent="0.25">
      <c r="B2927" s="68"/>
      <c r="C2927" s="50"/>
      <c r="D2927" s="15"/>
    </row>
    <row r="2928" spans="2:4" x14ac:dyDescent="0.25">
      <c r="B2928" s="68"/>
      <c r="C2928" s="50"/>
      <c r="D2928" s="15"/>
    </row>
    <row r="2929" spans="2:4" x14ac:dyDescent="0.25">
      <c r="B2929" s="68"/>
      <c r="C2929" s="50"/>
      <c r="D2929" s="15"/>
    </row>
    <row r="2930" spans="2:4" x14ac:dyDescent="0.25">
      <c r="B2930" s="68"/>
      <c r="C2930" s="50"/>
      <c r="D2930" s="15"/>
    </row>
    <row r="2931" spans="2:4" x14ac:dyDescent="0.25">
      <c r="B2931" s="68"/>
      <c r="C2931" s="50"/>
      <c r="D2931" s="15"/>
    </row>
    <row r="2932" spans="2:4" x14ac:dyDescent="0.25">
      <c r="B2932" s="68"/>
      <c r="C2932" s="50"/>
      <c r="D2932" s="15"/>
    </row>
    <row r="2933" spans="2:4" x14ac:dyDescent="0.25">
      <c r="B2933" s="68"/>
      <c r="C2933" s="50"/>
      <c r="D2933" s="15"/>
    </row>
    <row r="2934" spans="2:4" x14ac:dyDescent="0.25">
      <c r="B2934" s="68"/>
      <c r="C2934" s="50"/>
      <c r="D2934" s="15"/>
    </row>
    <row r="2935" spans="2:4" x14ac:dyDescent="0.25">
      <c r="B2935" s="68"/>
      <c r="C2935" s="50"/>
      <c r="D2935" s="15"/>
    </row>
    <row r="2936" spans="2:4" x14ac:dyDescent="0.25">
      <c r="B2936" s="68"/>
      <c r="C2936" s="50"/>
      <c r="D2936" s="15"/>
    </row>
    <row r="2937" spans="2:4" x14ac:dyDescent="0.25">
      <c r="B2937" s="68"/>
      <c r="C2937" s="50"/>
      <c r="D2937" s="15"/>
    </row>
    <row r="2938" spans="2:4" x14ac:dyDescent="0.25">
      <c r="B2938" s="68"/>
      <c r="C2938" s="50"/>
      <c r="D2938" s="15"/>
    </row>
    <row r="2939" spans="2:4" x14ac:dyDescent="0.25">
      <c r="B2939" s="68"/>
      <c r="C2939" s="50"/>
      <c r="D2939" s="15"/>
    </row>
    <row r="2940" spans="2:4" x14ac:dyDescent="0.25">
      <c r="B2940" s="68"/>
      <c r="C2940" s="50"/>
      <c r="D2940" s="15"/>
    </row>
    <row r="2941" spans="2:4" x14ac:dyDescent="0.25">
      <c r="B2941" s="68"/>
      <c r="C2941" s="50"/>
      <c r="D2941" s="15"/>
    </row>
    <row r="2942" spans="2:4" x14ac:dyDescent="0.25">
      <c r="B2942" s="68"/>
      <c r="C2942" s="50"/>
      <c r="D2942" s="15"/>
    </row>
    <row r="2943" spans="2:4" x14ac:dyDescent="0.25">
      <c r="B2943" s="68"/>
      <c r="C2943" s="50"/>
      <c r="D2943" s="15"/>
    </row>
    <row r="2944" spans="2:4" x14ac:dyDescent="0.25">
      <c r="B2944" s="68"/>
      <c r="C2944" s="50"/>
      <c r="D2944" s="15"/>
    </row>
    <row r="2945" spans="2:4" x14ac:dyDescent="0.25">
      <c r="B2945" s="68"/>
      <c r="C2945" s="50"/>
      <c r="D2945" s="15"/>
    </row>
    <row r="2946" spans="2:4" x14ac:dyDescent="0.25">
      <c r="B2946" s="68"/>
      <c r="C2946" s="50"/>
      <c r="D2946" s="15"/>
    </row>
    <row r="2947" spans="2:4" x14ac:dyDescent="0.25">
      <c r="B2947" s="68"/>
      <c r="C2947" s="50"/>
      <c r="D2947" s="15"/>
    </row>
    <row r="2948" spans="2:4" x14ac:dyDescent="0.25">
      <c r="B2948" s="68"/>
      <c r="C2948" s="50"/>
      <c r="D2948" s="15"/>
    </row>
    <row r="2949" spans="2:4" x14ac:dyDescent="0.25">
      <c r="B2949" s="68"/>
      <c r="C2949" s="50"/>
      <c r="D2949" s="15"/>
    </row>
    <row r="2950" spans="2:4" x14ac:dyDescent="0.25">
      <c r="B2950" s="68"/>
      <c r="C2950" s="50"/>
      <c r="D2950" s="15"/>
    </row>
    <row r="2951" spans="2:4" x14ac:dyDescent="0.25">
      <c r="B2951" s="68"/>
      <c r="C2951" s="50"/>
      <c r="D2951" s="15"/>
    </row>
    <row r="2952" spans="2:4" x14ac:dyDescent="0.25">
      <c r="B2952" s="68"/>
      <c r="C2952" s="50"/>
      <c r="D2952" s="15"/>
    </row>
    <row r="2953" spans="2:4" x14ac:dyDescent="0.25">
      <c r="B2953" s="68"/>
      <c r="C2953" s="50"/>
      <c r="D2953" s="15"/>
    </row>
    <row r="2954" spans="2:4" x14ac:dyDescent="0.25">
      <c r="B2954" s="68"/>
      <c r="C2954" s="50"/>
      <c r="D2954" s="15"/>
    </row>
    <row r="2955" spans="2:4" x14ac:dyDescent="0.25">
      <c r="B2955" s="68"/>
      <c r="C2955" s="50"/>
      <c r="D2955" s="15"/>
    </row>
    <row r="2956" spans="2:4" x14ac:dyDescent="0.25">
      <c r="B2956" s="68"/>
      <c r="C2956" s="50"/>
      <c r="D2956" s="15"/>
    </row>
    <row r="2957" spans="2:4" x14ac:dyDescent="0.25">
      <c r="B2957" s="68"/>
      <c r="C2957" s="50"/>
      <c r="D2957" s="15"/>
    </row>
    <row r="2958" spans="2:4" x14ac:dyDescent="0.25">
      <c r="B2958" s="68"/>
      <c r="C2958" s="50"/>
      <c r="D2958" s="15"/>
    </row>
    <row r="2959" spans="2:4" x14ac:dyDescent="0.25">
      <c r="B2959" s="68"/>
      <c r="C2959" s="50"/>
      <c r="D2959" s="15"/>
    </row>
    <row r="2960" spans="2:4" x14ac:dyDescent="0.25">
      <c r="B2960" s="68"/>
      <c r="C2960" s="50"/>
      <c r="D2960" s="15"/>
    </row>
    <row r="2961" spans="2:4" x14ac:dyDescent="0.25">
      <c r="B2961" s="68"/>
      <c r="C2961" s="50"/>
      <c r="D2961" s="15"/>
    </row>
    <row r="2962" spans="2:4" x14ac:dyDescent="0.25">
      <c r="B2962" s="68"/>
      <c r="C2962" s="50"/>
      <c r="D2962" s="15"/>
    </row>
    <row r="2963" spans="2:4" x14ac:dyDescent="0.25">
      <c r="B2963" s="68"/>
      <c r="C2963" s="50"/>
      <c r="D2963" s="15"/>
    </row>
    <row r="2964" spans="2:4" x14ac:dyDescent="0.25">
      <c r="B2964" s="68"/>
      <c r="C2964" s="50"/>
      <c r="D2964" s="15"/>
    </row>
    <row r="2965" spans="2:4" x14ac:dyDescent="0.25">
      <c r="B2965" s="68"/>
      <c r="C2965" s="50"/>
      <c r="D2965" s="15"/>
    </row>
    <row r="2966" spans="2:4" x14ac:dyDescent="0.25">
      <c r="B2966" s="68"/>
      <c r="C2966" s="50"/>
      <c r="D2966" s="15"/>
    </row>
    <row r="2967" spans="2:4" x14ac:dyDescent="0.25">
      <c r="B2967" s="68"/>
      <c r="C2967" s="50"/>
      <c r="D2967" s="15"/>
    </row>
    <row r="2968" spans="2:4" x14ac:dyDescent="0.25">
      <c r="B2968" s="68"/>
      <c r="C2968" s="50"/>
      <c r="D2968" s="15"/>
    </row>
    <row r="2969" spans="2:4" x14ac:dyDescent="0.25">
      <c r="B2969" s="68"/>
      <c r="C2969" s="50"/>
      <c r="D2969" s="15"/>
    </row>
    <row r="2970" spans="2:4" x14ac:dyDescent="0.25">
      <c r="B2970" s="68"/>
      <c r="C2970" s="50"/>
      <c r="D2970" s="15"/>
    </row>
    <row r="2971" spans="2:4" x14ac:dyDescent="0.25">
      <c r="B2971" s="68"/>
      <c r="C2971" s="50"/>
      <c r="D2971" s="15"/>
    </row>
    <row r="2972" spans="2:4" x14ac:dyDescent="0.25">
      <c r="B2972" s="68"/>
      <c r="C2972" s="50"/>
      <c r="D2972" s="15"/>
    </row>
    <row r="2973" spans="2:4" x14ac:dyDescent="0.25">
      <c r="B2973" s="68"/>
      <c r="C2973" s="50"/>
      <c r="D2973" s="15"/>
    </row>
    <row r="2974" spans="2:4" x14ac:dyDescent="0.25">
      <c r="B2974" s="68"/>
      <c r="C2974" s="50"/>
      <c r="D2974" s="15"/>
    </row>
    <row r="2975" spans="2:4" x14ac:dyDescent="0.25">
      <c r="B2975" s="68"/>
      <c r="C2975" s="50"/>
      <c r="D2975" s="15"/>
    </row>
    <row r="2976" spans="2:4" x14ac:dyDescent="0.25">
      <c r="B2976" s="68"/>
      <c r="C2976" s="50"/>
      <c r="D2976" s="15"/>
    </row>
    <row r="2977" spans="2:4" x14ac:dyDescent="0.25">
      <c r="B2977" s="68"/>
      <c r="C2977" s="50"/>
      <c r="D2977" s="15"/>
    </row>
    <row r="2978" spans="2:4" x14ac:dyDescent="0.25">
      <c r="B2978" s="68"/>
      <c r="C2978" s="50"/>
      <c r="D2978" s="15"/>
    </row>
    <row r="2979" spans="2:4" x14ac:dyDescent="0.25">
      <c r="B2979" s="68"/>
      <c r="C2979" s="50"/>
      <c r="D2979" s="15"/>
    </row>
    <row r="2980" spans="2:4" x14ac:dyDescent="0.25">
      <c r="B2980" s="68"/>
      <c r="C2980" s="50"/>
      <c r="D2980" s="15"/>
    </row>
    <row r="2981" spans="2:4" x14ac:dyDescent="0.25">
      <c r="B2981" s="68"/>
      <c r="C2981" s="50"/>
      <c r="D2981" s="15"/>
    </row>
    <row r="2982" spans="2:4" x14ac:dyDescent="0.25">
      <c r="B2982" s="68"/>
      <c r="C2982" s="50"/>
      <c r="D2982" s="15"/>
    </row>
    <row r="2983" spans="2:4" x14ac:dyDescent="0.25">
      <c r="B2983" s="68"/>
      <c r="C2983" s="50"/>
      <c r="D2983" s="15"/>
    </row>
    <row r="2984" spans="2:4" x14ac:dyDescent="0.25">
      <c r="B2984" s="68"/>
      <c r="C2984" s="50"/>
      <c r="D2984" s="15"/>
    </row>
    <row r="2985" spans="2:4" x14ac:dyDescent="0.25">
      <c r="B2985" s="68"/>
      <c r="C2985" s="50"/>
      <c r="D2985" s="15"/>
    </row>
    <row r="2986" spans="2:4" x14ac:dyDescent="0.25">
      <c r="B2986" s="68"/>
      <c r="C2986" s="50"/>
      <c r="D2986" s="15"/>
    </row>
    <row r="2987" spans="2:4" x14ac:dyDescent="0.25">
      <c r="B2987" s="68"/>
      <c r="C2987" s="50"/>
      <c r="D2987" s="15"/>
    </row>
    <row r="2988" spans="2:4" x14ac:dyDescent="0.25">
      <c r="B2988" s="68"/>
      <c r="C2988" s="50"/>
      <c r="D2988" s="15"/>
    </row>
    <row r="2989" spans="2:4" x14ac:dyDescent="0.25">
      <c r="B2989" s="68"/>
      <c r="C2989" s="50"/>
      <c r="D2989" s="15"/>
    </row>
    <row r="2990" spans="2:4" x14ac:dyDescent="0.25">
      <c r="B2990" s="68"/>
      <c r="C2990" s="50"/>
      <c r="D2990" s="15"/>
    </row>
    <row r="2991" spans="2:4" x14ac:dyDescent="0.25">
      <c r="B2991" s="68"/>
      <c r="C2991" s="50"/>
      <c r="D2991" s="15"/>
    </row>
    <row r="2992" spans="2:4" x14ac:dyDescent="0.25">
      <c r="B2992" s="68"/>
      <c r="C2992" s="50"/>
      <c r="D2992" s="15"/>
    </row>
    <row r="2993" spans="2:4" x14ac:dyDescent="0.25">
      <c r="B2993" s="68"/>
      <c r="C2993" s="50"/>
      <c r="D2993" s="15"/>
    </row>
    <row r="2994" spans="2:4" x14ac:dyDescent="0.25">
      <c r="B2994" s="68"/>
      <c r="C2994" s="50"/>
      <c r="D2994" s="15"/>
    </row>
    <row r="2995" spans="2:4" x14ac:dyDescent="0.25">
      <c r="B2995" s="68"/>
      <c r="C2995" s="50"/>
      <c r="D2995" s="15"/>
    </row>
    <row r="2996" spans="2:4" x14ac:dyDescent="0.25">
      <c r="B2996" s="68"/>
      <c r="C2996" s="50"/>
      <c r="D2996" s="15"/>
    </row>
    <row r="2997" spans="2:4" x14ac:dyDescent="0.25">
      <c r="B2997" s="68"/>
      <c r="C2997" s="50"/>
      <c r="D2997" s="15"/>
    </row>
    <row r="2998" spans="2:4" x14ac:dyDescent="0.25">
      <c r="B2998" s="68"/>
      <c r="C2998" s="50"/>
      <c r="D2998" s="15"/>
    </row>
    <row r="2999" spans="2:4" x14ac:dyDescent="0.25">
      <c r="B2999" s="68"/>
      <c r="C2999" s="50"/>
      <c r="D2999" s="15"/>
    </row>
    <row r="3000" spans="2:4" x14ac:dyDescent="0.25">
      <c r="B3000" s="68"/>
      <c r="C3000" s="50"/>
      <c r="D3000" s="15"/>
    </row>
    <row r="3001" spans="2:4" x14ac:dyDescent="0.25">
      <c r="B3001" s="68"/>
      <c r="C3001" s="50"/>
      <c r="D3001" s="15"/>
    </row>
    <row r="3002" spans="2:4" x14ac:dyDescent="0.25">
      <c r="B3002" s="68"/>
      <c r="C3002" s="50"/>
      <c r="D3002" s="15"/>
    </row>
    <row r="3003" spans="2:4" x14ac:dyDescent="0.25">
      <c r="B3003" s="68"/>
      <c r="C3003" s="50"/>
      <c r="D3003" s="15"/>
    </row>
    <row r="3004" spans="2:4" x14ac:dyDescent="0.25">
      <c r="B3004" s="68"/>
      <c r="C3004" s="50"/>
      <c r="D3004" s="15"/>
    </row>
    <row r="3005" spans="2:4" x14ac:dyDescent="0.25">
      <c r="B3005" s="68"/>
      <c r="C3005" s="50"/>
      <c r="D3005" s="15"/>
    </row>
    <row r="3006" spans="2:4" x14ac:dyDescent="0.25">
      <c r="B3006" s="68"/>
      <c r="C3006" s="50"/>
      <c r="D3006" s="15"/>
    </row>
    <row r="3007" spans="2:4" x14ac:dyDescent="0.25">
      <c r="B3007" s="68"/>
      <c r="C3007" s="50"/>
      <c r="D3007" s="15"/>
    </row>
    <row r="3008" spans="2:4" x14ac:dyDescent="0.25">
      <c r="B3008" s="68"/>
      <c r="C3008" s="50"/>
      <c r="D3008" s="15"/>
    </row>
    <row r="3009" spans="2:4" x14ac:dyDescent="0.25">
      <c r="B3009" s="68"/>
      <c r="C3009" s="50"/>
      <c r="D3009" s="15"/>
    </row>
    <row r="3010" spans="2:4" x14ac:dyDescent="0.25">
      <c r="B3010" s="68"/>
      <c r="C3010" s="50"/>
      <c r="D3010" s="15"/>
    </row>
    <row r="3011" spans="2:4" x14ac:dyDescent="0.25">
      <c r="B3011" s="68"/>
      <c r="C3011" s="50"/>
      <c r="D3011" s="15"/>
    </row>
    <row r="3012" spans="2:4" x14ac:dyDescent="0.25">
      <c r="B3012" s="68"/>
      <c r="C3012" s="50"/>
      <c r="D3012" s="15"/>
    </row>
    <row r="3013" spans="2:4" x14ac:dyDescent="0.25">
      <c r="B3013" s="68"/>
      <c r="C3013" s="50"/>
      <c r="D3013" s="15"/>
    </row>
    <row r="3014" spans="2:4" x14ac:dyDescent="0.25">
      <c r="B3014" s="68"/>
      <c r="C3014" s="50"/>
      <c r="D3014" s="15"/>
    </row>
    <row r="3015" spans="2:4" x14ac:dyDescent="0.25">
      <c r="B3015" s="68"/>
      <c r="C3015" s="50"/>
      <c r="D3015" s="15"/>
    </row>
    <row r="3016" spans="2:4" x14ac:dyDescent="0.25">
      <c r="B3016" s="68"/>
      <c r="C3016" s="50"/>
      <c r="D3016" s="15"/>
    </row>
    <row r="3017" spans="2:4" x14ac:dyDescent="0.25">
      <c r="B3017" s="68"/>
      <c r="C3017" s="50"/>
      <c r="D3017" s="15"/>
    </row>
    <row r="3018" spans="2:4" x14ac:dyDescent="0.25">
      <c r="B3018" s="68"/>
      <c r="C3018" s="50"/>
      <c r="D3018" s="15"/>
    </row>
    <row r="3019" spans="2:4" x14ac:dyDescent="0.25">
      <c r="B3019" s="68"/>
      <c r="C3019" s="50"/>
      <c r="D3019" s="15"/>
    </row>
    <row r="3020" spans="2:4" x14ac:dyDescent="0.25">
      <c r="B3020" s="68"/>
      <c r="C3020" s="50"/>
      <c r="D3020" s="15"/>
    </row>
    <row r="3021" spans="2:4" x14ac:dyDescent="0.25">
      <c r="B3021" s="68"/>
      <c r="C3021" s="50"/>
      <c r="D3021" s="15"/>
    </row>
    <row r="3022" spans="2:4" x14ac:dyDescent="0.25">
      <c r="B3022" s="68"/>
      <c r="C3022" s="50"/>
      <c r="D3022" s="15"/>
    </row>
    <row r="3023" spans="2:4" x14ac:dyDescent="0.25">
      <c r="B3023" s="68"/>
      <c r="C3023" s="50"/>
      <c r="D3023" s="15"/>
    </row>
    <row r="3024" spans="2:4" x14ac:dyDescent="0.25">
      <c r="B3024" s="68"/>
      <c r="C3024" s="50"/>
      <c r="D3024" s="15"/>
    </row>
    <row r="3025" spans="2:4" x14ac:dyDescent="0.25">
      <c r="B3025" s="68"/>
      <c r="C3025" s="50"/>
      <c r="D3025" s="15"/>
    </row>
    <row r="3026" spans="2:4" x14ac:dyDescent="0.25">
      <c r="B3026" s="68"/>
      <c r="C3026" s="50"/>
      <c r="D3026" s="15"/>
    </row>
    <row r="3027" spans="2:4" x14ac:dyDescent="0.25">
      <c r="B3027" s="68"/>
      <c r="C3027" s="50"/>
      <c r="D3027" s="15"/>
    </row>
    <row r="3028" spans="2:4" x14ac:dyDescent="0.25">
      <c r="B3028" s="68"/>
      <c r="C3028" s="50"/>
      <c r="D3028" s="15"/>
    </row>
    <row r="3029" spans="2:4" x14ac:dyDescent="0.25">
      <c r="B3029" s="68"/>
      <c r="C3029" s="50"/>
      <c r="D3029" s="15"/>
    </row>
    <row r="3030" spans="2:4" x14ac:dyDescent="0.25">
      <c r="B3030" s="68"/>
      <c r="C3030" s="50"/>
      <c r="D3030" s="15"/>
    </row>
    <row r="3031" spans="2:4" x14ac:dyDescent="0.25">
      <c r="B3031" s="68"/>
      <c r="C3031" s="50"/>
      <c r="D3031" s="15"/>
    </row>
    <row r="3032" spans="2:4" x14ac:dyDescent="0.25">
      <c r="B3032" s="68"/>
      <c r="C3032" s="50"/>
      <c r="D3032" s="15"/>
    </row>
    <row r="3033" spans="2:4" x14ac:dyDescent="0.25">
      <c r="B3033" s="68"/>
      <c r="C3033" s="50"/>
      <c r="D3033" s="15"/>
    </row>
    <row r="3034" spans="2:4" x14ac:dyDescent="0.25">
      <c r="B3034" s="68"/>
      <c r="C3034" s="50"/>
      <c r="D3034" s="15"/>
    </row>
    <row r="3035" spans="2:4" x14ac:dyDescent="0.25">
      <c r="B3035" s="68"/>
      <c r="C3035" s="50"/>
      <c r="D3035" s="15"/>
    </row>
    <row r="3036" spans="2:4" x14ac:dyDescent="0.25">
      <c r="B3036" s="68"/>
      <c r="C3036" s="50"/>
      <c r="D3036" s="15"/>
    </row>
    <row r="3037" spans="2:4" x14ac:dyDescent="0.25">
      <c r="B3037" s="68"/>
      <c r="C3037" s="50"/>
      <c r="D3037" s="15"/>
    </row>
    <row r="3038" spans="2:4" x14ac:dyDescent="0.25">
      <c r="B3038" s="68"/>
      <c r="C3038" s="50"/>
      <c r="D3038" s="15"/>
    </row>
    <row r="3039" spans="2:4" x14ac:dyDescent="0.25">
      <c r="B3039" s="68"/>
      <c r="C3039" s="50"/>
      <c r="D3039" s="15"/>
    </row>
    <row r="3040" spans="2:4" x14ac:dyDescent="0.25">
      <c r="B3040" s="68"/>
      <c r="C3040" s="50"/>
      <c r="D3040" s="15"/>
    </row>
    <row r="3041" spans="2:4" x14ac:dyDescent="0.25">
      <c r="B3041" s="68"/>
      <c r="C3041" s="50"/>
      <c r="D3041" s="15"/>
    </row>
    <row r="3042" spans="2:4" x14ac:dyDescent="0.25">
      <c r="B3042" s="68"/>
      <c r="C3042" s="50"/>
      <c r="D3042" s="15"/>
    </row>
    <row r="3043" spans="2:4" x14ac:dyDescent="0.25">
      <c r="B3043" s="68"/>
      <c r="C3043" s="50"/>
      <c r="D3043" s="15"/>
    </row>
    <row r="3044" spans="2:4" x14ac:dyDescent="0.25">
      <c r="B3044" s="68"/>
      <c r="C3044" s="50"/>
      <c r="D3044" s="15"/>
    </row>
    <row r="3045" spans="2:4" x14ac:dyDescent="0.25">
      <c r="B3045" s="68"/>
      <c r="C3045" s="50"/>
      <c r="D3045" s="15"/>
    </row>
    <row r="3046" spans="2:4" x14ac:dyDescent="0.25">
      <c r="B3046" s="68"/>
      <c r="C3046" s="50"/>
      <c r="D3046" s="15"/>
    </row>
    <row r="3047" spans="2:4" x14ac:dyDescent="0.25">
      <c r="B3047" s="68"/>
      <c r="C3047" s="50"/>
      <c r="D3047" s="15"/>
    </row>
    <row r="3048" spans="2:4" x14ac:dyDescent="0.25">
      <c r="B3048" s="68"/>
      <c r="C3048" s="50"/>
      <c r="D3048" s="15"/>
    </row>
    <row r="3049" spans="2:4" x14ac:dyDescent="0.25">
      <c r="B3049" s="68"/>
      <c r="C3049" s="50"/>
      <c r="D3049" s="15"/>
    </row>
    <row r="3050" spans="2:4" x14ac:dyDescent="0.25">
      <c r="B3050" s="68"/>
      <c r="C3050" s="50"/>
      <c r="D3050" s="15"/>
    </row>
    <row r="3051" spans="2:4" x14ac:dyDescent="0.25">
      <c r="B3051" s="68"/>
      <c r="C3051" s="50"/>
      <c r="D3051" s="15"/>
    </row>
    <row r="3052" spans="2:4" x14ac:dyDescent="0.25">
      <c r="B3052" s="68"/>
      <c r="C3052" s="50"/>
      <c r="D3052" s="15"/>
    </row>
    <row r="3053" spans="2:4" x14ac:dyDescent="0.25">
      <c r="B3053" s="68"/>
      <c r="C3053" s="50"/>
      <c r="D3053" s="15"/>
    </row>
    <row r="3054" spans="2:4" x14ac:dyDescent="0.25">
      <c r="B3054" s="68"/>
      <c r="C3054" s="50"/>
      <c r="D3054" s="15"/>
    </row>
    <row r="3055" spans="2:4" x14ac:dyDescent="0.25">
      <c r="B3055" s="68"/>
      <c r="C3055" s="50"/>
      <c r="D3055" s="15"/>
    </row>
    <row r="3056" spans="2:4" x14ac:dyDescent="0.25">
      <c r="B3056" s="68"/>
      <c r="C3056" s="50"/>
      <c r="D3056" s="15"/>
    </row>
    <row r="3057" spans="2:4" x14ac:dyDescent="0.25">
      <c r="B3057" s="68"/>
      <c r="C3057" s="50"/>
      <c r="D3057" s="15"/>
    </row>
    <row r="3058" spans="2:4" x14ac:dyDescent="0.25">
      <c r="B3058" s="68"/>
      <c r="C3058" s="50"/>
      <c r="D3058" s="15"/>
    </row>
    <row r="3059" spans="2:4" x14ac:dyDescent="0.25">
      <c r="B3059" s="68"/>
      <c r="C3059" s="50"/>
      <c r="D3059" s="15"/>
    </row>
    <row r="3060" spans="2:4" x14ac:dyDescent="0.25">
      <c r="B3060" s="68"/>
      <c r="C3060" s="50"/>
      <c r="D3060" s="15"/>
    </row>
    <row r="3061" spans="2:4" x14ac:dyDescent="0.25">
      <c r="B3061" s="68"/>
      <c r="C3061" s="50"/>
      <c r="D3061" s="15"/>
    </row>
    <row r="3062" spans="2:4" x14ac:dyDescent="0.25">
      <c r="B3062" s="68"/>
      <c r="C3062" s="50"/>
      <c r="D3062" s="15"/>
    </row>
    <row r="3063" spans="2:4" x14ac:dyDescent="0.25">
      <c r="B3063" s="68"/>
      <c r="C3063" s="50"/>
      <c r="D3063" s="15"/>
    </row>
    <row r="3064" spans="2:4" x14ac:dyDescent="0.25">
      <c r="B3064" s="68"/>
      <c r="C3064" s="50"/>
      <c r="D3064" s="15"/>
    </row>
    <row r="3065" spans="2:4" x14ac:dyDescent="0.25">
      <c r="B3065" s="68"/>
      <c r="C3065" s="50"/>
      <c r="D3065" s="15"/>
    </row>
    <row r="3066" spans="2:4" x14ac:dyDescent="0.25">
      <c r="B3066" s="68"/>
      <c r="C3066" s="50"/>
      <c r="D3066" s="15"/>
    </row>
    <row r="3067" spans="2:4" x14ac:dyDescent="0.25">
      <c r="B3067" s="68"/>
      <c r="C3067" s="50"/>
      <c r="D3067" s="15"/>
    </row>
    <row r="3068" spans="2:4" x14ac:dyDescent="0.25">
      <c r="B3068" s="68"/>
      <c r="C3068" s="50"/>
      <c r="D3068" s="15"/>
    </row>
    <row r="3069" spans="2:4" x14ac:dyDescent="0.25">
      <c r="B3069" s="68"/>
      <c r="C3069" s="50"/>
      <c r="D3069" s="15"/>
    </row>
    <row r="3070" spans="2:4" x14ac:dyDescent="0.25">
      <c r="B3070" s="68"/>
      <c r="C3070" s="50"/>
      <c r="D3070" s="15"/>
    </row>
    <row r="3071" spans="2:4" x14ac:dyDescent="0.25">
      <c r="B3071" s="68"/>
      <c r="C3071" s="50"/>
      <c r="D3071" s="15"/>
    </row>
    <row r="3072" spans="2:4" x14ac:dyDescent="0.25">
      <c r="B3072" s="68"/>
      <c r="C3072" s="50"/>
      <c r="D3072" s="15"/>
    </row>
    <row r="3073" spans="2:4" x14ac:dyDescent="0.25">
      <c r="B3073" s="68"/>
      <c r="C3073" s="50"/>
      <c r="D3073" s="15"/>
    </row>
    <row r="3074" spans="2:4" x14ac:dyDescent="0.25">
      <c r="B3074" s="68"/>
      <c r="C3074" s="50"/>
      <c r="D3074" s="15"/>
    </row>
    <row r="3075" spans="2:4" x14ac:dyDescent="0.25">
      <c r="B3075" s="68"/>
      <c r="C3075" s="50"/>
      <c r="D3075" s="15"/>
    </row>
    <row r="3076" spans="2:4" x14ac:dyDescent="0.25">
      <c r="B3076" s="68"/>
      <c r="C3076" s="50"/>
      <c r="D3076" s="15"/>
    </row>
    <row r="3077" spans="2:4" x14ac:dyDescent="0.25">
      <c r="B3077" s="68"/>
      <c r="C3077" s="50"/>
      <c r="D3077" s="15"/>
    </row>
    <row r="3078" spans="2:4" x14ac:dyDescent="0.25">
      <c r="B3078" s="68"/>
      <c r="C3078" s="50"/>
      <c r="D3078" s="15"/>
    </row>
    <row r="3079" spans="2:4" x14ac:dyDescent="0.25">
      <c r="B3079" s="68"/>
      <c r="C3079" s="50"/>
      <c r="D3079" s="15"/>
    </row>
    <row r="3080" spans="2:4" x14ac:dyDescent="0.25">
      <c r="B3080" s="68"/>
      <c r="C3080" s="50"/>
      <c r="D3080" s="15"/>
    </row>
    <row r="3081" spans="2:4" x14ac:dyDescent="0.25">
      <c r="B3081" s="68"/>
      <c r="C3081" s="50"/>
      <c r="D3081" s="15"/>
    </row>
    <row r="3082" spans="2:4" x14ac:dyDescent="0.25">
      <c r="B3082" s="68"/>
      <c r="C3082" s="50"/>
      <c r="D3082" s="15"/>
    </row>
    <row r="3083" spans="2:4" x14ac:dyDescent="0.25">
      <c r="B3083" s="68"/>
      <c r="C3083" s="50"/>
      <c r="D3083" s="15"/>
    </row>
    <row r="3084" spans="2:4" x14ac:dyDescent="0.25">
      <c r="B3084" s="68"/>
      <c r="C3084" s="50"/>
      <c r="D3084" s="15"/>
    </row>
    <row r="3085" spans="2:4" x14ac:dyDescent="0.25">
      <c r="B3085" s="68"/>
      <c r="C3085" s="50"/>
      <c r="D3085" s="15"/>
    </row>
    <row r="3086" spans="2:4" x14ac:dyDescent="0.25">
      <c r="B3086" s="68"/>
      <c r="C3086" s="50"/>
      <c r="D3086" s="15"/>
    </row>
    <row r="3087" spans="2:4" x14ac:dyDescent="0.25">
      <c r="B3087" s="68"/>
      <c r="C3087" s="50"/>
      <c r="D3087" s="15"/>
    </row>
    <row r="3088" spans="2:4" x14ac:dyDescent="0.25">
      <c r="B3088" s="68"/>
      <c r="C3088" s="50"/>
      <c r="D3088" s="15"/>
    </row>
    <row r="3089" spans="2:4" x14ac:dyDescent="0.25">
      <c r="B3089" s="68"/>
      <c r="C3089" s="50"/>
      <c r="D3089" s="15"/>
    </row>
    <row r="3090" spans="2:4" x14ac:dyDescent="0.25">
      <c r="B3090" s="68"/>
      <c r="C3090" s="50"/>
      <c r="D3090" s="15"/>
    </row>
    <row r="3091" spans="2:4" x14ac:dyDescent="0.25">
      <c r="B3091" s="68"/>
      <c r="C3091" s="50"/>
      <c r="D3091" s="15"/>
    </row>
    <row r="3092" spans="2:4" x14ac:dyDescent="0.25">
      <c r="B3092" s="68"/>
      <c r="C3092" s="50"/>
      <c r="D3092" s="15"/>
    </row>
    <row r="3093" spans="2:4" x14ac:dyDescent="0.25">
      <c r="B3093" s="68"/>
      <c r="C3093" s="50"/>
      <c r="D3093" s="15"/>
    </row>
    <row r="3094" spans="2:4" x14ac:dyDescent="0.25">
      <c r="B3094" s="68"/>
      <c r="C3094" s="50"/>
      <c r="D3094" s="15"/>
    </row>
    <row r="3095" spans="2:4" x14ac:dyDescent="0.25">
      <c r="B3095" s="68"/>
      <c r="C3095" s="50"/>
      <c r="D3095" s="15"/>
    </row>
    <row r="3096" spans="2:4" x14ac:dyDescent="0.25">
      <c r="B3096" s="68"/>
      <c r="C3096" s="50"/>
      <c r="D3096" s="15"/>
    </row>
    <row r="3097" spans="2:4" x14ac:dyDescent="0.25">
      <c r="B3097" s="68"/>
      <c r="C3097" s="50"/>
      <c r="D3097" s="15"/>
    </row>
    <row r="3098" spans="2:4" x14ac:dyDescent="0.25">
      <c r="B3098" s="68"/>
      <c r="C3098" s="50"/>
      <c r="D3098" s="15"/>
    </row>
    <row r="3099" spans="2:4" x14ac:dyDescent="0.25">
      <c r="B3099" s="68"/>
      <c r="C3099" s="50"/>
      <c r="D3099" s="15"/>
    </row>
    <row r="3100" spans="2:4" x14ac:dyDescent="0.25">
      <c r="B3100" s="68"/>
      <c r="C3100" s="50"/>
      <c r="D3100" s="15"/>
    </row>
    <row r="3101" spans="2:4" x14ac:dyDescent="0.25">
      <c r="B3101" s="68"/>
      <c r="C3101" s="50"/>
      <c r="D3101" s="15"/>
    </row>
    <row r="3102" spans="2:4" x14ac:dyDescent="0.25">
      <c r="B3102" s="68"/>
      <c r="C3102" s="50"/>
      <c r="D3102" s="15"/>
    </row>
    <row r="3103" spans="2:4" x14ac:dyDescent="0.25">
      <c r="B3103" s="68"/>
      <c r="C3103" s="50"/>
      <c r="D3103" s="15"/>
    </row>
    <row r="3104" spans="2:4" x14ac:dyDescent="0.25">
      <c r="B3104" s="68"/>
      <c r="C3104" s="50"/>
      <c r="D3104" s="15"/>
    </row>
    <row r="3105" spans="2:4" x14ac:dyDescent="0.25">
      <c r="B3105" s="68"/>
      <c r="C3105" s="50"/>
      <c r="D3105" s="15"/>
    </row>
    <row r="3106" spans="2:4" x14ac:dyDescent="0.25">
      <c r="B3106" s="68"/>
      <c r="C3106" s="50"/>
      <c r="D3106" s="15"/>
    </row>
    <row r="3107" spans="2:4" x14ac:dyDescent="0.25">
      <c r="B3107" s="68"/>
      <c r="C3107" s="50"/>
      <c r="D3107" s="15"/>
    </row>
    <row r="3108" spans="2:4" x14ac:dyDescent="0.25">
      <c r="B3108" s="68"/>
      <c r="C3108" s="50"/>
      <c r="D3108" s="15"/>
    </row>
    <row r="3109" spans="2:4" x14ac:dyDescent="0.25">
      <c r="B3109" s="68"/>
      <c r="C3109" s="50"/>
      <c r="D3109" s="15"/>
    </row>
    <row r="3110" spans="2:4" x14ac:dyDescent="0.25">
      <c r="B3110" s="68"/>
      <c r="C3110" s="50"/>
      <c r="D3110" s="15"/>
    </row>
    <row r="3111" spans="2:4" x14ac:dyDescent="0.25">
      <c r="B3111" s="68"/>
      <c r="C3111" s="50"/>
      <c r="D3111" s="15"/>
    </row>
    <row r="3112" spans="2:4" x14ac:dyDescent="0.25">
      <c r="B3112" s="68"/>
      <c r="C3112" s="50"/>
      <c r="D3112" s="15"/>
    </row>
    <row r="3113" spans="2:4" x14ac:dyDescent="0.25">
      <c r="B3113" s="68"/>
      <c r="C3113" s="50"/>
      <c r="D3113" s="15"/>
    </row>
    <row r="3114" spans="2:4" x14ac:dyDescent="0.25">
      <c r="B3114" s="68"/>
      <c r="C3114" s="50"/>
      <c r="D3114" s="15"/>
    </row>
    <row r="3115" spans="2:4" x14ac:dyDescent="0.25">
      <c r="B3115" s="68"/>
      <c r="C3115" s="50"/>
      <c r="D3115" s="15"/>
    </row>
    <row r="3116" spans="2:4" x14ac:dyDescent="0.25">
      <c r="B3116" s="68"/>
      <c r="C3116" s="50"/>
      <c r="D3116" s="15"/>
    </row>
    <row r="3117" spans="2:4" x14ac:dyDescent="0.25">
      <c r="B3117" s="68"/>
      <c r="C3117" s="50"/>
      <c r="D3117" s="15"/>
    </row>
    <row r="3118" spans="2:4" x14ac:dyDescent="0.25">
      <c r="B3118" s="68"/>
      <c r="C3118" s="50"/>
      <c r="D3118" s="15"/>
    </row>
    <row r="3119" spans="2:4" x14ac:dyDescent="0.25">
      <c r="B3119" s="68"/>
      <c r="C3119" s="50"/>
      <c r="D3119" s="15"/>
    </row>
    <row r="3120" spans="2:4" x14ac:dyDescent="0.25">
      <c r="B3120" s="68"/>
      <c r="C3120" s="50"/>
      <c r="D3120" s="15"/>
    </row>
    <row r="3121" spans="2:4" x14ac:dyDescent="0.25">
      <c r="B3121" s="68"/>
      <c r="C3121" s="50"/>
      <c r="D3121" s="15"/>
    </row>
    <row r="3122" spans="2:4" x14ac:dyDescent="0.25">
      <c r="B3122" s="68"/>
      <c r="C3122" s="50"/>
      <c r="D3122" s="15"/>
    </row>
    <row r="3123" spans="2:4" x14ac:dyDescent="0.25">
      <c r="B3123" s="68"/>
      <c r="C3123" s="50"/>
      <c r="D3123" s="15"/>
    </row>
    <row r="3124" spans="2:4" x14ac:dyDescent="0.25">
      <c r="B3124" s="68"/>
      <c r="C3124" s="50"/>
      <c r="D3124" s="15"/>
    </row>
    <row r="3125" spans="2:4" x14ac:dyDescent="0.25">
      <c r="B3125" s="68"/>
      <c r="C3125" s="50"/>
      <c r="D3125" s="15"/>
    </row>
    <row r="3126" spans="2:4" x14ac:dyDescent="0.25">
      <c r="B3126" s="68"/>
      <c r="C3126" s="50"/>
      <c r="D3126" s="15"/>
    </row>
    <row r="3127" spans="2:4" x14ac:dyDescent="0.25">
      <c r="B3127" s="68"/>
      <c r="C3127" s="50"/>
      <c r="D3127" s="15"/>
    </row>
    <row r="3128" spans="2:4" x14ac:dyDescent="0.25">
      <c r="B3128" s="68"/>
      <c r="C3128" s="50"/>
      <c r="D3128" s="15"/>
    </row>
    <row r="3129" spans="2:4" x14ac:dyDescent="0.25">
      <c r="B3129" s="68"/>
      <c r="C3129" s="50"/>
      <c r="D3129" s="15"/>
    </row>
    <row r="3130" spans="2:4" x14ac:dyDescent="0.25">
      <c r="B3130" s="68"/>
      <c r="C3130" s="50"/>
      <c r="D3130" s="15"/>
    </row>
    <row r="3131" spans="2:4" x14ac:dyDescent="0.25">
      <c r="B3131" s="68"/>
      <c r="C3131" s="50"/>
      <c r="D3131" s="15"/>
    </row>
    <row r="3132" spans="2:4" x14ac:dyDescent="0.25">
      <c r="B3132" s="68"/>
      <c r="C3132" s="50"/>
      <c r="D3132" s="15"/>
    </row>
    <row r="3133" spans="2:4" x14ac:dyDescent="0.25">
      <c r="B3133" s="68"/>
      <c r="C3133" s="50"/>
      <c r="D3133" s="15"/>
    </row>
    <row r="3134" spans="2:4" x14ac:dyDescent="0.25">
      <c r="B3134" s="68"/>
      <c r="C3134" s="50"/>
      <c r="D3134" s="15"/>
    </row>
    <row r="3135" spans="2:4" x14ac:dyDescent="0.25">
      <c r="B3135" s="68"/>
      <c r="C3135" s="50"/>
      <c r="D3135" s="15"/>
    </row>
    <row r="3136" spans="2:4" x14ac:dyDescent="0.25">
      <c r="B3136" s="68"/>
      <c r="C3136" s="50"/>
      <c r="D3136" s="15"/>
    </row>
    <row r="3137" spans="2:4" x14ac:dyDescent="0.25">
      <c r="B3137" s="68"/>
      <c r="C3137" s="50"/>
      <c r="D3137" s="15"/>
    </row>
    <row r="3138" spans="2:4" x14ac:dyDescent="0.25">
      <c r="B3138" s="68"/>
      <c r="C3138" s="50"/>
      <c r="D3138" s="15"/>
    </row>
    <row r="3139" spans="2:4" x14ac:dyDescent="0.25">
      <c r="B3139" s="68"/>
      <c r="C3139" s="50"/>
      <c r="D3139" s="15"/>
    </row>
    <row r="3140" spans="2:4" x14ac:dyDescent="0.25">
      <c r="B3140" s="68"/>
      <c r="C3140" s="50"/>
      <c r="D3140" s="15"/>
    </row>
    <row r="3141" spans="2:4" x14ac:dyDescent="0.25">
      <c r="B3141" s="68"/>
      <c r="C3141" s="50"/>
      <c r="D3141" s="15"/>
    </row>
    <row r="3142" spans="2:4" x14ac:dyDescent="0.25">
      <c r="B3142" s="68"/>
      <c r="C3142" s="50"/>
      <c r="D3142" s="15"/>
    </row>
    <row r="3143" spans="2:4" x14ac:dyDescent="0.25">
      <c r="B3143" s="68"/>
      <c r="C3143" s="50"/>
      <c r="D3143" s="15"/>
    </row>
    <row r="3144" spans="2:4" x14ac:dyDescent="0.25">
      <c r="B3144" s="68"/>
      <c r="C3144" s="50"/>
      <c r="D3144" s="15"/>
    </row>
    <row r="3145" spans="2:4" x14ac:dyDescent="0.25">
      <c r="B3145" s="68"/>
      <c r="C3145" s="50"/>
      <c r="D3145" s="15"/>
    </row>
    <row r="3146" spans="2:4" x14ac:dyDescent="0.25">
      <c r="B3146" s="68"/>
      <c r="C3146" s="50"/>
      <c r="D3146" s="15"/>
    </row>
    <row r="3147" spans="2:4" x14ac:dyDescent="0.25">
      <c r="B3147" s="68"/>
      <c r="C3147" s="50"/>
      <c r="D3147" s="15"/>
    </row>
    <row r="3148" spans="2:4" x14ac:dyDescent="0.25">
      <c r="B3148" s="68"/>
      <c r="C3148" s="50"/>
      <c r="D3148" s="15"/>
    </row>
    <row r="3149" spans="2:4" x14ac:dyDescent="0.25">
      <c r="B3149" s="68"/>
      <c r="C3149" s="50"/>
      <c r="D3149" s="15"/>
    </row>
    <row r="3150" spans="2:4" x14ac:dyDescent="0.25">
      <c r="B3150" s="68"/>
      <c r="C3150" s="50"/>
      <c r="D3150" s="15"/>
    </row>
    <row r="3151" spans="2:4" x14ac:dyDescent="0.25">
      <c r="B3151" s="68"/>
      <c r="C3151" s="50"/>
      <c r="D3151" s="15"/>
    </row>
    <row r="3152" spans="2:4" x14ac:dyDescent="0.25">
      <c r="B3152" s="68"/>
      <c r="C3152" s="50"/>
      <c r="D3152" s="15"/>
    </row>
    <row r="3153" spans="2:4" x14ac:dyDescent="0.25">
      <c r="B3153" s="68"/>
      <c r="C3153" s="50"/>
      <c r="D3153" s="15"/>
    </row>
    <row r="3154" spans="2:4" x14ac:dyDescent="0.25">
      <c r="B3154" s="68"/>
      <c r="C3154" s="50"/>
      <c r="D3154" s="15"/>
    </row>
    <row r="3155" spans="2:4" x14ac:dyDescent="0.25">
      <c r="B3155" s="68"/>
      <c r="C3155" s="50"/>
      <c r="D3155" s="15"/>
    </row>
    <row r="3156" spans="2:4" x14ac:dyDescent="0.25">
      <c r="B3156" s="68"/>
      <c r="C3156" s="50"/>
      <c r="D3156" s="15"/>
    </row>
    <row r="3157" spans="2:4" x14ac:dyDescent="0.25">
      <c r="B3157" s="68"/>
      <c r="C3157" s="50"/>
      <c r="D3157" s="15"/>
    </row>
    <row r="3158" spans="2:4" x14ac:dyDescent="0.25">
      <c r="B3158" s="68"/>
      <c r="C3158" s="50"/>
      <c r="D3158" s="15"/>
    </row>
    <row r="3159" spans="2:4" x14ac:dyDescent="0.25">
      <c r="B3159" s="68"/>
      <c r="C3159" s="50"/>
      <c r="D3159" s="15"/>
    </row>
    <row r="3160" spans="2:4" x14ac:dyDescent="0.25">
      <c r="B3160" s="68"/>
      <c r="C3160" s="50"/>
      <c r="D3160" s="15"/>
    </row>
    <row r="3161" spans="2:4" x14ac:dyDescent="0.25">
      <c r="B3161" s="68"/>
      <c r="C3161" s="50"/>
      <c r="D3161" s="15"/>
    </row>
    <row r="3162" spans="2:4" x14ac:dyDescent="0.25">
      <c r="B3162" s="68"/>
      <c r="C3162" s="50"/>
      <c r="D3162" s="15"/>
    </row>
    <row r="3163" spans="2:4" x14ac:dyDescent="0.25">
      <c r="B3163" s="68"/>
      <c r="C3163" s="50"/>
      <c r="D3163" s="15"/>
    </row>
    <row r="3164" spans="2:4" x14ac:dyDescent="0.25">
      <c r="B3164" s="68"/>
      <c r="C3164" s="50"/>
      <c r="D3164" s="15"/>
    </row>
    <row r="3165" spans="2:4" x14ac:dyDescent="0.25">
      <c r="B3165" s="68"/>
      <c r="C3165" s="50"/>
      <c r="D3165" s="15"/>
    </row>
    <row r="3166" spans="2:4" x14ac:dyDescent="0.25">
      <c r="B3166" s="68"/>
      <c r="C3166" s="50"/>
      <c r="D3166" s="15"/>
    </row>
    <row r="3167" spans="2:4" x14ac:dyDescent="0.25">
      <c r="B3167" s="68"/>
      <c r="C3167" s="50"/>
      <c r="D3167" s="15"/>
    </row>
    <row r="3168" spans="2:4" x14ac:dyDescent="0.25">
      <c r="B3168" s="68"/>
      <c r="C3168" s="50"/>
      <c r="D3168" s="15"/>
    </row>
    <row r="3169" spans="2:4" x14ac:dyDescent="0.25">
      <c r="B3169" s="68"/>
      <c r="C3169" s="50"/>
      <c r="D3169" s="15"/>
    </row>
    <row r="3170" spans="2:4" x14ac:dyDescent="0.25">
      <c r="B3170" s="68"/>
      <c r="C3170" s="50"/>
      <c r="D3170" s="15"/>
    </row>
    <row r="3171" spans="2:4" x14ac:dyDescent="0.25">
      <c r="B3171" s="68"/>
      <c r="C3171" s="50"/>
      <c r="D3171" s="15"/>
    </row>
    <row r="3172" spans="2:4" x14ac:dyDescent="0.25">
      <c r="B3172" s="68"/>
      <c r="C3172" s="50"/>
      <c r="D3172" s="15"/>
    </row>
    <row r="3173" spans="2:4" x14ac:dyDescent="0.25">
      <c r="B3173" s="68"/>
      <c r="C3173" s="50"/>
      <c r="D3173" s="15"/>
    </row>
    <row r="3174" spans="2:4" x14ac:dyDescent="0.25">
      <c r="B3174" s="68"/>
      <c r="C3174" s="50"/>
      <c r="D3174" s="15"/>
    </row>
    <row r="3175" spans="2:4" x14ac:dyDescent="0.25">
      <c r="B3175" s="68"/>
      <c r="C3175" s="50"/>
      <c r="D3175" s="15"/>
    </row>
    <row r="3176" spans="2:4" x14ac:dyDescent="0.25">
      <c r="B3176" s="68"/>
      <c r="C3176" s="50"/>
      <c r="D3176" s="15"/>
    </row>
    <row r="3177" spans="2:4" x14ac:dyDescent="0.25">
      <c r="B3177" s="68"/>
      <c r="C3177" s="50"/>
      <c r="D3177" s="15"/>
    </row>
    <row r="3178" spans="2:4" x14ac:dyDescent="0.25">
      <c r="B3178" s="68"/>
      <c r="C3178" s="50"/>
      <c r="D3178" s="15"/>
    </row>
    <row r="3179" spans="2:4" x14ac:dyDescent="0.25">
      <c r="B3179" s="68"/>
      <c r="C3179" s="50"/>
      <c r="D3179" s="15"/>
    </row>
    <row r="3180" spans="2:4" x14ac:dyDescent="0.25">
      <c r="B3180" s="68"/>
      <c r="C3180" s="50"/>
      <c r="D3180" s="15"/>
    </row>
    <row r="3181" spans="2:4" x14ac:dyDescent="0.25">
      <c r="B3181" s="68"/>
      <c r="C3181" s="50"/>
      <c r="D3181" s="15"/>
    </row>
    <row r="3182" spans="2:4" x14ac:dyDescent="0.25">
      <c r="B3182" s="68"/>
      <c r="C3182" s="50"/>
      <c r="D3182" s="15"/>
    </row>
    <row r="3183" spans="2:4" x14ac:dyDescent="0.25">
      <c r="B3183" s="68"/>
      <c r="C3183" s="50"/>
      <c r="D3183" s="15"/>
    </row>
    <row r="3184" spans="2:4" x14ac:dyDescent="0.25">
      <c r="B3184" s="68"/>
      <c r="C3184" s="50"/>
      <c r="D3184" s="15"/>
    </row>
    <row r="3185" spans="2:4" x14ac:dyDescent="0.25">
      <c r="B3185" s="68"/>
      <c r="C3185" s="50"/>
      <c r="D3185" s="15"/>
    </row>
    <row r="3186" spans="2:4" x14ac:dyDescent="0.25">
      <c r="B3186" s="68"/>
      <c r="C3186" s="50"/>
      <c r="D3186" s="15"/>
    </row>
    <row r="3187" spans="2:4" x14ac:dyDescent="0.25">
      <c r="B3187" s="68"/>
      <c r="C3187" s="50"/>
      <c r="D3187" s="15"/>
    </row>
    <row r="3188" spans="2:4" x14ac:dyDescent="0.25">
      <c r="B3188" s="68"/>
      <c r="C3188" s="50"/>
      <c r="D3188" s="15"/>
    </row>
    <row r="3189" spans="2:4" x14ac:dyDescent="0.25">
      <c r="B3189" s="68"/>
      <c r="C3189" s="50"/>
      <c r="D3189" s="15"/>
    </row>
    <row r="3190" spans="2:4" x14ac:dyDescent="0.25">
      <c r="B3190" s="68"/>
      <c r="C3190" s="50"/>
      <c r="D3190" s="15"/>
    </row>
    <row r="3191" spans="2:4" x14ac:dyDescent="0.25">
      <c r="B3191" s="68"/>
      <c r="C3191" s="50"/>
      <c r="D3191" s="15"/>
    </row>
    <row r="3192" spans="2:4" x14ac:dyDescent="0.25">
      <c r="B3192" s="68"/>
      <c r="C3192" s="50"/>
      <c r="D3192" s="15"/>
    </row>
    <row r="3193" spans="2:4" x14ac:dyDescent="0.25">
      <c r="B3193" s="68"/>
      <c r="C3193" s="50"/>
      <c r="D3193" s="15"/>
    </row>
    <row r="3194" spans="2:4" x14ac:dyDescent="0.25">
      <c r="B3194" s="68"/>
      <c r="C3194" s="50"/>
      <c r="D3194" s="15"/>
    </row>
    <row r="3195" spans="2:4" x14ac:dyDescent="0.25">
      <c r="B3195" s="68"/>
      <c r="C3195" s="50"/>
      <c r="D3195" s="15"/>
    </row>
    <row r="3196" spans="2:4" x14ac:dyDescent="0.25">
      <c r="B3196" s="68"/>
      <c r="C3196" s="50"/>
      <c r="D3196" s="15"/>
    </row>
    <row r="3197" spans="2:4" x14ac:dyDescent="0.25">
      <c r="B3197" s="68"/>
      <c r="C3197" s="50"/>
      <c r="D3197" s="15"/>
    </row>
    <row r="3198" spans="2:4" x14ac:dyDescent="0.25">
      <c r="B3198" s="68"/>
      <c r="C3198" s="50"/>
      <c r="D3198" s="15"/>
    </row>
    <row r="3199" spans="2:4" x14ac:dyDescent="0.25">
      <c r="B3199" s="68"/>
      <c r="C3199" s="50"/>
      <c r="D3199" s="15"/>
    </row>
    <row r="3200" spans="2:4" x14ac:dyDescent="0.25">
      <c r="B3200" s="68"/>
      <c r="C3200" s="50"/>
      <c r="D3200" s="15"/>
    </row>
    <row r="3201" spans="2:4" x14ac:dyDescent="0.25">
      <c r="B3201" s="68"/>
      <c r="C3201" s="50"/>
      <c r="D3201" s="15"/>
    </row>
    <row r="3202" spans="2:4" x14ac:dyDescent="0.25">
      <c r="B3202" s="68"/>
      <c r="C3202" s="50"/>
      <c r="D3202" s="15"/>
    </row>
    <row r="3203" spans="2:4" x14ac:dyDescent="0.25">
      <c r="B3203" s="68"/>
      <c r="C3203" s="50"/>
      <c r="D3203" s="15"/>
    </row>
    <row r="3204" spans="2:4" x14ac:dyDescent="0.25">
      <c r="B3204" s="68"/>
      <c r="C3204" s="50"/>
      <c r="D3204" s="15"/>
    </row>
    <row r="3205" spans="2:4" x14ac:dyDescent="0.25">
      <c r="B3205" s="68"/>
      <c r="C3205" s="50"/>
      <c r="D3205" s="15"/>
    </row>
    <row r="3206" spans="2:4" x14ac:dyDescent="0.25">
      <c r="B3206" s="68"/>
      <c r="C3206" s="50"/>
      <c r="D3206" s="15"/>
    </row>
    <row r="3207" spans="2:4" x14ac:dyDescent="0.25">
      <c r="B3207" s="68"/>
      <c r="C3207" s="50"/>
      <c r="D3207" s="15"/>
    </row>
    <row r="3208" spans="2:4" x14ac:dyDescent="0.25">
      <c r="B3208" s="68"/>
      <c r="C3208" s="50"/>
      <c r="D3208" s="15"/>
    </row>
    <row r="3209" spans="2:4" x14ac:dyDescent="0.25">
      <c r="B3209" s="68"/>
      <c r="C3209" s="50"/>
      <c r="D3209" s="15"/>
    </row>
    <row r="3210" spans="2:4" x14ac:dyDescent="0.25">
      <c r="B3210" s="68"/>
      <c r="C3210" s="50"/>
      <c r="D3210" s="15"/>
    </row>
    <row r="3211" spans="2:4" x14ac:dyDescent="0.25">
      <c r="B3211" s="68"/>
      <c r="C3211" s="50"/>
      <c r="D3211" s="15"/>
    </row>
    <row r="3212" spans="2:4" x14ac:dyDescent="0.25">
      <c r="B3212" s="68"/>
      <c r="C3212" s="50"/>
      <c r="D3212" s="15"/>
    </row>
    <row r="3213" spans="2:4" x14ac:dyDescent="0.25">
      <c r="B3213" s="68"/>
      <c r="C3213" s="50"/>
      <c r="D3213" s="15"/>
    </row>
    <row r="3214" spans="2:4" x14ac:dyDescent="0.25">
      <c r="B3214" s="68"/>
      <c r="C3214" s="50"/>
      <c r="D3214" s="15"/>
    </row>
    <row r="3215" spans="2:4" x14ac:dyDescent="0.25">
      <c r="B3215" s="68"/>
      <c r="C3215" s="50"/>
      <c r="D3215" s="15"/>
    </row>
    <row r="3216" spans="2:4" x14ac:dyDescent="0.25">
      <c r="B3216" s="68"/>
      <c r="C3216" s="50"/>
      <c r="D3216" s="15"/>
    </row>
    <row r="3217" spans="2:4" x14ac:dyDescent="0.25">
      <c r="B3217" s="68"/>
      <c r="C3217" s="50"/>
      <c r="D3217" s="15"/>
    </row>
    <row r="3218" spans="2:4" x14ac:dyDescent="0.25">
      <c r="B3218" s="68"/>
      <c r="C3218" s="50"/>
      <c r="D3218" s="15"/>
    </row>
    <row r="3219" spans="2:4" x14ac:dyDescent="0.25">
      <c r="B3219" s="68"/>
      <c r="C3219" s="50"/>
      <c r="D3219" s="15"/>
    </row>
    <row r="3220" spans="2:4" x14ac:dyDescent="0.25">
      <c r="B3220" s="68"/>
      <c r="C3220" s="50"/>
      <c r="D3220" s="15"/>
    </row>
    <row r="3221" spans="2:4" x14ac:dyDescent="0.25">
      <c r="B3221" s="68"/>
      <c r="C3221" s="50"/>
      <c r="D3221" s="15"/>
    </row>
    <row r="3222" spans="2:4" x14ac:dyDescent="0.25">
      <c r="B3222" s="68"/>
      <c r="C3222" s="50"/>
      <c r="D3222" s="15"/>
    </row>
    <row r="3223" spans="2:4" x14ac:dyDescent="0.25">
      <c r="B3223" s="68"/>
      <c r="C3223" s="50"/>
      <c r="D3223" s="15"/>
    </row>
    <row r="3224" spans="2:4" x14ac:dyDescent="0.25">
      <c r="B3224" s="68"/>
      <c r="C3224" s="50"/>
      <c r="D3224" s="15"/>
    </row>
    <row r="3225" spans="2:4" x14ac:dyDescent="0.25">
      <c r="B3225" s="68"/>
      <c r="C3225" s="50"/>
      <c r="D3225" s="15"/>
    </row>
    <row r="3226" spans="2:4" x14ac:dyDescent="0.25">
      <c r="B3226" s="68"/>
      <c r="C3226" s="50"/>
      <c r="D3226" s="15"/>
    </row>
    <row r="3227" spans="2:4" x14ac:dyDescent="0.25">
      <c r="B3227" s="68"/>
      <c r="C3227" s="50"/>
      <c r="D3227" s="15"/>
    </row>
    <row r="3228" spans="2:4" x14ac:dyDescent="0.25">
      <c r="B3228" s="68"/>
      <c r="C3228" s="50"/>
      <c r="D3228" s="15"/>
    </row>
    <row r="3229" spans="2:4" x14ac:dyDescent="0.25">
      <c r="B3229" s="68"/>
      <c r="C3229" s="50"/>
      <c r="D3229" s="15"/>
    </row>
    <row r="3230" spans="2:4" x14ac:dyDescent="0.25">
      <c r="B3230" s="68"/>
      <c r="C3230" s="50"/>
      <c r="D3230" s="15"/>
    </row>
    <row r="3231" spans="2:4" x14ac:dyDescent="0.25">
      <c r="B3231" s="68"/>
      <c r="C3231" s="50"/>
      <c r="D3231" s="15"/>
    </row>
    <row r="3232" spans="2:4" x14ac:dyDescent="0.25">
      <c r="B3232" s="68"/>
      <c r="C3232" s="50"/>
      <c r="D3232" s="15"/>
    </row>
    <row r="3233" spans="2:4" x14ac:dyDescent="0.25">
      <c r="B3233" s="68"/>
      <c r="C3233" s="50"/>
      <c r="D3233" s="15"/>
    </row>
    <row r="3234" spans="2:4" x14ac:dyDescent="0.25">
      <c r="B3234" s="68"/>
      <c r="C3234" s="50"/>
      <c r="D3234" s="15"/>
    </row>
    <row r="3235" spans="2:4" x14ac:dyDescent="0.25">
      <c r="B3235" s="68"/>
      <c r="C3235" s="50"/>
      <c r="D3235" s="15"/>
    </row>
    <row r="3236" spans="2:4" x14ac:dyDescent="0.25">
      <c r="B3236" s="68"/>
      <c r="C3236" s="50"/>
      <c r="D3236" s="15"/>
    </row>
    <row r="3237" spans="2:4" x14ac:dyDescent="0.25">
      <c r="B3237" s="68"/>
      <c r="C3237" s="50"/>
      <c r="D3237" s="15"/>
    </row>
    <row r="3238" spans="2:4" x14ac:dyDescent="0.25">
      <c r="B3238" s="68"/>
      <c r="C3238" s="50"/>
      <c r="D3238" s="15"/>
    </row>
    <row r="3239" spans="2:4" x14ac:dyDescent="0.25">
      <c r="B3239" s="68"/>
      <c r="C3239" s="50"/>
      <c r="D3239" s="15"/>
    </row>
    <row r="3240" spans="2:4" x14ac:dyDescent="0.25">
      <c r="B3240" s="68"/>
      <c r="C3240" s="50"/>
      <c r="D3240" s="15"/>
    </row>
    <row r="3241" spans="2:4" x14ac:dyDescent="0.25">
      <c r="B3241" s="68"/>
      <c r="C3241" s="50"/>
      <c r="D3241" s="15"/>
    </row>
    <row r="3242" spans="2:4" x14ac:dyDescent="0.25">
      <c r="B3242" s="68"/>
      <c r="C3242" s="50"/>
      <c r="D3242" s="15"/>
    </row>
    <row r="3243" spans="2:4" x14ac:dyDescent="0.25">
      <c r="B3243" s="68"/>
      <c r="C3243" s="50"/>
      <c r="D3243" s="15"/>
    </row>
    <row r="3244" spans="2:4" x14ac:dyDescent="0.25">
      <c r="B3244" s="68"/>
      <c r="C3244" s="50"/>
      <c r="D3244" s="15"/>
    </row>
    <row r="3245" spans="2:4" x14ac:dyDescent="0.25">
      <c r="B3245" s="68"/>
      <c r="C3245" s="50"/>
      <c r="D3245" s="15"/>
    </row>
    <row r="3246" spans="2:4" x14ac:dyDescent="0.25">
      <c r="B3246" s="68"/>
      <c r="C3246" s="50"/>
      <c r="D3246" s="15"/>
    </row>
    <row r="3247" spans="2:4" x14ac:dyDescent="0.25">
      <c r="B3247" s="68"/>
      <c r="C3247" s="50"/>
      <c r="D3247" s="15"/>
    </row>
    <row r="3248" spans="2:4" x14ac:dyDescent="0.25">
      <c r="B3248" s="68"/>
      <c r="C3248" s="50"/>
      <c r="D3248" s="15"/>
    </row>
    <row r="3249" spans="2:4" x14ac:dyDescent="0.25">
      <c r="B3249" s="68"/>
      <c r="C3249" s="50"/>
      <c r="D3249" s="15"/>
    </row>
    <row r="3250" spans="2:4" x14ac:dyDescent="0.25">
      <c r="B3250" s="68"/>
      <c r="C3250" s="50"/>
      <c r="D3250" s="15"/>
    </row>
    <row r="3251" spans="2:4" x14ac:dyDescent="0.25">
      <c r="B3251" s="68"/>
      <c r="C3251" s="50"/>
      <c r="D3251" s="15"/>
    </row>
    <row r="3252" spans="2:4" x14ac:dyDescent="0.25">
      <c r="B3252" s="68"/>
      <c r="C3252" s="50"/>
      <c r="D3252" s="15"/>
    </row>
    <row r="3253" spans="2:4" x14ac:dyDescent="0.25">
      <c r="B3253" s="68"/>
      <c r="C3253" s="50"/>
      <c r="D3253" s="15"/>
    </row>
    <row r="3254" spans="2:4" x14ac:dyDescent="0.25">
      <c r="B3254" s="68"/>
      <c r="C3254" s="50"/>
      <c r="D3254" s="15"/>
    </row>
    <row r="3255" spans="2:4" x14ac:dyDescent="0.25">
      <c r="B3255" s="68"/>
      <c r="C3255" s="50"/>
      <c r="D3255" s="15"/>
    </row>
    <row r="3256" spans="2:4" x14ac:dyDescent="0.25">
      <c r="B3256" s="68"/>
      <c r="C3256" s="50"/>
      <c r="D3256" s="15"/>
    </row>
    <row r="3257" spans="2:4" x14ac:dyDescent="0.25">
      <c r="B3257" s="68"/>
      <c r="C3257" s="50"/>
      <c r="D3257" s="15"/>
    </row>
    <row r="3258" spans="2:4" x14ac:dyDescent="0.25">
      <c r="B3258" s="68"/>
      <c r="C3258" s="50"/>
      <c r="D3258" s="15"/>
    </row>
    <row r="3259" spans="2:4" x14ac:dyDescent="0.25">
      <c r="B3259" s="68"/>
      <c r="C3259" s="50"/>
      <c r="D3259" s="15"/>
    </row>
    <row r="3260" spans="2:4" x14ac:dyDescent="0.25">
      <c r="B3260" s="68"/>
      <c r="C3260" s="50"/>
      <c r="D3260" s="15"/>
    </row>
    <row r="3261" spans="2:4" x14ac:dyDescent="0.25">
      <c r="B3261" s="68"/>
      <c r="C3261" s="50"/>
      <c r="D3261" s="15"/>
    </row>
    <row r="3262" spans="2:4" x14ac:dyDescent="0.25">
      <c r="B3262" s="68"/>
      <c r="C3262" s="50"/>
      <c r="D3262" s="15"/>
    </row>
    <row r="3263" spans="2:4" x14ac:dyDescent="0.25">
      <c r="B3263" s="68"/>
      <c r="C3263" s="50"/>
      <c r="D3263" s="15"/>
    </row>
    <row r="3264" spans="2:4" x14ac:dyDescent="0.25">
      <c r="B3264" s="68"/>
      <c r="C3264" s="50"/>
      <c r="D3264" s="15"/>
    </row>
    <row r="3265" spans="2:4" x14ac:dyDescent="0.25">
      <c r="B3265" s="68"/>
      <c r="C3265" s="50"/>
      <c r="D3265" s="15"/>
    </row>
    <row r="3266" spans="2:4" x14ac:dyDescent="0.25">
      <c r="B3266" s="68"/>
      <c r="C3266" s="50"/>
      <c r="D3266" s="15"/>
    </row>
    <row r="3267" spans="2:4" x14ac:dyDescent="0.25">
      <c r="B3267" s="68"/>
      <c r="C3267" s="50"/>
      <c r="D3267" s="15"/>
    </row>
    <row r="3268" spans="2:4" x14ac:dyDescent="0.25">
      <c r="B3268" s="68"/>
      <c r="C3268" s="50"/>
      <c r="D3268" s="15"/>
    </row>
    <row r="3269" spans="2:4" x14ac:dyDescent="0.25">
      <c r="B3269" s="68"/>
      <c r="C3269" s="50"/>
      <c r="D3269" s="15"/>
    </row>
    <row r="3270" spans="2:4" x14ac:dyDescent="0.25">
      <c r="B3270" s="68"/>
      <c r="C3270" s="50"/>
      <c r="D3270" s="15"/>
    </row>
    <row r="3271" spans="2:4" x14ac:dyDescent="0.25">
      <c r="B3271" s="68"/>
      <c r="C3271" s="50"/>
      <c r="D3271" s="15"/>
    </row>
    <row r="3272" spans="2:4" x14ac:dyDescent="0.25">
      <c r="B3272" s="68"/>
      <c r="C3272" s="50"/>
      <c r="D3272" s="15"/>
    </row>
    <row r="3273" spans="2:4" x14ac:dyDescent="0.25">
      <c r="B3273" s="68"/>
      <c r="C3273" s="50"/>
      <c r="D3273" s="15"/>
    </row>
    <row r="3274" spans="2:4" x14ac:dyDescent="0.25">
      <c r="B3274" s="68"/>
      <c r="C3274" s="50"/>
      <c r="D3274" s="15"/>
    </row>
    <row r="3275" spans="2:4" x14ac:dyDescent="0.25">
      <c r="B3275" s="68"/>
      <c r="C3275" s="50"/>
      <c r="D3275" s="15"/>
    </row>
    <row r="3276" spans="2:4" x14ac:dyDescent="0.25">
      <c r="B3276" s="68"/>
      <c r="C3276" s="50"/>
      <c r="D3276" s="15"/>
    </row>
    <row r="3277" spans="2:4" x14ac:dyDescent="0.25">
      <c r="B3277" s="68"/>
      <c r="C3277" s="50"/>
      <c r="D3277" s="15"/>
    </row>
    <row r="3278" spans="2:4" x14ac:dyDescent="0.25">
      <c r="B3278" s="68"/>
      <c r="C3278" s="50"/>
      <c r="D3278" s="15"/>
    </row>
    <row r="3279" spans="2:4" x14ac:dyDescent="0.25">
      <c r="B3279" s="68"/>
      <c r="C3279" s="50"/>
      <c r="D3279" s="15"/>
    </row>
    <row r="3280" spans="2:4" x14ac:dyDescent="0.25">
      <c r="B3280" s="68"/>
      <c r="C3280" s="50"/>
      <c r="D3280" s="15"/>
    </row>
    <row r="3281" spans="2:4" x14ac:dyDescent="0.25">
      <c r="B3281" s="68"/>
      <c r="C3281" s="50"/>
      <c r="D3281" s="15"/>
    </row>
    <row r="3282" spans="2:4" x14ac:dyDescent="0.25">
      <c r="B3282" s="68"/>
      <c r="C3282" s="50"/>
      <c r="D3282" s="15"/>
    </row>
    <row r="3283" spans="2:4" x14ac:dyDescent="0.25">
      <c r="B3283" s="68"/>
      <c r="C3283" s="50"/>
      <c r="D3283" s="15"/>
    </row>
    <row r="3284" spans="2:4" x14ac:dyDescent="0.25">
      <c r="B3284" s="68"/>
      <c r="C3284" s="50"/>
      <c r="D3284" s="15"/>
    </row>
    <row r="3285" spans="2:4" x14ac:dyDescent="0.25">
      <c r="B3285" s="68"/>
      <c r="C3285" s="50"/>
      <c r="D3285" s="15"/>
    </row>
    <row r="3286" spans="2:4" x14ac:dyDescent="0.25">
      <c r="B3286" s="68"/>
      <c r="C3286" s="50"/>
      <c r="D3286" s="15"/>
    </row>
    <row r="3287" spans="2:4" x14ac:dyDescent="0.25">
      <c r="B3287" s="68"/>
      <c r="C3287" s="50"/>
      <c r="D3287" s="15"/>
    </row>
    <row r="3288" spans="2:4" x14ac:dyDescent="0.25">
      <c r="B3288" s="68"/>
      <c r="C3288" s="50"/>
      <c r="D3288" s="15"/>
    </row>
    <row r="3289" spans="2:4" x14ac:dyDescent="0.25">
      <c r="B3289" s="68"/>
      <c r="C3289" s="50"/>
      <c r="D3289" s="15"/>
    </row>
    <row r="3290" spans="2:4" x14ac:dyDescent="0.25">
      <c r="B3290" s="68"/>
      <c r="C3290" s="50"/>
      <c r="D3290" s="15"/>
    </row>
    <row r="3291" spans="2:4" x14ac:dyDescent="0.25">
      <c r="B3291" s="68"/>
      <c r="C3291" s="50"/>
      <c r="D3291" s="15"/>
    </row>
    <row r="3292" spans="2:4" x14ac:dyDescent="0.25">
      <c r="B3292" s="68"/>
      <c r="C3292" s="50"/>
      <c r="D3292" s="15"/>
    </row>
    <row r="3293" spans="2:4" x14ac:dyDescent="0.25">
      <c r="B3293" s="68"/>
      <c r="C3293" s="50"/>
      <c r="D3293" s="15"/>
    </row>
    <row r="3294" spans="2:4" x14ac:dyDescent="0.25">
      <c r="B3294" s="68"/>
      <c r="C3294" s="50"/>
      <c r="D3294" s="15"/>
    </row>
    <row r="3295" spans="2:4" x14ac:dyDescent="0.25">
      <c r="B3295" s="68"/>
      <c r="C3295" s="50"/>
      <c r="D3295" s="15"/>
    </row>
    <row r="3296" spans="2:4" x14ac:dyDescent="0.25">
      <c r="B3296" s="68"/>
      <c r="C3296" s="50"/>
      <c r="D3296" s="15"/>
    </row>
    <row r="3297" spans="2:4" x14ac:dyDescent="0.25">
      <c r="B3297" s="68"/>
      <c r="C3297" s="50"/>
      <c r="D3297" s="15"/>
    </row>
    <row r="3298" spans="2:4" x14ac:dyDescent="0.25">
      <c r="B3298" s="68"/>
      <c r="C3298" s="50"/>
      <c r="D3298" s="15"/>
    </row>
    <row r="3299" spans="2:4" x14ac:dyDescent="0.25">
      <c r="B3299" s="68"/>
      <c r="C3299" s="50"/>
      <c r="D3299" s="15"/>
    </row>
    <row r="3300" spans="2:4" x14ac:dyDescent="0.25">
      <c r="B3300" s="68"/>
      <c r="C3300" s="50"/>
      <c r="D3300" s="15"/>
    </row>
    <row r="3301" spans="2:4" x14ac:dyDescent="0.25">
      <c r="B3301" s="68"/>
      <c r="C3301" s="50"/>
      <c r="D3301" s="15"/>
    </row>
    <row r="3302" spans="2:4" x14ac:dyDescent="0.25">
      <c r="B3302" s="68"/>
      <c r="C3302" s="50"/>
      <c r="D3302" s="15"/>
    </row>
    <row r="3303" spans="2:4" x14ac:dyDescent="0.25">
      <c r="B3303" s="68"/>
      <c r="C3303" s="50"/>
      <c r="D3303" s="15"/>
    </row>
    <row r="3304" spans="2:4" x14ac:dyDescent="0.25">
      <c r="B3304" s="68"/>
      <c r="C3304" s="50"/>
      <c r="D3304" s="15"/>
    </row>
    <row r="3305" spans="2:4" x14ac:dyDescent="0.25">
      <c r="B3305" s="68"/>
      <c r="C3305" s="50"/>
      <c r="D3305" s="15"/>
    </row>
    <row r="3306" spans="2:4" x14ac:dyDescent="0.25">
      <c r="B3306" s="68"/>
      <c r="C3306" s="50"/>
      <c r="D3306" s="15"/>
    </row>
    <row r="3307" spans="2:4" x14ac:dyDescent="0.25">
      <c r="B3307" s="68"/>
      <c r="C3307" s="50"/>
      <c r="D3307" s="15"/>
    </row>
    <row r="3308" spans="2:4" x14ac:dyDescent="0.25">
      <c r="B3308" s="68"/>
      <c r="C3308" s="50"/>
      <c r="D3308" s="15"/>
    </row>
    <row r="3309" spans="2:4" x14ac:dyDescent="0.25">
      <c r="B3309" s="68"/>
      <c r="C3309" s="50"/>
      <c r="D3309" s="15"/>
    </row>
    <row r="3310" spans="2:4" x14ac:dyDescent="0.25">
      <c r="B3310" s="68"/>
      <c r="C3310" s="50"/>
      <c r="D3310" s="15"/>
    </row>
    <row r="3311" spans="2:4" x14ac:dyDescent="0.25">
      <c r="B3311" s="68"/>
      <c r="C3311" s="50"/>
      <c r="D3311" s="15"/>
    </row>
    <row r="3312" spans="2:4" x14ac:dyDescent="0.25">
      <c r="B3312" s="68"/>
      <c r="C3312" s="50"/>
      <c r="D3312" s="15"/>
    </row>
    <row r="3313" spans="2:4" x14ac:dyDescent="0.25">
      <c r="B3313" s="68"/>
      <c r="C3313" s="50"/>
      <c r="D3313" s="15"/>
    </row>
    <row r="3314" spans="2:4" x14ac:dyDescent="0.25">
      <c r="B3314" s="68"/>
      <c r="C3314" s="50"/>
      <c r="D3314" s="15"/>
    </row>
    <row r="3315" spans="2:4" x14ac:dyDescent="0.25">
      <c r="B3315" s="68"/>
      <c r="C3315" s="50"/>
      <c r="D3315" s="15"/>
    </row>
    <row r="3316" spans="2:4" x14ac:dyDescent="0.25">
      <c r="B3316" s="68"/>
      <c r="C3316" s="50"/>
      <c r="D3316" s="15"/>
    </row>
    <row r="3317" spans="2:4" x14ac:dyDescent="0.25">
      <c r="B3317" s="68"/>
      <c r="C3317" s="50"/>
      <c r="D3317" s="15"/>
    </row>
    <row r="3318" spans="2:4" x14ac:dyDescent="0.25">
      <c r="B3318" s="68"/>
      <c r="C3318" s="50"/>
      <c r="D3318" s="15"/>
    </row>
    <row r="3319" spans="2:4" x14ac:dyDescent="0.25">
      <c r="B3319" s="68"/>
      <c r="C3319" s="50"/>
      <c r="D3319" s="15"/>
    </row>
    <row r="3320" spans="2:4" x14ac:dyDescent="0.25">
      <c r="B3320" s="68"/>
      <c r="C3320" s="50"/>
      <c r="D3320" s="15"/>
    </row>
    <row r="3321" spans="2:4" x14ac:dyDescent="0.25">
      <c r="B3321" s="68"/>
      <c r="C3321" s="50"/>
      <c r="D3321" s="15"/>
    </row>
    <row r="3322" spans="2:4" x14ac:dyDescent="0.25">
      <c r="B3322" s="68"/>
      <c r="C3322" s="50"/>
      <c r="D3322" s="15"/>
    </row>
    <row r="3323" spans="2:4" x14ac:dyDescent="0.25">
      <c r="B3323" s="68"/>
      <c r="C3323" s="50"/>
      <c r="D3323" s="15"/>
    </row>
    <row r="3324" spans="2:4" x14ac:dyDescent="0.25">
      <c r="B3324" s="68"/>
      <c r="C3324" s="50"/>
      <c r="D3324" s="15"/>
    </row>
    <row r="3325" spans="2:4" x14ac:dyDescent="0.25">
      <c r="B3325" s="68"/>
      <c r="C3325" s="50"/>
      <c r="D3325" s="15"/>
    </row>
    <row r="3326" spans="2:4" x14ac:dyDescent="0.25">
      <c r="B3326" s="68"/>
      <c r="C3326" s="50"/>
      <c r="D3326" s="15"/>
    </row>
    <row r="3327" spans="2:4" x14ac:dyDescent="0.25">
      <c r="B3327" s="68"/>
      <c r="C3327" s="50"/>
      <c r="D3327" s="15"/>
    </row>
    <row r="3328" spans="2:4" x14ac:dyDescent="0.25">
      <c r="B3328" s="68"/>
      <c r="C3328" s="50"/>
      <c r="D3328" s="15"/>
    </row>
    <row r="3329" spans="2:4" x14ac:dyDescent="0.25">
      <c r="B3329" s="68"/>
      <c r="C3329" s="50"/>
      <c r="D3329" s="15"/>
    </row>
    <row r="3330" spans="2:4" x14ac:dyDescent="0.25">
      <c r="B3330" s="68"/>
      <c r="C3330" s="50"/>
      <c r="D3330" s="15"/>
    </row>
    <row r="3331" spans="2:4" x14ac:dyDescent="0.25">
      <c r="B3331" s="68"/>
      <c r="C3331" s="50"/>
      <c r="D3331" s="15"/>
    </row>
    <row r="3332" spans="2:4" x14ac:dyDescent="0.25">
      <c r="B3332" s="68"/>
      <c r="C3332" s="50"/>
      <c r="D3332" s="15"/>
    </row>
    <row r="3333" spans="2:4" x14ac:dyDescent="0.25">
      <c r="B3333" s="68"/>
      <c r="C3333" s="50"/>
      <c r="D3333" s="15"/>
    </row>
    <row r="3334" spans="2:4" x14ac:dyDescent="0.25">
      <c r="B3334" s="68"/>
      <c r="C3334" s="50"/>
      <c r="D3334" s="15"/>
    </row>
    <row r="3335" spans="2:4" x14ac:dyDescent="0.25">
      <c r="B3335" s="68"/>
      <c r="C3335" s="50"/>
      <c r="D3335" s="15"/>
    </row>
    <row r="3336" spans="2:4" x14ac:dyDescent="0.25">
      <c r="B3336" s="68"/>
      <c r="C3336" s="50"/>
      <c r="D3336" s="15"/>
    </row>
    <row r="3337" spans="2:4" x14ac:dyDescent="0.25">
      <c r="B3337" s="68"/>
      <c r="C3337" s="50"/>
      <c r="D3337" s="15"/>
    </row>
    <row r="3338" spans="2:4" x14ac:dyDescent="0.25">
      <c r="B3338" s="68"/>
      <c r="C3338" s="50"/>
      <c r="D3338" s="15"/>
    </row>
    <row r="3339" spans="2:4" x14ac:dyDescent="0.25">
      <c r="B3339" s="68"/>
      <c r="C3339" s="50"/>
      <c r="D3339" s="15"/>
    </row>
    <row r="3340" spans="2:4" x14ac:dyDescent="0.25">
      <c r="B3340" s="68"/>
      <c r="C3340" s="50"/>
      <c r="D3340" s="15"/>
    </row>
    <row r="3341" spans="2:4" x14ac:dyDescent="0.25">
      <c r="B3341" s="68"/>
      <c r="C3341" s="50"/>
      <c r="D3341" s="15"/>
    </row>
    <row r="3342" spans="2:4" x14ac:dyDescent="0.25">
      <c r="B3342" s="68"/>
      <c r="C3342" s="50"/>
      <c r="D3342" s="15"/>
    </row>
    <row r="3343" spans="2:4" x14ac:dyDescent="0.25">
      <c r="B3343" s="68"/>
      <c r="C3343" s="50"/>
      <c r="D3343" s="15"/>
    </row>
    <row r="3344" spans="2:4" x14ac:dyDescent="0.25">
      <c r="B3344" s="68"/>
      <c r="C3344" s="50"/>
      <c r="D3344" s="15"/>
    </row>
    <row r="3345" spans="2:4" x14ac:dyDescent="0.25">
      <c r="B3345" s="68"/>
      <c r="C3345" s="50"/>
      <c r="D3345" s="15"/>
    </row>
    <row r="3346" spans="2:4" x14ac:dyDescent="0.25">
      <c r="B3346" s="68"/>
      <c r="C3346" s="50"/>
      <c r="D3346" s="15"/>
    </row>
    <row r="3347" spans="2:4" x14ac:dyDescent="0.25">
      <c r="B3347" s="68"/>
      <c r="C3347" s="50"/>
      <c r="D3347" s="15"/>
    </row>
    <row r="3348" spans="2:4" x14ac:dyDescent="0.25">
      <c r="B3348" s="68"/>
      <c r="C3348" s="50"/>
      <c r="D3348" s="15"/>
    </row>
    <row r="3349" spans="2:4" x14ac:dyDescent="0.25">
      <c r="B3349" s="68"/>
      <c r="C3349" s="50"/>
      <c r="D3349" s="15"/>
    </row>
    <row r="3350" spans="2:4" x14ac:dyDescent="0.25">
      <c r="B3350" s="68"/>
      <c r="C3350" s="50"/>
      <c r="D3350" s="15"/>
    </row>
    <row r="3351" spans="2:4" x14ac:dyDescent="0.25">
      <c r="B3351" s="68"/>
      <c r="C3351" s="50"/>
      <c r="D3351" s="15"/>
    </row>
    <row r="3352" spans="2:4" x14ac:dyDescent="0.25">
      <c r="B3352" s="68"/>
      <c r="C3352" s="50"/>
      <c r="D3352" s="15"/>
    </row>
    <row r="3353" spans="2:4" x14ac:dyDescent="0.25">
      <c r="B3353" s="68"/>
      <c r="C3353" s="50"/>
      <c r="D3353" s="15"/>
    </row>
    <row r="3354" spans="2:4" x14ac:dyDescent="0.25">
      <c r="B3354" s="68"/>
      <c r="C3354" s="50"/>
      <c r="D3354" s="15"/>
    </row>
    <row r="3355" spans="2:4" x14ac:dyDescent="0.25">
      <c r="B3355" s="68"/>
      <c r="C3355" s="50"/>
      <c r="D3355" s="15"/>
    </row>
    <row r="3356" spans="2:4" x14ac:dyDescent="0.25">
      <c r="B3356" s="68"/>
      <c r="C3356" s="50"/>
      <c r="D3356" s="15"/>
    </row>
    <row r="3357" spans="2:4" x14ac:dyDescent="0.25">
      <c r="B3357" s="68"/>
      <c r="C3357" s="50"/>
      <c r="D3357" s="15"/>
    </row>
    <row r="3358" spans="2:4" x14ac:dyDescent="0.25">
      <c r="B3358" s="68"/>
      <c r="C3358" s="50"/>
      <c r="D3358" s="15"/>
    </row>
    <row r="3359" spans="2:4" x14ac:dyDescent="0.25">
      <c r="B3359" s="68"/>
      <c r="C3359" s="50"/>
      <c r="D3359" s="15"/>
    </row>
    <row r="3360" spans="2:4" x14ac:dyDescent="0.25">
      <c r="B3360" s="68"/>
      <c r="C3360" s="50"/>
      <c r="D3360" s="15"/>
    </row>
    <row r="3361" spans="2:4" x14ac:dyDescent="0.25">
      <c r="B3361" s="68"/>
      <c r="C3361" s="50"/>
      <c r="D3361" s="15"/>
    </row>
    <row r="3362" spans="2:4" x14ac:dyDescent="0.25">
      <c r="B3362" s="68"/>
      <c r="C3362" s="50"/>
      <c r="D3362" s="15"/>
    </row>
    <row r="3363" spans="2:4" x14ac:dyDescent="0.25">
      <c r="B3363" s="68"/>
      <c r="C3363" s="50"/>
      <c r="D3363" s="15"/>
    </row>
    <row r="3364" spans="2:4" x14ac:dyDescent="0.25">
      <c r="B3364" s="68"/>
      <c r="C3364" s="50"/>
      <c r="D3364" s="15"/>
    </row>
    <row r="3365" spans="2:4" x14ac:dyDescent="0.25">
      <c r="B3365" s="68"/>
      <c r="C3365" s="50"/>
      <c r="D3365" s="15"/>
    </row>
    <row r="3366" spans="2:4" x14ac:dyDescent="0.25">
      <c r="B3366" s="68"/>
      <c r="C3366" s="50"/>
      <c r="D3366" s="15"/>
    </row>
    <row r="3367" spans="2:4" x14ac:dyDescent="0.25">
      <c r="B3367" s="68"/>
      <c r="C3367" s="50"/>
      <c r="D3367" s="15"/>
    </row>
    <row r="3368" spans="2:4" x14ac:dyDescent="0.25">
      <c r="B3368" s="68"/>
      <c r="C3368" s="50"/>
      <c r="D3368" s="15"/>
    </row>
    <row r="3369" spans="2:4" x14ac:dyDescent="0.25">
      <c r="B3369" s="68"/>
      <c r="C3369" s="50"/>
      <c r="D3369" s="15"/>
    </row>
    <row r="3370" spans="2:4" x14ac:dyDescent="0.25">
      <c r="B3370" s="68"/>
      <c r="C3370" s="50"/>
      <c r="D3370" s="15"/>
    </row>
    <row r="3371" spans="2:4" x14ac:dyDescent="0.25">
      <c r="B3371" s="68"/>
      <c r="C3371" s="50"/>
      <c r="D3371" s="15"/>
    </row>
    <row r="3372" spans="2:4" x14ac:dyDescent="0.25">
      <c r="B3372" s="68"/>
      <c r="C3372" s="50"/>
      <c r="D3372" s="15"/>
    </row>
    <row r="3373" spans="2:4" x14ac:dyDescent="0.25">
      <c r="B3373" s="68"/>
      <c r="C3373" s="50"/>
      <c r="D3373" s="15"/>
    </row>
    <row r="3374" spans="2:4" x14ac:dyDescent="0.25">
      <c r="B3374" s="68"/>
      <c r="C3374" s="50"/>
      <c r="D3374" s="15"/>
    </row>
    <row r="3375" spans="2:4" x14ac:dyDescent="0.25">
      <c r="B3375" s="68"/>
      <c r="C3375" s="50"/>
      <c r="D3375" s="15"/>
    </row>
    <row r="3376" spans="2:4" x14ac:dyDescent="0.25">
      <c r="B3376" s="68"/>
      <c r="C3376" s="50"/>
      <c r="D3376" s="15"/>
    </row>
    <row r="3377" spans="2:4" x14ac:dyDescent="0.25">
      <c r="B3377" s="68"/>
      <c r="C3377" s="50"/>
      <c r="D3377" s="15"/>
    </row>
    <row r="3378" spans="2:4" x14ac:dyDescent="0.25">
      <c r="B3378" s="68"/>
      <c r="C3378" s="50"/>
      <c r="D3378" s="15"/>
    </row>
    <row r="3379" spans="2:4" x14ac:dyDescent="0.25">
      <c r="B3379" s="68"/>
      <c r="C3379" s="50"/>
      <c r="D3379" s="15"/>
    </row>
    <row r="3380" spans="2:4" x14ac:dyDescent="0.25">
      <c r="B3380" s="68"/>
      <c r="C3380" s="50"/>
      <c r="D3380" s="15"/>
    </row>
    <row r="3381" spans="2:4" x14ac:dyDescent="0.25">
      <c r="B3381" s="68"/>
      <c r="C3381" s="50"/>
      <c r="D3381" s="15"/>
    </row>
    <row r="3382" spans="2:4" x14ac:dyDescent="0.25">
      <c r="B3382" s="68"/>
      <c r="C3382" s="50"/>
      <c r="D3382" s="15"/>
    </row>
    <row r="3383" spans="2:4" x14ac:dyDescent="0.25">
      <c r="B3383" s="68"/>
      <c r="C3383" s="50"/>
      <c r="D3383" s="15"/>
    </row>
    <row r="3384" spans="2:4" x14ac:dyDescent="0.25">
      <c r="B3384" s="68"/>
      <c r="C3384" s="50"/>
      <c r="D3384" s="15"/>
    </row>
    <row r="3385" spans="2:4" x14ac:dyDescent="0.25">
      <c r="B3385" s="68"/>
      <c r="C3385" s="50"/>
      <c r="D3385" s="15"/>
    </row>
    <row r="3386" spans="2:4" x14ac:dyDescent="0.25">
      <c r="B3386" s="68"/>
      <c r="C3386" s="50"/>
      <c r="D3386" s="15"/>
    </row>
    <row r="3387" spans="2:4" x14ac:dyDescent="0.25">
      <c r="B3387" s="68"/>
      <c r="C3387" s="50"/>
      <c r="D3387" s="15"/>
    </row>
    <row r="3388" spans="2:4" x14ac:dyDescent="0.25">
      <c r="B3388" s="68"/>
      <c r="C3388" s="50"/>
      <c r="D3388" s="15"/>
    </row>
    <row r="3389" spans="2:4" x14ac:dyDescent="0.25">
      <c r="B3389" s="68"/>
      <c r="C3389" s="50"/>
      <c r="D3389" s="15"/>
    </row>
    <row r="3390" spans="2:4" x14ac:dyDescent="0.25">
      <c r="B3390" s="68"/>
      <c r="C3390" s="50"/>
      <c r="D3390" s="15"/>
    </row>
    <row r="3391" spans="2:4" x14ac:dyDescent="0.25">
      <c r="B3391" s="68"/>
      <c r="C3391" s="50"/>
      <c r="D3391" s="15"/>
    </row>
    <row r="3392" spans="2:4" x14ac:dyDescent="0.25">
      <c r="B3392" s="68"/>
      <c r="C3392" s="50"/>
      <c r="D3392" s="15"/>
    </row>
    <row r="3393" spans="2:4" x14ac:dyDescent="0.25">
      <c r="B3393" s="68"/>
      <c r="C3393" s="50"/>
      <c r="D3393" s="15"/>
    </row>
    <row r="3394" spans="2:4" x14ac:dyDescent="0.25">
      <c r="B3394" s="68"/>
      <c r="C3394" s="50"/>
      <c r="D3394" s="15"/>
    </row>
    <row r="3395" spans="2:4" x14ac:dyDescent="0.25">
      <c r="B3395" s="68"/>
      <c r="C3395" s="50"/>
      <c r="D3395" s="15"/>
    </row>
    <row r="3396" spans="2:4" x14ac:dyDescent="0.25">
      <c r="B3396" s="68"/>
      <c r="C3396" s="50"/>
      <c r="D3396" s="15"/>
    </row>
    <row r="3397" spans="2:4" x14ac:dyDescent="0.25">
      <c r="B3397" s="68"/>
      <c r="C3397" s="50"/>
      <c r="D3397" s="15"/>
    </row>
    <row r="3398" spans="2:4" x14ac:dyDescent="0.25">
      <c r="B3398" s="68"/>
      <c r="C3398" s="50"/>
      <c r="D3398" s="15"/>
    </row>
    <row r="3399" spans="2:4" x14ac:dyDescent="0.25">
      <c r="B3399" s="68"/>
      <c r="C3399" s="50"/>
      <c r="D3399" s="15"/>
    </row>
    <row r="3400" spans="2:4" x14ac:dyDescent="0.25">
      <c r="B3400" s="68"/>
      <c r="C3400" s="50"/>
      <c r="D3400" s="15"/>
    </row>
    <row r="3401" spans="2:4" x14ac:dyDescent="0.25">
      <c r="B3401" s="68"/>
      <c r="C3401" s="50"/>
      <c r="D3401" s="15"/>
    </row>
    <row r="3402" spans="2:4" x14ac:dyDescent="0.25">
      <c r="B3402" s="68"/>
      <c r="C3402" s="50"/>
      <c r="D3402" s="15"/>
    </row>
    <row r="3403" spans="2:4" x14ac:dyDescent="0.25">
      <c r="B3403" s="68"/>
      <c r="C3403" s="50"/>
      <c r="D3403" s="15"/>
    </row>
    <row r="3404" spans="2:4" x14ac:dyDescent="0.25">
      <c r="B3404" s="68"/>
      <c r="C3404" s="50"/>
      <c r="D3404" s="15"/>
    </row>
    <row r="3405" spans="2:4" x14ac:dyDescent="0.25">
      <c r="B3405" s="68"/>
      <c r="C3405" s="50"/>
      <c r="D3405" s="15"/>
    </row>
    <row r="3406" spans="2:4" x14ac:dyDescent="0.25">
      <c r="B3406" s="68"/>
      <c r="C3406" s="50"/>
      <c r="D3406" s="15"/>
    </row>
    <row r="3407" spans="2:4" x14ac:dyDescent="0.25">
      <c r="B3407" s="68"/>
      <c r="C3407" s="50"/>
      <c r="D3407" s="15"/>
    </row>
    <row r="3408" spans="2:4" x14ac:dyDescent="0.25">
      <c r="B3408" s="68"/>
      <c r="C3408" s="50"/>
      <c r="D3408" s="15"/>
    </row>
    <row r="3409" spans="2:4" x14ac:dyDescent="0.25">
      <c r="B3409" s="68"/>
      <c r="C3409" s="50"/>
      <c r="D3409" s="15"/>
    </row>
    <row r="3410" spans="2:4" x14ac:dyDescent="0.25">
      <c r="B3410" s="68"/>
      <c r="C3410" s="50"/>
      <c r="D3410" s="15"/>
    </row>
    <row r="3411" spans="2:4" x14ac:dyDescent="0.25">
      <c r="B3411" s="68"/>
      <c r="C3411" s="50"/>
      <c r="D3411" s="15"/>
    </row>
    <row r="3412" spans="2:4" x14ac:dyDescent="0.25">
      <c r="B3412" s="68"/>
      <c r="C3412" s="50"/>
      <c r="D3412" s="15"/>
    </row>
    <row r="3413" spans="2:4" x14ac:dyDescent="0.25">
      <c r="B3413" s="68"/>
      <c r="C3413" s="50"/>
      <c r="D3413" s="15"/>
    </row>
    <row r="3414" spans="2:4" x14ac:dyDescent="0.25">
      <c r="B3414" s="68"/>
      <c r="C3414" s="50"/>
      <c r="D3414" s="15"/>
    </row>
    <row r="3415" spans="2:4" x14ac:dyDescent="0.25">
      <c r="B3415" s="68"/>
      <c r="C3415" s="50"/>
      <c r="D3415" s="15"/>
    </row>
    <row r="3416" spans="2:4" x14ac:dyDescent="0.25">
      <c r="B3416" s="68"/>
      <c r="C3416" s="50"/>
      <c r="D3416" s="15"/>
    </row>
    <row r="3417" spans="2:4" x14ac:dyDescent="0.25">
      <c r="B3417" s="68"/>
      <c r="C3417" s="50"/>
      <c r="D3417" s="15"/>
    </row>
    <row r="3418" spans="2:4" x14ac:dyDescent="0.25">
      <c r="B3418" s="68"/>
      <c r="C3418" s="50"/>
      <c r="D3418" s="15"/>
    </row>
    <row r="3419" spans="2:4" x14ac:dyDescent="0.25">
      <c r="B3419" s="68"/>
      <c r="C3419" s="50"/>
      <c r="D3419" s="15"/>
    </row>
    <row r="3420" spans="2:4" x14ac:dyDescent="0.25">
      <c r="B3420" s="68"/>
      <c r="C3420" s="50"/>
      <c r="D3420" s="15"/>
    </row>
    <row r="3421" spans="2:4" x14ac:dyDescent="0.25">
      <c r="B3421" s="68"/>
      <c r="C3421" s="50"/>
      <c r="D3421" s="15"/>
    </row>
    <row r="3422" spans="2:4" x14ac:dyDescent="0.25">
      <c r="B3422" s="68"/>
      <c r="C3422" s="50"/>
      <c r="D3422" s="15"/>
    </row>
    <row r="3423" spans="2:4" x14ac:dyDescent="0.25">
      <c r="B3423" s="68"/>
      <c r="C3423" s="50"/>
      <c r="D3423" s="15"/>
    </row>
    <row r="3424" spans="2:4" x14ac:dyDescent="0.25">
      <c r="B3424" s="68"/>
      <c r="C3424" s="50"/>
      <c r="D3424" s="15"/>
    </row>
    <row r="3425" spans="2:4" x14ac:dyDescent="0.25">
      <c r="B3425" s="68"/>
      <c r="C3425" s="50"/>
      <c r="D3425" s="15"/>
    </row>
    <row r="3426" spans="2:4" x14ac:dyDescent="0.25">
      <c r="B3426" s="68"/>
      <c r="C3426" s="50"/>
      <c r="D3426" s="15"/>
    </row>
    <row r="3427" spans="2:4" x14ac:dyDescent="0.25">
      <c r="B3427" s="68"/>
      <c r="C3427" s="50"/>
      <c r="D3427" s="15"/>
    </row>
    <row r="3428" spans="2:4" x14ac:dyDescent="0.25">
      <c r="B3428" s="68"/>
      <c r="C3428" s="50"/>
      <c r="D3428" s="15"/>
    </row>
    <row r="3429" spans="2:4" x14ac:dyDescent="0.25">
      <c r="B3429" s="68"/>
      <c r="C3429" s="50"/>
      <c r="D3429" s="15"/>
    </row>
    <row r="3430" spans="2:4" x14ac:dyDescent="0.25">
      <c r="B3430" s="68"/>
      <c r="C3430" s="50"/>
      <c r="D3430" s="15"/>
    </row>
    <row r="3431" spans="2:4" x14ac:dyDescent="0.25">
      <c r="B3431" s="68"/>
      <c r="C3431" s="50"/>
      <c r="D3431" s="15"/>
    </row>
    <row r="3432" spans="2:4" x14ac:dyDescent="0.25">
      <c r="B3432" s="68"/>
      <c r="C3432" s="50"/>
      <c r="D3432" s="15"/>
    </row>
    <row r="3433" spans="2:4" x14ac:dyDescent="0.25">
      <c r="B3433" s="68"/>
      <c r="C3433" s="50"/>
      <c r="D3433" s="15"/>
    </row>
    <row r="3434" spans="2:4" x14ac:dyDescent="0.25">
      <c r="B3434" s="68"/>
      <c r="C3434" s="50"/>
      <c r="D3434" s="15"/>
    </row>
    <row r="3435" spans="2:4" x14ac:dyDescent="0.25">
      <c r="B3435" s="68"/>
      <c r="C3435" s="50"/>
      <c r="D3435" s="15"/>
    </row>
    <row r="3436" spans="2:4" x14ac:dyDescent="0.25">
      <c r="B3436" s="68"/>
      <c r="C3436" s="50"/>
      <c r="D3436" s="15"/>
    </row>
    <row r="3437" spans="2:4" x14ac:dyDescent="0.25">
      <c r="B3437" s="68"/>
      <c r="C3437" s="50"/>
      <c r="D3437" s="15"/>
    </row>
    <row r="3438" spans="2:4" x14ac:dyDescent="0.25">
      <c r="B3438" s="68"/>
      <c r="C3438" s="50"/>
      <c r="D3438" s="15"/>
    </row>
    <row r="3439" spans="2:4" x14ac:dyDescent="0.25">
      <c r="B3439" s="68"/>
      <c r="C3439" s="50"/>
      <c r="D3439" s="15"/>
    </row>
    <row r="3440" spans="2:4" x14ac:dyDescent="0.25">
      <c r="B3440" s="68"/>
      <c r="C3440" s="50"/>
      <c r="D3440" s="15"/>
    </row>
    <row r="3441" spans="2:4" x14ac:dyDescent="0.25">
      <c r="B3441" s="68"/>
      <c r="C3441" s="50"/>
      <c r="D3441" s="15"/>
    </row>
    <row r="3442" spans="2:4" x14ac:dyDescent="0.25">
      <c r="B3442" s="68"/>
      <c r="C3442" s="50"/>
      <c r="D3442" s="15"/>
    </row>
    <row r="3443" spans="2:4" x14ac:dyDescent="0.25">
      <c r="B3443" s="68"/>
      <c r="C3443" s="50"/>
      <c r="D3443" s="15"/>
    </row>
    <row r="3444" spans="2:4" x14ac:dyDescent="0.25">
      <c r="B3444" s="68"/>
      <c r="C3444" s="50"/>
      <c r="D3444" s="15"/>
    </row>
    <row r="3445" spans="2:4" x14ac:dyDescent="0.25">
      <c r="B3445" s="68"/>
      <c r="C3445" s="50"/>
      <c r="D3445" s="15"/>
    </row>
    <row r="3446" spans="2:4" x14ac:dyDescent="0.25">
      <c r="B3446" s="68"/>
      <c r="C3446" s="50"/>
      <c r="D3446" s="15"/>
    </row>
    <row r="3447" spans="2:4" x14ac:dyDescent="0.25">
      <c r="B3447" s="68"/>
      <c r="C3447" s="50"/>
      <c r="D3447" s="15"/>
    </row>
    <row r="3448" spans="2:4" x14ac:dyDescent="0.25">
      <c r="B3448" s="68"/>
      <c r="C3448" s="50"/>
      <c r="D3448" s="15"/>
    </row>
    <row r="3449" spans="2:4" x14ac:dyDescent="0.25">
      <c r="B3449" s="68"/>
      <c r="C3449" s="50"/>
      <c r="D3449" s="15"/>
    </row>
    <row r="3450" spans="2:4" x14ac:dyDescent="0.25">
      <c r="B3450" s="68"/>
      <c r="C3450" s="50"/>
      <c r="D3450" s="15"/>
    </row>
    <row r="3451" spans="2:4" x14ac:dyDescent="0.25">
      <c r="B3451" s="68"/>
      <c r="C3451" s="50"/>
      <c r="D3451" s="15"/>
    </row>
    <row r="3452" spans="2:4" x14ac:dyDescent="0.25">
      <c r="B3452" s="68"/>
      <c r="C3452" s="50"/>
      <c r="D3452" s="15"/>
    </row>
    <row r="3453" spans="2:4" x14ac:dyDescent="0.25">
      <c r="B3453" s="68"/>
      <c r="C3453" s="50"/>
      <c r="D3453" s="15"/>
    </row>
    <row r="3454" spans="2:4" x14ac:dyDescent="0.25">
      <c r="B3454" s="68"/>
      <c r="C3454" s="50"/>
      <c r="D3454" s="15"/>
    </row>
    <row r="3455" spans="2:4" x14ac:dyDescent="0.25">
      <c r="B3455" s="68"/>
      <c r="C3455" s="50"/>
      <c r="D3455" s="15"/>
    </row>
    <row r="3456" spans="2:4" x14ac:dyDescent="0.25">
      <c r="B3456" s="68"/>
      <c r="C3456" s="50"/>
      <c r="D3456" s="15"/>
    </row>
    <row r="3457" spans="2:4" x14ac:dyDescent="0.25">
      <c r="B3457" s="68"/>
      <c r="C3457" s="50"/>
      <c r="D3457" s="15"/>
    </row>
    <row r="3458" spans="2:4" x14ac:dyDescent="0.25">
      <c r="B3458" s="68"/>
      <c r="C3458" s="50"/>
      <c r="D3458" s="15"/>
    </row>
    <row r="3459" spans="2:4" x14ac:dyDescent="0.25">
      <c r="B3459" s="68"/>
      <c r="C3459" s="50"/>
      <c r="D3459" s="15"/>
    </row>
    <row r="3460" spans="2:4" x14ac:dyDescent="0.25">
      <c r="B3460" s="68"/>
      <c r="C3460" s="50"/>
      <c r="D3460" s="15"/>
    </row>
    <row r="3461" spans="2:4" x14ac:dyDescent="0.25">
      <c r="B3461" s="68"/>
      <c r="C3461" s="50"/>
      <c r="D3461" s="15"/>
    </row>
    <row r="3462" spans="2:4" x14ac:dyDescent="0.25">
      <c r="B3462" s="68"/>
      <c r="C3462" s="50"/>
      <c r="D3462" s="15"/>
    </row>
    <row r="3463" spans="2:4" x14ac:dyDescent="0.25">
      <c r="B3463" s="68"/>
      <c r="C3463" s="50"/>
      <c r="D3463" s="15"/>
    </row>
    <row r="3464" spans="2:4" x14ac:dyDescent="0.25">
      <c r="B3464" s="68"/>
      <c r="C3464" s="50"/>
      <c r="D3464" s="15"/>
    </row>
    <row r="3465" spans="2:4" x14ac:dyDescent="0.25">
      <c r="B3465" s="68"/>
      <c r="C3465" s="50"/>
      <c r="D3465" s="15"/>
    </row>
    <row r="3466" spans="2:4" x14ac:dyDescent="0.25">
      <c r="B3466" s="68"/>
      <c r="C3466" s="50"/>
      <c r="D3466" s="15"/>
    </row>
    <row r="3467" spans="2:4" x14ac:dyDescent="0.25">
      <c r="B3467" s="68"/>
      <c r="C3467" s="50"/>
      <c r="D3467" s="15"/>
    </row>
    <row r="3468" spans="2:4" x14ac:dyDescent="0.25">
      <c r="B3468" s="68"/>
      <c r="C3468" s="50"/>
      <c r="D3468" s="15"/>
    </row>
    <row r="3469" spans="2:4" x14ac:dyDescent="0.25">
      <c r="B3469" s="68"/>
      <c r="C3469" s="50"/>
      <c r="D3469" s="15"/>
    </row>
    <row r="3470" spans="2:4" x14ac:dyDescent="0.25">
      <c r="B3470" s="68"/>
      <c r="C3470" s="50"/>
      <c r="D3470" s="15"/>
    </row>
    <row r="3471" spans="2:4" x14ac:dyDescent="0.25">
      <c r="B3471" s="68"/>
      <c r="C3471" s="50"/>
      <c r="D3471" s="15"/>
    </row>
    <row r="3472" spans="2:4" x14ac:dyDescent="0.25">
      <c r="B3472" s="68"/>
      <c r="C3472" s="50"/>
      <c r="D3472" s="15"/>
    </row>
    <row r="3473" spans="2:4" x14ac:dyDescent="0.25">
      <c r="B3473" s="68"/>
      <c r="C3473" s="50"/>
      <c r="D3473" s="15"/>
    </row>
    <row r="3474" spans="2:4" x14ac:dyDescent="0.25">
      <c r="B3474" s="68"/>
      <c r="C3474" s="50"/>
      <c r="D3474" s="15"/>
    </row>
    <row r="3475" spans="2:4" x14ac:dyDescent="0.25">
      <c r="B3475" s="68"/>
      <c r="C3475" s="50"/>
      <c r="D3475" s="15"/>
    </row>
    <row r="3476" spans="2:4" x14ac:dyDescent="0.25">
      <c r="B3476" s="68"/>
      <c r="C3476" s="50"/>
      <c r="D3476" s="15"/>
    </row>
    <row r="3477" spans="2:4" x14ac:dyDescent="0.25">
      <c r="B3477" s="68"/>
      <c r="C3477" s="50"/>
      <c r="D3477" s="15"/>
    </row>
    <row r="3478" spans="2:4" x14ac:dyDescent="0.25">
      <c r="B3478" s="68"/>
      <c r="C3478" s="50"/>
      <c r="D3478" s="15"/>
    </row>
    <row r="3479" spans="2:4" x14ac:dyDescent="0.25">
      <c r="B3479" s="68"/>
      <c r="C3479" s="50"/>
      <c r="D3479" s="15"/>
    </row>
    <row r="3480" spans="2:4" x14ac:dyDescent="0.25">
      <c r="B3480" s="68"/>
      <c r="C3480" s="50"/>
      <c r="D3480" s="15"/>
    </row>
    <row r="3481" spans="2:4" x14ac:dyDescent="0.25">
      <c r="B3481" s="68"/>
      <c r="C3481" s="50"/>
      <c r="D3481" s="15"/>
    </row>
    <row r="3482" spans="2:4" x14ac:dyDescent="0.25">
      <c r="B3482" s="68"/>
      <c r="C3482" s="50"/>
      <c r="D3482" s="15"/>
    </row>
    <row r="3483" spans="2:4" x14ac:dyDescent="0.25">
      <c r="B3483" s="68"/>
      <c r="C3483" s="50"/>
      <c r="D3483" s="15"/>
    </row>
    <row r="3484" spans="2:4" x14ac:dyDescent="0.25">
      <c r="B3484" s="68"/>
      <c r="C3484" s="50"/>
      <c r="D3484" s="15"/>
    </row>
    <row r="3485" spans="2:4" x14ac:dyDescent="0.25">
      <c r="B3485" s="68"/>
      <c r="C3485" s="50"/>
      <c r="D3485" s="15"/>
    </row>
    <row r="3486" spans="2:4" x14ac:dyDescent="0.25">
      <c r="B3486" s="68"/>
      <c r="C3486" s="50"/>
      <c r="D3486" s="15"/>
    </row>
    <row r="3487" spans="2:4" x14ac:dyDescent="0.25">
      <c r="B3487" s="68"/>
      <c r="C3487" s="50"/>
      <c r="D3487" s="15"/>
    </row>
    <row r="3488" spans="2:4" x14ac:dyDescent="0.25">
      <c r="B3488" s="68"/>
      <c r="C3488" s="50"/>
      <c r="D3488" s="15"/>
    </row>
    <row r="3489" spans="2:4" x14ac:dyDescent="0.25">
      <c r="B3489" s="68"/>
      <c r="C3489" s="50"/>
      <c r="D3489" s="15"/>
    </row>
    <row r="3490" spans="2:4" x14ac:dyDescent="0.25">
      <c r="B3490" s="68"/>
      <c r="C3490" s="50"/>
      <c r="D3490" s="15"/>
    </row>
    <row r="3491" spans="2:4" x14ac:dyDescent="0.25">
      <c r="B3491" s="68"/>
      <c r="C3491" s="50"/>
      <c r="D3491" s="15"/>
    </row>
    <row r="3492" spans="2:4" x14ac:dyDescent="0.25">
      <c r="B3492" s="68"/>
      <c r="C3492" s="50"/>
      <c r="D3492" s="15"/>
    </row>
    <row r="3493" spans="2:4" x14ac:dyDescent="0.25">
      <c r="B3493" s="68"/>
      <c r="C3493" s="50"/>
      <c r="D3493" s="15"/>
    </row>
    <row r="3494" spans="2:4" x14ac:dyDescent="0.25">
      <c r="B3494" s="68"/>
      <c r="C3494" s="50"/>
      <c r="D3494" s="15"/>
    </row>
    <row r="3495" spans="2:4" x14ac:dyDescent="0.25">
      <c r="B3495" s="68"/>
      <c r="C3495" s="50"/>
      <c r="D3495" s="15"/>
    </row>
    <row r="3496" spans="2:4" x14ac:dyDescent="0.25">
      <c r="B3496" s="68"/>
      <c r="C3496" s="50"/>
      <c r="D3496" s="15"/>
    </row>
    <row r="3497" spans="2:4" x14ac:dyDescent="0.25">
      <c r="B3497" s="68"/>
      <c r="C3497" s="50"/>
      <c r="D3497" s="15"/>
    </row>
    <row r="3498" spans="2:4" x14ac:dyDescent="0.25">
      <c r="B3498" s="68"/>
      <c r="C3498" s="50"/>
      <c r="D3498" s="15"/>
    </row>
    <row r="3499" spans="2:4" x14ac:dyDescent="0.25">
      <c r="B3499" s="68"/>
      <c r="C3499" s="50"/>
      <c r="D3499" s="15"/>
    </row>
    <row r="3500" spans="2:4" x14ac:dyDescent="0.25">
      <c r="B3500" s="68"/>
      <c r="C3500" s="50"/>
      <c r="D3500" s="15"/>
    </row>
    <row r="3501" spans="2:4" x14ac:dyDescent="0.25">
      <c r="B3501" s="68"/>
      <c r="C3501" s="50"/>
      <c r="D3501" s="15"/>
    </row>
    <row r="3502" spans="2:4" x14ac:dyDescent="0.25">
      <c r="B3502" s="68"/>
      <c r="C3502" s="50"/>
      <c r="D3502" s="15"/>
    </row>
    <row r="3503" spans="2:4" x14ac:dyDescent="0.25">
      <c r="B3503" s="68"/>
      <c r="C3503" s="50"/>
      <c r="D3503" s="15"/>
    </row>
    <row r="3504" spans="2:4" x14ac:dyDescent="0.25">
      <c r="B3504" s="68"/>
      <c r="C3504" s="50"/>
      <c r="D3504" s="15"/>
    </row>
    <row r="3505" spans="2:4" x14ac:dyDescent="0.25">
      <c r="B3505" s="68"/>
      <c r="C3505" s="50"/>
      <c r="D3505" s="15"/>
    </row>
    <row r="3506" spans="2:4" x14ac:dyDescent="0.25">
      <c r="B3506" s="68"/>
      <c r="C3506" s="50"/>
      <c r="D3506" s="15"/>
    </row>
    <row r="3507" spans="2:4" x14ac:dyDescent="0.25">
      <c r="B3507" s="68"/>
      <c r="C3507" s="50"/>
      <c r="D3507" s="15"/>
    </row>
    <row r="3508" spans="2:4" x14ac:dyDescent="0.25">
      <c r="B3508" s="68"/>
      <c r="C3508" s="50"/>
      <c r="D3508" s="15"/>
    </row>
    <row r="3509" spans="2:4" x14ac:dyDescent="0.25">
      <c r="B3509" s="68"/>
      <c r="C3509" s="50"/>
      <c r="D3509" s="15"/>
    </row>
    <row r="3510" spans="2:4" x14ac:dyDescent="0.25">
      <c r="B3510" s="68"/>
      <c r="C3510" s="50"/>
      <c r="D3510" s="15"/>
    </row>
    <row r="3511" spans="2:4" x14ac:dyDescent="0.25">
      <c r="B3511" s="68"/>
      <c r="C3511" s="50"/>
      <c r="D3511" s="15"/>
    </row>
    <row r="3512" spans="2:4" x14ac:dyDescent="0.25">
      <c r="B3512" s="68"/>
      <c r="C3512" s="50"/>
      <c r="D3512" s="15"/>
    </row>
    <row r="3513" spans="2:4" x14ac:dyDescent="0.25">
      <c r="B3513" s="68"/>
      <c r="C3513" s="50"/>
      <c r="D3513" s="15"/>
    </row>
    <row r="3514" spans="2:4" x14ac:dyDescent="0.25">
      <c r="B3514" s="68"/>
      <c r="C3514" s="50"/>
      <c r="D3514" s="15"/>
    </row>
    <row r="3515" spans="2:4" x14ac:dyDescent="0.25">
      <c r="B3515" s="68"/>
      <c r="C3515" s="50"/>
      <c r="D3515" s="15"/>
    </row>
    <row r="3516" spans="2:4" x14ac:dyDescent="0.25">
      <c r="B3516" s="68"/>
      <c r="C3516" s="50"/>
      <c r="D3516" s="15"/>
    </row>
    <row r="3517" spans="2:4" x14ac:dyDescent="0.25">
      <c r="B3517" s="68"/>
      <c r="C3517" s="50"/>
      <c r="D3517" s="15"/>
    </row>
    <row r="3518" spans="2:4" x14ac:dyDescent="0.25">
      <c r="B3518" s="68"/>
      <c r="C3518" s="50"/>
      <c r="D3518" s="15"/>
    </row>
    <row r="3519" spans="2:4" x14ac:dyDescent="0.25">
      <c r="B3519" s="68"/>
      <c r="C3519" s="50"/>
      <c r="D3519" s="15"/>
    </row>
    <row r="3520" spans="2:4" x14ac:dyDescent="0.25">
      <c r="B3520" s="68"/>
      <c r="C3520" s="50"/>
      <c r="D3520" s="15"/>
    </row>
    <row r="3521" spans="2:4" x14ac:dyDescent="0.25">
      <c r="B3521" s="68"/>
      <c r="C3521" s="50"/>
      <c r="D3521" s="15"/>
    </row>
    <row r="3522" spans="2:4" x14ac:dyDescent="0.25">
      <c r="B3522" s="68"/>
      <c r="C3522" s="50"/>
      <c r="D3522" s="15"/>
    </row>
    <row r="3523" spans="2:4" x14ac:dyDescent="0.25">
      <c r="B3523" s="68"/>
      <c r="C3523" s="50"/>
      <c r="D3523" s="15"/>
    </row>
    <row r="3524" spans="2:4" x14ac:dyDescent="0.25">
      <c r="B3524" s="68"/>
      <c r="C3524" s="50"/>
      <c r="D3524" s="15"/>
    </row>
    <row r="3525" spans="2:4" x14ac:dyDescent="0.25">
      <c r="B3525" s="68"/>
      <c r="C3525" s="50"/>
      <c r="D3525" s="15"/>
    </row>
    <row r="3526" spans="2:4" x14ac:dyDescent="0.25">
      <c r="B3526" s="68"/>
      <c r="C3526" s="50"/>
      <c r="D3526" s="15"/>
    </row>
    <row r="3527" spans="2:4" x14ac:dyDescent="0.25">
      <c r="B3527" s="68"/>
      <c r="C3527" s="50"/>
      <c r="D3527" s="15"/>
    </row>
    <row r="3528" spans="2:4" x14ac:dyDescent="0.25">
      <c r="B3528" s="68"/>
      <c r="C3528" s="50"/>
      <c r="D3528" s="15"/>
    </row>
    <row r="3529" spans="2:4" x14ac:dyDescent="0.25">
      <c r="B3529" s="68"/>
      <c r="C3529" s="50"/>
      <c r="D3529" s="15"/>
    </row>
    <row r="3530" spans="2:4" x14ac:dyDescent="0.25">
      <c r="B3530" s="68"/>
      <c r="C3530" s="50"/>
      <c r="D3530" s="15"/>
    </row>
    <row r="3531" spans="2:4" x14ac:dyDescent="0.25">
      <c r="B3531" s="68"/>
      <c r="C3531" s="50"/>
      <c r="D3531" s="15"/>
    </row>
    <row r="3532" spans="2:4" x14ac:dyDescent="0.25">
      <c r="B3532" s="68"/>
      <c r="C3532" s="50"/>
      <c r="D3532" s="15"/>
    </row>
    <row r="3533" spans="2:4" x14ac:dyDescent="0.25">
      <c r="B3533" s="68"/>
      <c r="C3533" s="50"/>
      <c r="D3533" s="15"/>
    </row>
    <row r="3534" spans="2:4" x14ac:dyDescent="0.25">
      <c r="B3534" s="68"/>
      <c r="C3534" s="50"/>
      <c r="D3534" s="15"/>
    </row>
    <row r="3535" spans="2:4" x14ac:dyDescent="0.25">
      <c r="B3535" s="68"/>
      <c r="C3535" s="50"/>
      <c r="D3535" s="15"/>
    </row>
    <row r="3536" spans="2:4" x14ac:dyDescent="0.25">
      <c r="B3536" s="68"/>
      <c r="C3536" s="50"/>
      <c r="D3536" s="15"/>
    </row>
    <row r="3537" spans="2:4" x14ac:dyDescent="0.25">
      <c r="B3537" s="68"/>
      <c r="C3537" s="50"/>
      <c r="D3537" s="15"/>
    </row>
    <row r="3538" spans="2:4" x14ac:dyDescent="0.25">
      <c r="B3538" s="68"/>
      <c r="C3538" s="50"/>
      <c r="D3538" s="15"/>
    </row>
    <row r="3539" spans="2:4" x14ac:dyDescent="0.25">
      <c r="B3539" s="68"/>
      <c r="C3539" s="50"/>
      <c r="D3539" s="15"/>
    </row>
    <row r="3540" spans="2:4" x14ac:dyDescent="0.25">
      <c r="B3540" s="68"/>
      <c r="C3540" s="50"/>
      <c r="D3540" s="15"/>
    </row>
    <row r="3541" spans="2:4" x14ac:dyDescent="0.25">
      <c r="B3541" s="68"/>
      <c r="C3541" s="50"/>
      <c r="D3541" s="15"/>
    </row>
    <row r="3542" spans="2:4" x14ac:dyDescent="0.25">
      <c r="B3542" s="68"/>
      <c r="C3542" s="50"/>
      <c r="D3542" s="15"/>
    </row>
    <row r="3543" spans="2:4" x14ac:dyDescent="0.25">
      <c r="B3543" s="68"/>
      <c r="C3543" s="50"/>
      <c r="D3543" s="15"/>
    </row>
    <row r="3544" spans="2:4" x14ac:dyDescent="0.25">
      <c r="B3544" s="68"/>
      <c r="C3544" s="50"/>
      <c r="D3544" s="15"/>
    </row>
    <row r="3545" spans="2:4" x14ac:dyDescent="0.25">
      <c r="B3545" s="68"/>
      <c r="C3545" s="50"/>
      <c r="D3545" s="15"/>
    </row>
    <row r="3546" spans="2:4" x14ac:dyDescent="0.25">
      <c r="B3546" s="68"/>
      <c r="C3546" s="50"/>
      <c r="D3546" s="15"/>
    </row>
    <row r="3547" spans="2:4" x14ac:dyDescent="0.25">
      <c r="B3547" s="68"/>
      <c r="C3547" s="50"/>
      <c r="D3547" s="15"/>
    </row>
    <row r="3548" spans="2:4" x14ac:dyDescent="0.25">
      <c r="B3548" s="68"/>
      <c r="C3548" s="50"/>
      <c r="D3548" s="15"/>
    </row>
    <row r="3549" spans="2:4" x14ac:dyDescent="0.25">
      <c r="B3549" s="68"/>
      <c r="C3549" s="50"/>
      <c r="D3549" s="15"/>
    </row>
    <row r="3550" spans="2:4" x14ac:dyDescent="0.25">
      <c r="B3550" s="68"/>
      <c r="C3550" s="50"/>
      <c r="D3550" s="15"/>
    </row>
    <row r="3551" spans="2:4" x14ac:dyDescent="0.25">
      <c r="B3551" s="68"/>
      <c r="C3551" s="50"/>
      <c r="D3551" s="15"/>
    </row>
    <row r="3552" spans="2:4" x14ac:dyDescent="0.25">
      <c r="B3552" s="68"/>
      <c r="C3552" s="50"/>
      <c r="D3552" s="15"/>
    </row>
    <row r="3553" spans="2:4" x14ac:dyDescent="0.25">
      <c r="B3553" s="68"/>
      <c r="C3553" s="50"/>
      <c r="D3553" s="15"/>
    </row>
    <row r="3554" spans="2:4" x14ac:dyDescent="0.25">
      <c r="B3554" s="68"/>
      <c r="C3554" s="50"/>
      <c r="D3554" s="15"/>
    </row>
    <row r="3555" spans="2:4" x14ac:dyDescent="0.25">
      <c r="B3555" s="68"/>
      <c r="C3555" s="50"/>
      <c r="D3555" s="15"/>
    </row>
    <row r="3556" spans="2:4" x14ac:dyDescent="0.25">
      <c r="B3556" s="68"/>
      <c r="C3556" s="50"/>
      <c r="D3556" s="15"/>
    </row>
    <row r="3557" spans="2:4" x14ac:dyDescent="0.25">
      <c r="B3557" s="68"/>
      <c r="C3557" s="50"/>
      <c r="D3557" s="15"/>
    </row>
    <row r="3558" spans="2:4" x14ac:dyDescent="0.25">
      <c r="B3558" s="68"/>
      <c r="C3558" s="50"/>
      <c r="D3558" s="15"/>
    </row>
    <row r="3559" spans="2:4" x14ac:dyDescent="0.25">
      <c r="B3559" s="68"/>
      <c r="C3559" s="50"/>
      <c r="D3559" s="15"/>
    </row>
    <row r="3560" spans="2:4" x14ac:dyDescent="0.25">
      <c r="B3560" s="68"/>
      <c r="C3560" s="50"/>
      <c r="D3560" s="15"/>
    </row>
    <row r="3561" spans="2:4" x14ac:dyDescent="0.25">
      <c r="B3561" s="68"/>
      <c r="C3561" s="50"/>
      <c r="D3561" s="15"/>
    </row>
    <row r="3562" spans="2:4" x14ac:dyDescent="0.25">
      <c r="B3562" s="68"/>
      <c r="C3562" s="50"/>
      <c r="D3562" s="15"/>
    </row>
    <row r="3563" spans="2:4" x14ac:dyDescent="0.25">
      <c r="B3563" s="68"/>
      <c r="C3563" s="50"/>
      <c r="D3563" s="15"/>
    </row>
    <row r="3564" spans="2:4" x14ac:dyDescent="0.25">
      <c r="B3564" s="68"/>
      <c r="C3564" s="50"/>
      <c r="D3564" s="15"/>
    </row>
    <row r="3565" spans="2:4" x14ac:dyDescent="0.25">
      <c r="B3565" s="68"/>
      <c r="C3565" s="50"/>
      <c r="D3565" s="15"/>
    </row>
    <row r="3566" spans="2:4" x14ac:dyDescent="0.25">
      <c r="B3566" s="68"/>
      <c r="C3566" s="50"/>
      <c r="D3566" s="15"/>
    </row>
    <row r="3567" spans="2:4" x14ac:dyDescent="0.25">
      <c r="B3567" s="68"/>
      <c r="C3567" s="50"/>
      <c r="D3567" s="15"/>
    </row>
    <row r="3568" spans="2:4" x14ac:dyDescent="0.25">
      <c r="B3568" s="68"/>
      <c r="C3568" s="50"/>
      <c r="D3568" s="15"/>
    </row>
    <row r="3569" spans="2:4" x14ac:dyDescent="0.25">
      <c r="B3569" s="68"/>
      <c r="C3569" s="50"/>
      <c r="D3569" s="15"/>
    </row>
    <row r="3570" spans="2:4" x14ac:dyDescent="0.25">
      <c r="B3570" s="68"/>
      <c r="C3570" s="50"/>
      <c r="D3570" s="15"/>
    </row>
    <row r="3571" spans="2:4" x14ac:dyDescent="0.25">
      <c r="B3571" s="68"/>
      <c r="C3571" s="50"/>
      <c r="D3571" s="15"/>
    </row>
    <row r="3572" spans="2:4" x14ac:dyDescent="0.25">
      <c r="B3572" s="68"/>
      <c r="C3572" s="50"/>
      <c r="D3572" s="15"/>
    </row>
    <row r="3573" spans="2:4" x14ac:dyDescent="0.25">
      <c r="B3573" s="68"/>
      <c r="C3573" s="50"/>
      <c r="D3573" s="15"/>
    </row>
    <row r="3574" spans="2:4" x14ac:dyDescent="0.25">
      <c r="B3574" s="68"/>
      <c r="C3574" s="50"/>
      <c r="D3574" s="15"/>
    </row>
    <row r="3575" spans="2:4" x14ac:dyDescent="0.25">
      <c r="B3575" s="68"/>
      <c r="C3575" s="50"/>
      <c r="D3575" s="15"/>
    </row>
    <row r="3576" spans="2:4" x14ac:dyDescent="0.25">
      <c r="B3576" s="68"/>
      <c r="C3576" s="50"/>
      <c r="D3576" s="15"/>
    </row>
    <row r="3577" spans="2:4" x14ac:dyDescent="0.25">
      <c r="B3577" s="68"/>
      <c r="C3577" s="50"/>
      <c r="D3577" s="15"/>
    </row>
    <row r="3578" spans="2:4" x14ac:dyDescent="0.25">
      <c r="B3578" s="68"/>
      <c r="C3578" s="50"/>
      <c r="D3578" s="15"/>
    </row>
    <row r="3579" spans="2:4" x14ac:dyDescent="0.25">
      <c r="B3579" s="68"/>
      <c r="C3579" s="50"/>
      <c r="D3579" s="15"/>
    </row>
    <row r="3580" spans="2:4" x14ac:dyDescent="0.25">
      <c r="B3580" s="68"/>
      <c r="C3580" s="50"/>
      <c r="D3580" s="15"/>
    </row>
    <row r="3581" spans="2:4" x14ac:dyDescent="0.25">
      <c r="B3581" s="68"/>
      <c r="C3581" s="50"/>
      <c r="D3581" s="15"/>
    </row>
    <row r="3582" spans="2:4" x14ac:dyDescent="0.25">
      <c r="B3582" s="68"/>
      <c r="C3582" s="50"/>
      <c r="D3582" s="15"/>
    </row>
    <row r="3583" spans="2:4" x14ac:dyDescent="0.25">
      <c r="B3583" s="68"/>
      <c r="C3583" s="50"/>
      <c r="D3583" s="15"/>
    </row>
    <row r="3584" spans="2:4" x14ac:dyDescent="0.25">
      <c r="B3584" s="68"/>
      <c r="C3584" s="50"/>
      <c r="D3584" s="15"/>
    </row>
    <row r="3585" spans="2:4" x14ac:dyDescent="0.25">
      <c r="B3585" s="68"/>
      <c r="C3585" s="50"/>
      <c r="D3585" s="15"/>
    </row>
    <row r="3586" spans="2:4" x14ac:dyDescent="0.25">
      <c r="B3586" s="68"/>
      <c r="C3586" s="50"/>
      <c r="D3586" s="15"/>
    </row>
    <row r="3587" spans="2:4" x14ac:dyDescent="0.25">
      <c r="B3587" s="68"/>
      <c r="C3587" s="50"/>
      <c r="D3587" s="15"/>
    </row>
    <row r="3588" spans="2:4" x14ac:dyDescent="0.25">
      <c r="B3588" s="68"/>
      <c r="C3588" s="50"/>
      <c r="D3588" s="15"/>
    </row>
    <row r="3589" spans="2:4" x14ac:dyDescent="0.25">
      <c r="B3589" s="68"/>
      <c r="C3589" s="50"/>
      <c r="D3589" s="15"/>
    </row>
    <row r="3590" spans="2:4" x14ac:dyDescent="0.25">
      <c r="B3590" s="68"/>
      <c r="C3590" s="50"/>
      <c r="D3590" s="15"/>
    </row>
    <row r="3591" spans="2:4" x14ac:dyDescent="0.25">
      <c r="B3591" s="68"/>
      <c r="C3591" s="50"/>
      <c r="D3591" s="15"/>
    </row>
    <row r="3592" spans="2:4" x14ac:dyDescent="0.25">
      <c r="B3592" s="68"/>
      <c r="C3592" s="50"/>
      <c r="D3592" s="15"/>
    </row>
    <row r="3593" spans="2:4" x14ac:dyDescent="0.25">
      <c r="B3593" s="68"/>
      <c r="C3593" s="50"/>
      <c r="D3593" s="15"/>
    </row>
    <row r="3594" spans="2:4" x14ac:dyDescent="0.25">
      <c r="B3594" s="68"/>
      <c r="C3594" s="50"/>
      <c r="D3594" s="15"/>
    </row>
    <row r="3595" spans="2:4" x14ac:dyDescent="0.25">
      <c r="B3595" s="68"/>
      <c r="C3595" s="50"/>
      <c r="D3595" s="15"/>
    </row>
    <row r="3596" spans="2:4" x14ac:dyDescent="0.25">
      <c r="B3596" s="68"/>
      <c r="C3596" s="50"/>
      <c r="D3596" s="15"/>
    </row>
    <row r="3597" spans="2:4" x14ac:dyDescent="0.25">
      <c r="B3597" s="68"/>
      <c r="C3597" s="50"/>
      <c r="D3597" s="15"/>
    </row>
    <row r="3598" spans="2:4" x14ac:dyDescent="0.25">
      <c r="B3598" s="68"/>
      <c r="C3598" s="50"/>
      <c r="D3598" s="15"/>
    </row>
    <row r="3599" spans="2:4" x14ac:dyDescent="0.25">
      <c r="B3599" s="68"/>
      <c r="C3599" s="50"/>
      <c r="D3599" s="15"/>
    </row>
    <row r="3600" spans="2:4" x14ac:dyDescent="0.25">
      <c r="B3600" s="68"/>
      <c r="C3600" s="50"/>
      <c r="D3600" s="15"/>
    </row>
    <row r="3601" spans="2:4" x14ac:dyDescent="0.25">
      <c r="B3601" s="68"/>
      <c r="C3601" s="50"/>
      <c r="D3601" s="15"/>
    </row>
    <row r="3602" spans="2:4" x14ac:dyDescent="0.25">
      <c r="B3602" s="68"/>
      <c r="C3602" s="50"/>
      <c r="D3602" s="15"/>
    </row>
    <row r="3603" spans="2:4" x14ac:dyDescent="0.25">
      <c r="B3603" s="68"/>
      <c r="C3603" s="50"/>
      <c r="D3603" s="15"/>
    </row>
    <row r="3604" spans="2:4" x14ac:dyDescent="0.25">
      <c r="B3604" s="68"/>
      <c r="C3604" s="50"/>
      <c r="D3604" s="15"/>
    </row>
    <row r="3605" spans="2:4" x14ac:dyDescent="0.25">
      <c r="B3605" s="68"/>
      <c r="C3605" s="50"/>
      <c r="D3605" s="15"/>
    </row>
    <row r="3606" spans="2:4" x14ac:dyDescent="0.25">
      <c r="B3606" s="68"/>
      <c r="C3606" s="50"/>
      <c r="D3606" s="15"/>
    </row>
    <row r="3607" spans="2:4" x14ac:dyDescent="0.25">
      <c r="B3607" s="68"/>
      <c r="C3607" s="50"/>
      <c r="D3607" s="15"/>
    </row>
    <row r="3608" spans="2:4" x14ac:dyDescent="0.25">
      <c r="B3608" s="68"/>
      <c r="C3608" s="50"/>
      <c r="D3608" s="15"/>
    </row>
    <row r="3609" spans="2:4" x14ac:dyDescent="0.25">
      <c r="B3609" s="68"/>
      <c r="C3609" s="50"/>
      <c r="D3609" s="15"/>
    </row>
    <row r="3610" spans="2:4" x14ac:dyDescent="0.25">
      <c r="B3610" s="68"/>
      <c r="C3610" s="50"/>
      <c r="D3610" s="15"/>
    </row>
    <row r="3611" spans="2:4" x14ac:dyDescent="0.25">
      <c r="B3611" s="68"/>
      <c r="C3611" s="50"/>
      <c r="D3611" s="15"/>
    </row>
    <row r="3612" spans="2:4" x14ac:dyDescent="0.25">
      <c r="B3612" s="68"/>
      <c r="C3612" s="50"/>
      <c r="D3612" s="15"/>
    </row>
    <row r="3613" spans="2:4" x14ac:dyDescent="0.25">
      <c r="B3613" s="68"/>
      <c r="C3613" s="50"/>
      <c r="D3613" s="15"/>
    </row>
    <row r="3614" spans="2:4" x14ac:dyDescent="0.25">
      <c r="B3614" s="68"/>
      <c r="C3614" s="50"/>
      <c r="D3614" s="15"/>
    </row>
    <row r="3615" spans="2:4" x14ac:dyDescent="0.25">
      <c r="B3615" s="68"/>
      <c r="C3615" s="50"/>
      <c r="D3615" s="15"/>
    </row>
    <row r="3616" spans="2:4" x14ac:dyDescent="0.25">
      <c r="B3616" s="68"/>
      <c r="C3616" s="50"/>
      <c r="D3616" s="15"/>
    </row>
    <row r="3617" spans="2:4" x14ac:dyDescent="0.25">
      <c r="B3617" s="68"/>
      <c r="C3617" s="50"/>
      <c r="D3617" s="15"/>
    </row>
    <row r="3618" spans="2:4" x14ac:dyDescent="0.25">
      <c r="B3618" s="68"/>
      <c r="C3618" s="50"/>
      <c r="D3618" s="15"/>
    </row>
    <row r="3619" spans="2:4" x14ac:dyDescent="0.25">
      <c r="B3619" s="68"/>
      <c r="C3619" s="50"/>
      <c r="D3619" s="15"/>
    </row>
    <row r="3620" spans="2:4" x14ac:dyDescent="0.25">
      <c r="B3620" s="68"/>
      <c r="C3620" s="50"/>
      <c r="D3620" s="15"/>
    </row>
    <row r="3621" spans="2:4" x14ac:dyDescent="0.25">
      <c r="B3621" s="68"/>
      <c r="C3621" s="50"/>
      <c r="D3621" s="15"/>
    </row>
    <row r="3622" spans="2:4" x14ac:dyDescent="0.25">
      <c r="B3622" s="68"/>
      <c r="C3622" s="50"/>
      <c r="D3622" s="15"/>
    </row>
    <row r="3623" spans="2:4" x14ac:dyDescent="0.25">
      <c r="B3623" s="68"/>
      <c r="C3623" s="50"/>
      <c r="D3623" s="15"/>
    </row>
    <row r="3624" spans="2:4" x14ac:dyDescent="0.25">
      <c r="B3624" s="68"/>
      <c r="C3624" s="50"/>
      <c r="D3624" s="15"/>
    </row>
    <row r="3625" spans="2:4" x14ac:dyDescent="0.25">
      <c r="B3625" s="68"/>
      <c r="C3625" s="50"/>
      <c r="D3625" s="15"/>
    </row>
    <row r="3626" spans="2:4" x14ac:dyDescent="0.25">
      <c r="B3626" s="68"/>
      <c r="C3626" s="50"/>
      <c r="D3626" s="15"/>
    </row>
    <row r="3627" spans="2:4" x14ac:dyDescent="0.25">
      <c r="B3627" s="68"/>
      <c r="C3627" s="50"/>
      <c r="D3627" s="15"/>
    </row>
    <row r="3628" spans="2:4" x14ac:dyDescent="0.25">
      <c r="B3628" s="68"/>
      <c r="C3628" s="50"/>
      <c r="D3628" s="15"/>
    </row>
    <row r="3629" spans="2:4" x14ac:dyDescent="0.25">
      <c r="B3629" s="68"/>
      <c r="C3629" s="50"/>
      <c r="D3629" s="15"/>
    </row>
    <row r="3630" spans="2:4" x14ac:dyDescent="0.25">
      <c r="B3630" s="68"/>
      <c r="C3630" s="50"/>
      <c r="D3630" s="15"/>
    </row>
    <row r="3631" spans="2:4" x14ac:dyDescent="0.25">
      <c r="B3631" s="68"/>
      <c r="C3631" s="50"/>
      <c r="D3631" s="15"/>
    </row>
    <row r="3632" spans="2:4" x14ac:dyDescent="0.25">
      <c r="B3632" s="68"/>
      <c r="C3632" s="50"/>
      <c r="D3632" s="15"/>
    </row>
    <row r="3633" spans="2:4" x14ac:dyDescent="0.25">
      <c r="B3633" s="68"/>
      <c r="C3633" s="50"/>
      <c r="D3633" s="15"/>
    </row>
    <row r="3634" spans="2:4" x14ac:dyDescent="0.25">
      <c r="B3634" s="68"/>
      <c r="C3634" s="50"/>
      <c r="D3634" s="15"/>
    </row>
    <row r="3635" spans="2:4" x14ac:dyDescent="0.25">
      <c r="B3635" s="68"/>
      <c r="C3635" s="50"/>
      <c r="D3635" s="15"/>
    </row>
    <row r="3636" spans="2:4" x14ac:dyDescent="0.25">
      <c r="B3636" s="68"/>
      <c r="C3636" s="50"/>
      <c r="D3636" s="15"/>
    </row>
    <row r="3637" spans="2:4" x14ac:dyDescent="0.25">
      <c r="B3637" s="68"/>
      <c r="C3637" s="50"/>
      <c r="D3637" s="15"/>
    </row>
    <row r="3638" spans="2:4" x14ac:dyDescent="0.25">
      <c r="B3638" s="68"/>
      <c r="C3638" s="50"/>
      <c r="D3638" s="15"/>
    </row>
    <row r="3639" spans="2:4" x14ac:dyDescent="0.25">
      <c r="B3639" s="68"/>
      <c r="C3639" s="50"/>
      <c r="D3639" s="15"/>
    </row>
    <row r="3640" spans="2:4" x14ac:dyDescent="0.25">
      <c r="B3640" s="68"/>
      <c r="C3640" s="50"/>
      <c r="D3640" s="15"/>
    </row>
    <row r="3641" spans="2:4" x14ac:dyDescent="0.25">
      <c r="B3641" s="68"/>
      <c r="C3641" s="50"/>
      <c r="D3641" s="15"/>
    </row>
    <row r="3642" spans="2:4" x14ac:dyDescent="0.25">
      <c r="B3642" s="68"/>
      <c r="C3642" s="50"/>
      <c r="D3642" s="15"/>
    </row>
    <row r="3643" spans="2:4" x14ac:dyDescent="0.25">
      <c r="B3643" s="68"/>
      <c r="C3643" s="50"/>
      <c r="D3643" s="15"/>
    </row>
    <row r="3644" spans="2:4" x14ac:dyDescent="0.25">
      <c r="B3644" s="68"/>
      <c r="C3644" s="50"/>
      <c r="D3644" s="15"/>
    </row>
    <row r="3645" spans="2:4" x14ac:dyDescent="0.25">
      <c r="B3645" s="68"/>
      <c r="C3645" s="50"/>
      <c r="D3645" s="15"/>
    </row>
    <row r="3646" spans="2:4" x14ac:dyDescent="0.25">
      <c r="B3646" s="68"/>
      <c r="C3646" s="50"/>
      <c r="D3646" s="15"/>
    </row>
    <row r="3647" spans="2:4" x14ac:dyDescent="0.25">
      <c r="B3647" s="68"/>
      <c r="C3647" s="50"/>
      <c r="D3647" s="15"/>
    </row>
    <row r="3648" spans="2:4" x14ac:dyDescent="0.25">
      <c r="B3648" s="68"/>
      <c r="C3648" s="50"/>
      <c r="D3648" s="15"/>
    </row>
    <row r="3649" spans="2:4" x14ac:dyDescent="0.25">
      <c r="B3649" s="68"/>
      <c r="C3649" s="50"/>
      <c r="D3649" s="15"/>
    </row>
    <row r="3650" spans="2:4" x14ac:dyDescent="0.25">
      <c r="B3650" s="68"/>
      <c r="C3650" s="50"/>
      <c r="D3650" s="15"/>
    </row>
    <row r="3651" spans="2:4" x14ac:dyDescent="0.25">
      <c r="B3651" s="68"/>
      <c r="C3651" s="50"/>
      <c r="D3651" s="15"/>
    </row>
    <row r="3652" spans="2:4" x14ac:dyDescent="0.25">
      <c r="B3652" s="68"/>
      <c r="C3652" s="50"/>
      <c r="D3652" s="15"/>
    </row>
    <row r="3653" spans="2:4" x14ac:dyDescent="0.25">
      <c r="B3653" s="68"/>
      <c r="C3653" s="50"/>
      <c r="D3653" s="15"/>
    </row>
    <row r="3654" spans="2:4" x14ac:dyDescent="0.25">
      <c r="B3654" s="68"/>
      <c r="C3654" s="50"/>
      <c r="D3654" s="15"/>
    </row>
    <row r="3655" spans="2:4" x14ac:dyDescent="0.25">
      <c r="B3655" s="68"/>
      <c r="C3655" s="50"/>
      <c r="D3655" s="15"/>
    </row>
    <row r="3656" spans="2:4" x14ac:dyDescent="0.25">
      <c r="B3656" s="68"/>
      <c r="C3656" s="50"/>
      <c r="D3656" s="15"/>
    </row>
    <row r="3657" spans="2:4" x14ac:dyDescent="0.25">
      <c r="B3657" s="68"/>
      <c r="C3657" s="50"/>
      <c r="D3657" s="15"/>
    </row>
    <row r="3658" spans="2:4" x14ac:dyDescent="0.25">
      <c r="B3658" s="68"/>
      <c r="C3658" s="50"/>
      <c r="D3658" s="15"/>
    </row>
    <row r="3659" spans="2:4" x14ac:dyDescent="0.25">
      <c r="B3659" s="68"/>
      <c r="C3659" s="50"/>
      <c r="D3659" s="15"/>
    </row>
    <row r="3660" spans="2:4" x14ac:dyDescent="0.25">
      <c r="B3660" s="68"/>
      <c r="C3660" s="50"/>
      <c r="D3660" s="15"/>
    </row>
    <row r="3661" spans="2:4" x14ac:dyDescent="0.25">
      <c r="B3661" s="68"/>
      <c r="C3661" s="50"/>
      <c r="D3661" s="15"/>
    </row>
    <row r="3662" spans="2:4" x14ac:dyDescent="0.25">
      <c r="B3662" s="68"/>
      <c r="C3662" s="50"/>
      <c r="D3662" s="15"/>
    </row>
    <row r="3663" spans="2:4" x14ac:dyDescent="0.25">
      <c r="B3663" s="68"/>
      <c r="C3663" s="50"/>
      <c r="D3663" s="15"/>
    </row>
    <row r="3664" spans="2:4" x14ac:dyDescent="0.25">
      <c r="B3664" s="68"/>
      <c r="C3664" s="50"/>
      <c r="D3664" s="15"/>
    </row>
    <row r="3665" spans="2:4" x14ac:dyDescent="0.25">
      <c r="B3665" s="68"/>
      <c r="C3665" s="50"/>
      <c r="D3665" s="15"/>
    </row>
    <row r="3666" spans="2:4" x14ac:dyDescent="0.25">
      <c r="B3666" s="68"/>
      <c r="C3666" s="50"/>
      <c r="D3666" s="15"/>
    </row>
    <row r="3667" spans="2:4" x14ac:dyDescent="0.25">
      <c r="B3667" s="68"/>
      <c r="C3667" s="50"/>
      <c r="D3667" s="15"/>
    </row>
    <row r="3668" spans="2:4" x14ac:dyDescent="0.25">
      <c r="B3668" s="68"/>
      <c r="C3668" s="50"/>
      <c r="D3668" s="15"/>
    </row>
    <row r="3669" spans="2:4" x14ac:dyDescent="0.25">
      <c r="B3669" s="68"/>
      <c r="C3669" s="50"/>
      <c r="D3669" s="15"/>
    </row>
    <row r="3670" spans="2:4" x14ac:dyDescent="0.25">
      <c r="B3670" s="68"/>
      <c r="C3670" s="50"/>
      <c r="D3670" s="15"/>
    </row>
    <row r="3671" spans="2:4" x14ac:dyDescent="0.25">
      <c r="B3671" s="68"/>
      <c r="C3671" s="50"/>
      <c r="D3671" s="15"/>
    </row>
    <row r="3672" spans="2:4" x14ac:dyDescent="0.25">
      <c r="B3672" s="68"/>
      <c r="C3672" s="50"/>
      <c r="D3672" s="15"/>
    </row>
    <row r="3673" spans="2:4" x14ac:dyDescent="0.25">
      <c r="B3673" s="68"/>
      <c r="C3673" s="50"/>
      <c r="D3673" s="15"/>
    </row>
    <row r="3674" spans="2:4" x14ac:dyDescent="0.25">
      <c r="B3674" s="68"/>
      <c r="C3674" s="50"/>
      <c r="D3674" s="15"/>
    </row>
    <row r="3675" spans="2:4" x14ac:dyDescent="0.25">
      <c r="B3675" s="68"/>
      <c r="C3675" s="50"/>
      <c r="D3675" s="15"/>
    </row>
    <row r="3676" spans="2:4" x14ac:dyDescent="0.25">
      <c r="B3676" s="68"/>
      <c r="C3676" s="50"/>
      <c r="D3676" s="15"/>
    </row>
    <row r="3677" spans="2:4" x14ac:dyDescent="0.25">
      <c r="B3677" s="68"/>
      <c r="C3677" s="50"/>
      <c r="D3677" s="15"/>
    </row>
    <row r="3678" spans="2:4" x14ac:dyDescent="0.25">
      <c r="B3678" s="68"/>
      <c r="C3678" s="50"/>
      <c r="D3678" s="15"/>
    </row>
    <row r="3679" spans="2:4" x14ac:dyDescent="0.25">
      <c r="B3679" s="68"/>
      <c r="C3679" s="50"/>
      <c r="D3679" s="15"/>
    </row>
    <row r="3680" spans="2:4" x14ac:dyDescent="0.25">
      <c r="B3680" s="68"/>
      <c r="C3680" s="50"/>
      <c r="D3680" s="15"/>
    </row>
    <row r="3681" spans="2:4" x14ac:dyDescent="0.25">
      <c r="B3681" s="68"/>
      <c r="C3681" s="50"/>
      <c r="D3681" s="15"/>
    </row>
    <row r="3682" spans="2:4" x14ac:dyDescent="0.25">
      <c r="B3682" s="68"/>
      <c r="C3682" s="50"/>
      <c r="D3682" s="15"/>
    </row>
    <row r="3683" spans="2:4" x14ac:dyDescent="0.25">
      <c r="B3683" s="68"/>
      <c r="C3683" s="50"/>
      <c r="D3683" s="15"/>
    </row>
    <row r="3684" spans="2:4" x14ac:dyDescent="0.25">
      <c r="B3684" s="68"/>
      <c r="C3684" s="50"/>
      <c r="D3684" s="15"/>
    </row>
    <row r="3685" spans="2:4" x14ac:dyDescent="0.25">
      <c r="B3685" s="68"/>
      <c r="C3685" s="50"/>
      <c r="D3685" s="15"/>
    </row>
    <row r="3686" spans="2:4" x14ac:dyDescent="0.25">
      <c r="B3686" s="68"/>
      <c r="C3686" s="50"/>
      <c r="D3686" s="15"/>
    </row>
    <row r="3687" spans="2:4" x14ac:dyDescent="0.25">
      <c r="B3687" s="68"/>
      <c r="C3687" s="50"/>
      <c r="D3687" s="15"/>
    </row>
    <row r="3688" spans="2:4" x14ac:dyDescent="0.25">
      <c r="B3688" s="68"/>
      <c r="C3688" s="50"/>
      <c r="D3688" s="15"/>
    </row>
    <row r="3689" spans="2:4" x14ac:dyDescent="0.25">
      <c r="B3689" s="68"/>
      <c r="C3689" s="50"/>
      <c r="D3689" s="15"/>
    </row>
    <row r="3690" spans="2:4" x14ac:dyDescent="0.25">
      <c r="B3690" s="68"/>
      <c r="C3690" s="50"/>
      <c r="D3690" s="15"/>
    </row>
    <row r="3691" spans="2:4" x14ac:dyDescent="0.25">
      <c r="B3691" s="68"/>
      <c r="C3691" s="50"/>
      <c r="D3691" s="15"/>
    </row>
    <row r="3692" spans="2:4" x14ac:dyDescent="0.25">
      <c r="B3692" s="68"/>
      <c r="C3692" s="50"/>
      <c r="D3692" s="15"/>
    </row>
    <row r="3693" spans="2:4" x14ac:dyDescent="0.25">
      <c r="B3693" s="68"/>
      <c r="C3693" s="50"/>
      <c r="D3693" s="15"/>
    </row>
    <row r="3694" spans="2:4" x14ac:dyDescent="0.25">
      <c r="B3694" s="68"/>
      <c r="C3694" s="50"/>
      <c r="D3694" s="15"/>
    </row>
    <row r="3695" spans="2:4" x14ac:dyDescent="0.25">
      <c r="B3695" s="68"/>
      <c r="C3695" s="50"/>
      <c r="D3695" s="15"/>
    </row>
    <row r="3696" spans="2:4" x14ac:dyDescent="0.25">
      <c r="B3696" s="68"/>
      <c r="C3696" s="50"/>
      <c r="D3696" s="15"/>
    </row>
    <row r="3697" spans="2:4" x14ac:dyDescent="0.25">
      <c r="B3697" s="68"/>
      <c r="C3697" s="50"/>
      <c r="D3697" s="15"/>
    </row>
    <row r="3698" spans="2:4" x14ac:dyDescent="0.25">
      <c r="B3698" s="68"/>
      <c r="C3698" s="50"/>
      <c r="D3698" s="15"/>
    </row>
    <row r="3699" spans="2:4" x14ac:dyDescent="0.25">
      <c r="B3699" s="68"/>
      <c r="C3699" s="50"/>
      <c r="D3699" s="15"/>
    </row>
    <row r="3700" spans="2:4" x14ac:dyDescent="0.25">
      <c r="B3700" s="68"/>
      <c r="C3700" s="50"/>
      <c r="D3700" s="15"/>
    </row>
    <row r="3701" spans="2:4" x14ac:dyDescent="0.25">
      <c r="B3701" s="68"/>
      <c r="C3701" s="50"/>
      <c r="D3701" s="15"/>
    </row>
    <row r="3702" spans="2:4" x14ac:dyDescent="0.25">
      <c r="B3702" s="68"/>
      <c r="C3702" s="50"/>
      <c r="D3702" s="15"/>
    </row>
    <row r="3703" spans="2:4" x14ac:dyDescent="0.25">
      <c r="B3703" s="68"/>
      <c r="C3703" s="50"/>
      <c r="D3703" s="15"/>
    </row>
    <row r="3704" spans="2:4" x14ac:dyDescent="0.25">
      <c r="B3704" s="68"/>
      <c r="C3704" s="50"/>
      <c r="D3704" s="15"/>
    </row>
    <row r="3705" spans="2:4" x14ac:dyDescent="0.25">
      <c r="B3705" s="68"/>
      <c r="C3705" s="50"/>
      <c r="D3705" s="15"/>
    </row>
    <row r="3706" spans="2:4" x14ac:dyDescent="0.25">
      <c r="B3706" s="68"/>
      <c r="C3706" s="50"/>
      <c r="D3706" s="15"/>
    </row>
    <row r="3707" spans="2:4" x14ac:dyDescent="0.25">
      <c r="B3707" s="68"/>
      <c r="C3707" s="50"/>
      <c r="D3707" s="15"/>
    </row>
    <row r="3708" spans="2:4" x14ac:dyDescent="0.25">
      <c r="B3708" s="68"/>
      <c r="C3708" s="50"/>
      <c r="D3708" s="15"/>
    </row>
    <row r="3709" spans="2:4" x14ac:dyDescent="0.25">
      <c r="B3709" s="68"/>
      <c r="C3709" s="50"/>
      <c r="D3709" s="15"/>
    </row>
    <row r="3710" spans="2:4" x14ac:dyDescent="0.25">
      <c r="B3710" s="68"/>
      <c r="C3710" s="50"/>
      <c r="D3710" s="15"/>
    </row>
    <row r="3711" spans="2:4" x14ac:dyDescent="0.25">
      <c r="B3711" s="68"/>
      <c r="C3711" s="50"/>
      <c r="D3711" s="15"/>
    </row>
    <row r="3712" spans="2:4" x14ac:dyDescent="0.25">
      <c r="B3712" s="68"/>
      <c r="C3712" s="50"/>
      <c r="D3712" s="15"/>
    </row>
    <row r="3713" spans="2:4" x14ac:dyDescent="0.25">
      <c r="B3713" s="68"/>
      <c r="C3713" s="50"/>
      <c r="D3713" s="15"/>
    </row>
    <row r="3714" spans="2:4" x14ac:dyDescent="0.25">
      <c r="B3714" s="68"/>
      <c r="C3714" s="50"/>
      <c r="D3714" s="15"/>
    </row>
    <row r="3715" spans="2:4" x14ac:dyDescent="0.25">
      <c r="B3715" s="68"/>
      <c r="C3715" s="50"/>
      <c r="D3715" s="15"/>
    </row>
    <row r="3716" spans="2:4" x14ac:dyDescent="0.25">
      <c r="B3716" s="68"/>
      <c r="C3716" s="50"/>
      <c r="D3716" s="15"/>
    </row>
    <row r="3717" spans="2:4" x14ac:dyDescent="0.25">
      <c r="B3717" s="68"/>
      <c r="C3717" s="50"/>
      <c r="D3717" s="15"/>
    </row>
    <row r="3718" spans="2:4" x14ac:dyDescent="0.25">
      <c r="B3718" s="68"/>
      <c r="C3718" s="50"/>
      <c r="D3718" s="15"/>
    </row>
    <row r="3719" spans="2:4" x14ac:dyDescent="0.25">
      <c r="B3719" s="68"/>
      <c r="C3719" s="50"/>
      <c r="D3719" s="15"/>
    </row>
    <row r="3720" spans="2:4" x14ac:dyDescent="0.25">
      <c r="B3720" s="68"/>
      <c r="C3720" s="50"/>
      <c r="D3720" s="15"/>
    </row>
    <row r="3721" spans="2:4" x14ac:dyDescent="0.25">
      <c r="B3721" s="68"/>
      <c r="C3721" s="50"/>
      <c r="D3721" s="15"/>
    </row>
    <row r="3722" spans="2:4" x14ac:dyDescent="0.25">
      <c r="B3722" s="68"/>
      <c r="C3722" s="50"/>
      <c r="D3722" s="15"/>
    </row>
    <row r="3723" spans="2:4" x14ac:dyDescent="0.25">
      <c r="B3723" s="68"/>
      <c r="C3723" s="50"/>
      <c r="D3723" s="15"/>
    </row>
    <row r="3724" spans="2:4" x14ac:dyDescent="0.25">
      <c r="B3724" s="68"/>
      <c r="C3724" s="50"/>
      <c r="D3724" s="15"/>
    </row>
    <row r="3725" spans="2:4" x14ac:dyDescent="0.25">
      <c r="B3725" s="68"/>
      <c r="C3725" s="50"/>
      <c r="D3725" s="15"/>
    </row>
    <row r="3726" spans="2:4" x14ac:dyDescent="0.25">
      <c r="B3726" s="68"/>
      <c r="C3726" s="50"/>
      <c r="D3726" s="15"/>
    </row>
    <row r="3727" spans="2:4" x14ac:dyDescent="0.25">
      <c r="B3727" s="68"/>
      <c r="C3727" s="50"/>
      <c r="D3727" s="15"/>
    </row>
    <row r="3728" spans="2:4" x14ac:dyDescent="0.25">
      <c r="B3728" s="68"/>
      <c r="C3728" s="50"/>
      <c r="D3728" s="15"/>
    </row>
    <row r="3729" spans="2:4" x14ac:dyDescent="0.25">
      <c r="B3729" s="68"/>
      <c r="C3729" s="50"/>
      <c r="D3729" s="15"/>
    </row>
    <row r="3730" spans="2:4" x14ac:dyDescent="0.25">
      <c r="B3730" s="68"/>
      <c r="C3730" s="50"/>
      <c r="D3730" s="15"/>
    </row>
    <row r="3731" spans="2:4" x14ac:dyDescent="0.25">
      <c r="B3731" s="68"/>
      <c r="C3731" s="50"/>
      <c r="D3731" s="15"/>
    </row>
    <row r="3732" spans="2:4" x14ac:dyDescent="0.25">
      <c r="B3732" s="68"/>
      <c r="C3732" s="50"/>
      <c r="D3732" s="15"/>
    </row>
    <row r="3733" spans="2:4" x14ac:dyDescent="0.25">
      <c r="B3733" s="68"/>
      <c r="C3733" s="50"/>
      <c r="D3733" s="15"/>
    </row>
    <row r="3734" spans="2:4" x14ac:dyDescent="0.25">
      <c r="B3734" s="68"/>
      <c r="C3734" s="50"/>
      <c r="D3734" s="15"/>
    </row>
    <row r="3735" spans="2:4" x14ac:dyDescent="0.25">
      <c r="B3735" s="68"/>
      <c r="C3735" s="50"/>
      <c r="D3735" s="15"/>
    </row>
    <row r="3736" spans="2:4" x14ac:dyDescent="0.25">
      <c r="B3736" s="68"/>
      <c r="C3736" s="50"/>
      <c r="D3736" s="15"/>
    </row>
    <row r="3737" spans="2:4" x14ac:dyDescent="0.25">
      <c r="B3737" s="68"/>
      <c r="C3737" s="50"/>
      <c r="D3737" s="15"/>
    </row>
    <row r="3738" spans="2:4" x14ac:dyDescent="0.25">
      <c r="B3738" s="68"/>
      <c r="C3738" s="50"/>
      <c r="D3738" s="15"/>
    </row>
    <row r="3739" spans="2:4" x14ac:dyDescent="0.25">
      <c r="B3739" s="68"/>
      <c r="C3739" s="50"/>
      <c r="D3739" s="15"/>
    </row>
    <row r="3740" spans="2:4" x14ac:dyDescent="0.25">
      <c r="B3740" s="68"/>
      <c r="C3740" s="50"/>
      <c r="D3740" s="15"/>
    </row>
    <row r="3741" spans="2:4" x14ac:dyDescent="0.25">
      <c r="B3741" s="68"/>
      <c r="C3741" s="50"/>
      <c r="D3741" s="15"/>
    </row>
    <row r="3742" spans="2:4" x14ac:dyDescent="0.25">
      <c r="B3742" s="68"/>
      <c r="C3742" s="50"/>
      <c r="D3742" s="15"/>
    </row>
    <row r="3743" spans="2:4" x14ac:dyDescent="0.25">
      <c r="B3743" s="68"/>
      <c r="C3743" s="50"/>
      <c r="D3743" s="15"/>
    </row>
    <row r="3744" spans="2:4" x14ac:dyDescent="0.25">
      <c r="B3744" s="68"/>
      <c r="C3744" s="50"/>
      <c r="D3744" s="15"/>
    </row>
    <row r="3745" spans="2:4" x14ac:dyDescent="0.25">
      <c r="B3745" s="68"/>
      <c r="C3745" s="50"/>
      <c r="D3745" s="15"/>
    </row>
    <row r="3746" spans="2:4" x14ac:dyDescent="0.25">
      <c r="B3746" s="68"/>
      <c r="C3746" s="50"/>
      <c r="D3746" s="15"/>
    </row>
    <row r="3747" spans="2:4" x14ac:dyDescent="0.25">
      <c r="B3747" s="68"/>
      <c r="C3747" s="50"/>
      <c r="D3747" s="15"/>
    </row>
    <row r="3748" spans="2:4" x14ac:dyDescent="0.25">
      <c r="B3748" s="68"/>
      <c r="C3748" s="50"/>
      <c r="D3748" s="15"/>
    </row>
    <row r="3749" spans="2:4" x14ac:dyDescent="0.25">
      <c r="B3749" s="68"/>
      <c r="C3749" s="50"/>
      <c r="D3749" s="15"/>
    </row>
    <row r="3750" spans="2:4" x14ac:dyDescent="0.25">
      <c r="B3750" s="68"/>
      <c r="C3750" s="50"/>
      <c r="D3750" s="15"/>
    </row>
    <row r="3751" spans="2:4" x14ac:dyDescent="0.25">
      <c r="B3751" s="68"/>
      <c r="C3751" s="50"/>
      <c r="D3751" s="15"/>
    </row>
    <row r="3752" spans="2:4" x14ac:dyDescent="0.25">
      <c r="B3752" s="68"/>
      <c r="C3752" s="50"/>
      <c r="D3752" s="15"/>
    </row>
    <row r="3753" spans="2:4" x14ac:dyDescent="0.25">
      <c r="B3753" s="68"/>
      <c r="C3753" s="50"/>
      <c r="D3753" s="15"/>
    </row>
    <row r="3754" spans="2:4" x14ac:dyDescent="0.25">
      <c r="B3754" s="68"/>
      <c r="C3754" s="50"/>
      <c r="D3754" s="15"/>
    </row>
    <row r="3755" spans="2:4" x14ac:dyDescent="0.25">
      <c r="B3755" s="68"/>
      <c r="C3755" s="50"/>
      <c r="D3755" s="15"/>
    </row>
    <row r="3756" spans="2:4" x14ac:dyDescent="0.25">
      <c r="B3756" s="68"/>
      <c r="C3756" s="50"/>
      <c r="D3756" s="15"/>
    </row>
    <row r="3757" spans="2:4" x14ac:dyDescent="0.25">
      <c r="B3757" s="68"/>
      <c r="C3757" s="50"/>
      <c r="D3757" s="15"/>
    </row>
    <row r="3758" spans="2:4" x14ac:dyDescent="0.25">
      <c r="B3758" s="68"/>
      <c r="C3758" s="50"/>
      <c r="D3758" s="15"/>
    </row>
    <row r="3759" spans="2:4" x14ac:dyDescent="0.25">
      <c r="B3759" s="68"/>
      <c r="C3759" s="50"/>
      <c r="D3759" s="15"/>
    </row>
    <row r="3760" spans="2:4" x14ac:dyDescent="0.25">
      <c r="B3760" s="68"/>
      <c r="C3760" s="50"/>
      <c r="D3760" s="15"/>
    </row>
    <row r="3761" spans="2:4" x14ac:dyDescent="0.25">
      <c r="B3761" s="68"/>
      <c r="C3761" s="50"/>
      <c r="D3761" s="15"/>
    </row>
    <row r="3762" spans="2:4" x14ac:dyDescent="0.25">
      <c r="B3762" s="68"/>
      <c r="C3762" s="50"/>
      <c r="D3762" s="15"/>
    </row>
    <row r="3763" spans="2:4" x14ac:dyDescent="0.25">
      <c r="B3763" s="68"/>
      <c r="C3763" s="50"/>
      <c r="D3763" s="15"/>
    </row>
    <row r="3764" spans="2:4" x14ac:dyDescent="0.25">
      <c r="B3764" s="68"/>
      <c r="C3764" s="50"/>
      <c r="D3764" s="15"/>
    </row>
    <row r="3765" spans="2:4" x14ac:dyDescent="0.25">
      <c r="B3765" s="68"/>
      <c r="C3765" s="50"/>
      <c r="D3765" s="15"/>
    </row>
    <row r="3766" spans="2:4" x14ac:dyDescent="0.25">
      <c r="B3766" s="68"/>
      <c r="C3766" s="50"/>
      <c r="D3766" s="15"/>
    </row>
    <row r="3767" spans="2:4" x14ac:dyDescent="0.25">
      <c r="B3767" s="68"/>
      <c r="C3767" s="50"/>
      <c r="D3767" s="15"/>
    </row>
    <row r="3768" spans="2:4" x14ac:dyDescent="0.25">
      <c r="B3768" s="68"/>
      <c r="C3768" s="50"/>
      <c r="D3768" s="15"/>
    </row>
    <row r="3769" spans="2:4" x14ac:dyDescent="0.25">
      <c r="B3769" s="68"/>
      <c r="C3769" s="50"/>
      <c r="D3769" s="15"/>
    </row>
    <row r="3770" spans="2:4" x14ac:dyDescent="0.25">
      <c r="B3770" s="68"/>
      <c r="C3770" s="50"/>
      <c r="D3770" s="15"/>
    </row>
    <row r="3771" spans="2:4" x14ac:dyDescent="0.25">
      <c r="B3771" s="68"/>
      <c r="C3771" s="50"/>
      <c r="D3771" s="15"/>
    </row>
    <row r="3772" spans="2:4" x14ac:dyDescent="0.25">
      <c r="B3772" s="68"/>
      <c r="C3772" s="50"/>
      <c r="D3772" s="15"/>
    </row>
    <row r="3773" spans="2:4" x14ac:dyDescent="0.25">
      <c r="B3773" s="68"/>
      <c r="C3773" s="50"/>
      <c r="D3773" s="15"/>
    </row>
  </sheetData>
  <mergeCells count="4">
    <mergeCell ref="B2:E2"/>
    <mergeCell ref="B4:D4"/>
    <mergeCell ref="G4:I4"/>
    <mergeCell ref="L4:M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3773"/>
  <sheetViews>
    <sheetView showGridLines="0" workbookViewId="0">
      <pane ySplit="4" topLeftCell="A5" activePane="bottomLeft" state="frozen"/>
      <selection pane="bottomLeft" activeCell="K16" sqref="K16"/>
    </sheetView>
  </sheetViews>
  <sheetFormatPr defaultRowHeight="15" x14ac:dyDescent="0.25"/>
  <cols>
    <col min="1" max="1" width="1.85546875" style="73" customWidth="1"/>
    <col min="2" max="2" width="12.28515625" style="73" customWidth="1"/>
    <col min="3" max="3" width="12.42578125" style="73" customWidth="1"/>
    <col min="4" max="4" width="16.42578125" style="73" customWidth="1"/>
    <col min="5" max="6" width="9.140625" style="73"/>
    <col min="7" max="7" width="10.42578125" style="73" bestFit="1" customWidth="1"/>
    <col min="8" max="8" width="12.28515625" style="73" bestFit="1" customWidth="1"/>
    <col min="9" max="9" width="9" style="73" customWidth="1"/>
    <col min="10" max="11" width="9.140625" style="73"/>
    <col min="12" max="12" width="18.85546875" style="73" customWidth="1"/>
    <col min="13" max="16384" width="9.140625" style="73"/>
  </cols>
  <sheetData>
    <row r="2" spans="2:25" x14ac:dyDescent="0.25">
      <c r="B2" s="96" t="s">
        <v>54</v>
      </c>
      <c r="C2" s="96"/>
      <c r="D2" s="96"/>
      <c r="E2" s="96"/>
    </row>
    <row r="3" spans="2:25" x14ac:dyDescent="0.25">
      <c r="B3" s="65"/>
      <c r="C3" s="65"/>
      <c r="D3" s="65"/>
      <c r="E3" s="65"/>
    </row>
    <row r="4" spans="2:25" x14ac:dyDescent="0.25">
      <c r="B4" s="97" t="s">
        <v>92</v>
      </c>
      <c r="C4" s="97"/>
      <c r="D4" s="97"/>
      <c r="E4" s="66"/>
      <c r="G4" s="97" t="s">
        <v>55</v>
      </c>
      <c r="H4" s="97"/>
      <c r="I4" s="97"/>
      <c r="J4" s="66"/>
      <c r="L4" s="97" t="s">
        <v>56</v>
      </c>
      <c r="M4" s="97"/>
    </row>
    <row r="6" spans="2:25" x14ac:dyDescent="0.25">
      <c r="B6" s="51" t="s">
        <v>51</v>
      </c>
      <c r="C6" s="49" t="s">
        <v>52</v>
      </c>
      <c r="D6" s="53" t="s">
        <v>53</v>
      </c>
      <c r="G6" s="51" t="s">
        <v>51</v>
      </c>
      <c r="H6" s="49" t="s">
        <v>52</v>
      </c>
      <c r="I6" s="53" t="s">
        <v>53</v>
      </c>
      <c r="L6" s="73" t="s">
        <v>57</v>
      </c>
      <c r="M6" s="61">
        <f>P6</f>
        <v>0.73329945149890874</v>
      </c>
      <c r="O6" s="73" t="s">
        <v>86</v>
      </c>
      <c r="P6" s="60">
        <f>N32</f>
        <v>0.73329945149890874</v>
      </c>
    </row>
    <row r="7" spans="2:25" x14ac:dyDescent="0.25">
      <c r="B7" s="68">
        <v>45614</v>
      </c>
      <c r="C7" s="50">
        <v>169.69000244140619</v>
      </c>
      <c r="G7" s="69">
        <v>45614</v>
      </c>
      <c r="H7" s="50">
        <v>23453.80078125</v>
      </c>
      <c r="I7" s="54"/>
      <c r="L7" s="73" t="s">
        <v>58</v>
      </c>
      <c r="M7" s="62">
        <v>0.75</v>
      </c>
    </row>
    <row r="8" spans="2:25" x14ac:dyDescent="0.25">
      <c r="B8" s="68">
        <v>45615</v>
      </c>
      <c r="C8" s="50">
        <v>170.30999755859381</v>
      </c>
      <c r="D8" s="15">
        <f>C8/C7-1</f>
        <v>3.6536926646677514E-3</v>
      </c>
      <c r="G8" s="69">
        <v>45615</v>
      </c>
      <c r="H8" s="50">
        <v>23518.5</v>
      </c>
      <c r="I8" s="55">
        <f>H8/H7-1</f>
        <v>2.758581406631766E-3</v>
      </c>
    </row>
    <row r="9" spans="2:25" x14ac:dyDescent="0.25">
      <c r="B9" s="68">
        <v>45617</v>
      </c>
      <c r="C9" s="50">
        <v>167.92999267578119</v>
      </c>
      <c r="D9" s="15">
        <f t="shared" ref="D9:D72" si="0">C9/C8-1</f>
        <v>-1.3974545927603499E-2</v>
      </c>
      <c r="G9" s="69">
        <v>45617</v>
      </c>
      <c r="H9" s="50">
        <v>23349.900390625</v>
      </c>
      <c r="I9" s="55">
        <f>H9/H8-1</f>
        <v>-7.1688079331164722E-3</v>
      </c>
      <c r="L9" s="73" t="s">
        <v>59</v>
      </c>
      <c r="M9" s="60">
        <v>1</v>
      </c>
    </row>
    <row r="10" spans="2:25" x14ac:dyDescent="0.25">
      <c r="B10" s="68">
        <v>45618</v>
      </c>
      <c r="C10" s="50">
        <v>169.3999938964844</v>
      </c>
      <c r="D10" s="15">
        <f t="shared" si="0"/>
        <v>8.7536550039712946E-3</v>
      </c>
      <c r="G10" s="69">
        <v>45618</v>
      </c>
      <c r="H10" s="50">
        <v>23907.25</v>
      </c>
      <c r="I10" s="55">
        <f t="shared" ref="I10:I73" si="1">H10/H9-1</f>
        <v>2.3869464111237804E-2</v>
      </c>
      <c r="L10" s="73" t="s">
        <v>60</v>
      </c>
      <c r="M10" s="62">
        <v>0.25</v>
      </c>
    </row>
    <row r="11" spans="2:25" x14ac:dyDescent="0.25">
      <c r="B11" s="68">
        <v>45621</v>
      </c>
      <c r="C11" s="50">
        <v>168.05000305175781</v>
      </c>
      <c r="D11" s="15">
        <f t="shared" si="0"/>
        <v>-7.9692496656849077E-3</v>
      </c>
      <c r="G11" s="69">
        <v>45621</v>
      </c>
      <c r="H11" s="50">
        <v>24221.900390625</v>
      </c>
      <c r="I11" s="55">
        <f t="shared" si="1"/>
        <v>1.3161295867362366E-2</v>
      </c>
    </row>
    <row r="12" spans="2:25" x14ac:dyDescent="0.25">
      <c r="B12" s="68">
        <v>45622</v>
      </c>
      <c r="C12" s="50">
        <v>168.05999755859381</v>
      </c>
      <c r="D12" s="15">
        <f t="shared" si="0"/>
        <v>5.9473410618737788E-5</v>
      </c>
      <c r="G12" s="69">
        <v>45622</v>
      </c>
      <c r="H12" s="50">
        <v>24194.5</v>
      </c>
      <c r="I12" s="55">
        <f t="shared" si="1"/>
        <v>-1.1312238174179257E-3</v>
      </c>
      <c r="L12" s="63" t="s">
        <v>87</v>
      </c>
      <c r="M12" s="64">
        <f>(M6*M7)+(M9*M10)</f>
        <v>0.79997458862418158</v>
      </c>
    </row>
    <row r="13" spans="2:25" x14ac:dyDescent="0.25">
      <c r="B13" s="68">
        <v>45623</v>
      </c>
      <c r="C13" s="50">
        <v>170.2799987792969</v>
      </c>
      <c r="D13" s="15">
        <f t="shared" si="0"/>
        <v>1.320957546681556E-2</v>
      </c>
      <c r="G13" s="69">
        <v>45623</v>
      </c>
      <c r="H13" s="50">
        <v>24274.900390625</v>
      </c>
      <c r="I13" s="55">
        <f t="shared" si="1"/>
        <v>3.3230854378061281E-3</v>
      </c>
    </row>
    <row r="14" spans="2:25" x14ac:dyDescent="0.25">
      <c r="B14" s="68">
        <v>45624</v>
      </c>
      <c r="C14" s="50">
        <v>174.00999450683591</v>
      </c>
      <c r="D14" s="15">
        <f t="shared" si="0"/>
        <v>2.1905072552728333E-2</v>
      </c>
      <c r="G14" s="69">
        <v>45624</v>
      </c>
      <c r="H14" s="50">
        <v>23914.150390625</v>
      </c>
      <c r="I14" s="55">
        <f t="shared" si="1"/>
        <v>-1.4861029054492936E-2</v>
      </c>
    </row>
    <row r="15" spans="2:25" x14ac:dyDescent="0.25">
      <c r="B15" s="68">
        <v>45625</v>
      </c>
      <c r="C15" s="50">
        <v>172.05999755859381</v>
      </c>
      <c r="D15" s="15">
        <f t="shared" si="0"/>
        <v>-1.1206235330152192E-2</v>
      </c>
      <c r="G15" s="69">
        <v>45625</v>
      </c>
      <c r="H15" s="50">
        <v>24131.099609375</v>
      </c>
      <c r="I15" s="55">
        <f t="shared" si="1"/>
        <v>9.072001940535257E-3</v>
      </c>
      <c r="M15" t="s">
        <v>61</v>
      </c>
      <c r="N15"/>
      <c r="O15"/>
      <c r="P15"/>
      <c r="Q15"/>
      <c r="R15"/>
      <c r="S15"/>
      <c r="T15"/>
      <c r="U15"/>
    </row>
    <row r="16" spans="2:25" ht="15.75" thickBot="1" x14ac:dyDescent="0.3">
      <c r="B16" s="68">
        <v>45628</v>
      </c>
      <c r="C16" s="50">
        <v>171.21000671386719</v>
      </c>
      <c r="D16" s="15">
        <f t="shared" si="0"/>
        <v>-4.9400840217794784E-3</v>
      </c>
      <c r="G16" s="69">
        <v>45628</v>
      </c>
      <c r="H16" s="50">
        <v>24276.05078125</v>
      </c>
      <c r="I16" s="55">
        <f t="shared" si="1"/>
        <v>6.0068200049485654E-3</v>
      </c>
      <c r="L16" s="70"/>
      <c r="M16"/>
      <c r="N16"/>
      <c r="O16"/>
      <c r="P16"/>
      <c r="Q16"/>
      <c r="R16"/>
      <c r="S16"/>
      <c r="T16"/>
      <c r="U16"/>
      <c r="V16" s="70"/>
      <c r="W16" s="70"/>
      <c r="X16" s="70"/>
      <c r="Y16" s="70"/>
    </row>
    <row r="17" spans="2:25" x14ac:dyDescent="0.25">
      <c r="B17" s="68">
        <v>45629</v>
      </c>
      <c r="C17" s="50">
        <v>171.8800048828125</v>
      </c>
      <c r="D17" s="15">
        <f t="shared" si="0"/>
        <v>3.9133119716829867E-3</v>
      </c>
      <c r="G17" s="69">
        <v>45629</v>
      </c>
      <c r="H17" s="50">
        <v>24457.150390625</v>
      </c>
      <c r="I17" s="55">
        <f t="shared" si="1"/>
        <v>7.4600111445999318E-3</v>
      </c>
      <c r="L17" s="70"/>
      <c r="M17" s="59" t="s">
        <v>62</v>
      </c>
      <c r="N17" s="59"/>
      <c r="O17"/>
      <c r="P17"/>
      <c r="Q17"/>
      <c r="R17"/>
      <c r="S17"/>
      <c r="T17"/>
      <c r="U17"/>
      <c r="V17" s="70"/>
      <c r="W17" s="70"/>
      <c r="X17" s="70"/>
      <c r="Y17" s="70"/>
    </row>
    <row r="18" spans="2:25" x14ac:dyDescent="0.25">
      <c r="B18" s="68">
        <v>45630</v>
      </c>
      <c r="C18" s="50">
        <v>169.1000061035156</v>
      </c>
      <c r="D18" s="15">
        <f t="shared" si="0"/>
        <v>-1.61740673744587E-2</v>
      </c>
      <c r="G18" s="69">
        <v>45630</v>
      </c>
      <c r="H18" s="50">
        <v>24467.44921875</v>
      </c>
      <c r="I18" s="55">
        <f t="shared" si="1"/>
        <v>4.2109681465385407E-4</v>
      </c>
      <c r="L18" s="70"/>
      <c r="M18" s="56" t="s">
        <v>63</v>
      </c>
      <c r="N18" s="56">
        <v>0.32112259643232338</v>
      </c>
      <c r="O18"/>
      <c r="P18"/>
      <c r="Q18"/>
      <c r="R18"/>
      <c r="S18"/>
      <c r="T18"/>
      <c r="U18"/>
      <c r="V18" s="70"/>
      <c r="W18" s="70"/>
      <c r="X18" s="70"/>
      <c r="Y18" s="70"/>
    </row>
    <row r="19" spans="2:25" x14ac:dyDescent="0.25">
      <c r="B19" s="68">
        <v>45631</v>
      </c>
      <c r="C19" s="50">
        <v>167.42999267578119</v>
      </c>
      <c r="D19" s="15">
        <f t="shared" si="0"/>
        <v>-9.8758921789281473E-3</v>
      </c>
      <c r="G19" s="69">
        <v>45631</v>
      </c>
      <c r="H19" s="50">
        <v>24708.400390625</v>
      </c>
      <c r="I19" s="55">
        <f t="shared" si="1"/>
        <v>9.8478255628851041E-3</v>
      </c>
      <c r="L19" s="70"/>
      <c r="M19" s="56" t="s">
        <v>64</v>
      </c>
      <c r="N19" s="56">
        <v>0.10311972193943682</v>
      </c>
      <c r="O19"/>
      <c r="P19"/>
      <c r="Q19"/>
      <c r="R19"/>
      <c r="S19"/>
      <c r="T19"/>
      <c r="U19"/>
      <c r="V19" s="70"/>
      <c r="W19" s="70"/>
      <c r="X19" s="70"/>
      <c r="Y19" s="70"/>
    </row>
    <row r="20" spans="2:25" x14ac:dyDescent="0.25">
      <c r="B20" s="68">
        <v>45632</v>
      </c>
      <c r="C20" s="50">
        <v>166.4100036621094</v>
      </c>
      <c r="D20" s="15">
        <f t="shared" si="0"/>
        <v>-6.0920328393427869E-3</v>
      </c>
      <c r="G20" s="69">
        <v>45632</v>
      </c>
      <c r="H20" s="50">
        <v>24677.80078125</v>
      </c>
      <c r="I20" s="55">
        <f t="shared" si="1"/>
        <v>-1.2384293961259507E-3</v>
      </c>
      <c r="L20" s="70"/>
      <c r="M20" s="56" t="s">
        <v>65</v>
      </c>
      <c r="N20" s="56">
        <v>9.9443983094926316E-2</v>
      </c>
      <c r="O20"/>
      <c r="P20"/>
      <c r="Q20"/>
      <c r="R20"/>
      <c r="S20"/>
      <c r="T20"/>
      <c r="U20"/>
      <c r="V20" s="70"/>
      <c r="W20" s="70"/>
      <c r="X20" s="70"/>
      <c r="Y20" s="70"/>
    </row>
    <row r="21" spans="2:25" x14ac:dyDescent="0.25">
      <c r="B21" s="68">
        <v>45635</v>
      </c>
      <c r="C21" s="50">
        <v>166.03999328613281</v>
      </c>
      <c r="D21" s="15">
        <f t="shared" si="0"/>
        <v>-2.2234863760227652E-3</v>
      </c>
      <c r="G21" s="69">
        <v>45635</v>
      </c>
      <c r="H21" s="50">
        <v>24619</v>
      </c>
      <c r="I21" s="55">
        <f t="shared" si="1"/>
        <v>-2.3827399277279726E-3</v>
      </c>
      <c r="L21" s="70"/>
      <c r="M21" s="56" t="s">
        <v>66</v>
      </c>
      <c r="N21" s="56">
        <v>1.6985181599850539E-2</v>
      </c>
      <c r="O21"/>
      <c r="P21"/>
      <c r="Q21"/>
      <c r="R21"/>
      <c r="S21"/>
      <c r="T21"/>
      <c r="U21"/>
      <c r="V21" s="70"/>
      <c r="W21" s="70"/>
      <c r="X21" s="70"/>
      <c r="Y21" s="70"/>
    </row>
    <row r="22" spans="2:25" ht="15.75" thickBot="1" x14ac:dyDescent="0.3">
      <c r="B22" s="68">
        <v>45636</v>
      </c>
      <c r="C22" s="50">
        <v>172.55999755859381</v>
      </c>
      <c r="D22" s="15">
        <f t="shared" si="0"/>
        <v>3.9267673669591385E-2</v>
      </c>
      <c r="G22" s="69">
        <v>45636</v>
      </c>
      <c r="H22" s="50">
        <v>24610.05078125</v>
      </c>
      <c r="I22" s="55">
        <f t="shared" si="1"/>
        <v>-3.6350862139000739E-4</v>
      </c>
      <c r="L22" s="70"/>
      <c r="M22" s="57" t="s">
        <v>67</v>
      </c>
      <c r="N22" s="57">
        <v>246</v>
      </c>
      <c r="O22"/>
      <c r="P22"/>
      <c r="Q22"/>
      <c r="R22"/>
      <c r="S22"/>
      <c r="T22"/>
      <c r="U22"/>
      <c r="V22" s="70"/>
      <c r="W22" s="70"/>
      <c r="X22" s="70"/>
      <c r="Y22" s="70"/>
    </row>
    <row r="23" spans="2:25" x14ac:dyDescent="0.25">
      <c r="B23" s="68">
        <v>45637</v>
      </c>
      <c r="C23" s="50">
        <v>169.9100036621094</v>
      </c>
      <c r="D23" s="15">
        <f t="shared" si="0"/>
        <v>-1.5356942130139828E-2</v>
      </c>
      <c r="G23" s="69">
        <v>45637</v>
      </c>
      <c r="H23" s="50">
        <v>24641.80078125</v>
      </c>
      <c r="I23" s="55">
        <f t="shared" si="1"/>
        <v>1.2901233029631864E-3</v>
      </c>
      <c r="L23" s="70"/>
      <c r="M23"/>
      <c r="N23"/>
      <c r="O23"/>
      <c r="P23"/>
      <c r="Q23"/>
      <c r="R23"/>
      <c r="S23"/>
      <c r="T23"/>
      <c r="U23"/>
      <c r="V23" s="70"/>
      <c r="W23" s="70"/>
      <c r="X23" s="70"/>
      <c r="Y23" s="70"/>
    </row>
    <row r="24" spans="2:25" ht="15.75" thickBot="1" x14ac:dyDescent="0.3">
      <c r="B24" s="68">
        <v>45638</v>
      </c>
      <c r="C24" s="50">
        <v>169.80000305175781</v>
      </c>
      <c r="D24" s="15">
        <f t="shared" si="0"/>
        <v>-6.4740514378625047E-4</v>
      </c>
      <c r="G24" s="69">
        <v>45638</v>
      </c>
      <c r="H24" s="50">
        <v>24548.69921875</v>
      </c>
      <c r="I24" s="55">
        <f t="shared" si="1"/>
        <v>-3.7781963796591489E-3</v>
      </c>
      <c r="L24" s="70"/>
      <c r="M24" t="s">
        <v>68</v>
      </c>
      <c r="N24"/>
      <c r="O24"/>
      <c r="P24"/>
      <c r="Q24"/>
      <c r="R24"/>
      <c r="S24"/>
      <c r="T24"/>
      <c r="U24"/>
      <c r="V24" s="70"/>
      <c r="W24" s="70"/>
      <c r="X24" s="70"/>
      <c r="Y24" s="70"/>
    </row>
    <row r="25" spans="2:25" x14ac:dyDescent="0.25">
      <c r="B25" s="68">
        <v>45639</v>
      </c>
      <c r="C25" s="50">
        <v>168.17999267578119</v>
      </c>
      <c r="D25" s="15">
        <f t="shared" si="0"/>
        <v>-9.5406969779783246E-3</v>
      </c>
      <c r="G25" s="69">
        <v>45639</v>
      </c>
      <c r="H25" s="50">
        <v>24768.30078125</v>
      </c>
      <c r="I25" s="55">
        <f t="shared" si="1"/>
        <v>8.9455478085889162E-3</v>
      </c>
      <c r="L25" s="70"/>
      <c r="M25" s="58"/>
      <c r="N25" s="58" t="s">
        <v>73</v>
      </c>
      <c r="O25" s="58" t="s">
        <v>74</v>
      </c>
      <c r="P25" s="58" t="s">
        <v>75</v>
      </c>
      <c r="Q25" s="58" t="s">
        <v>76</v>
      </c>
      <c r="R25" s="58" t="s">
        <v>77</v>
      </c>
      <c r="S25"/>
      <c r="T25"/>
      <c r="U25"/>
      <c r="V25" s="70"/>
      <c r="W25" s="70"/>
      <c r="X25" s="70"/>
      <c r="Y25" s="70"/>
    </row>
    <row r="26" spans="2:25" x14ac:dyDescent="0.25">
      <c r="B26" s="68">
        <v>45642</v>
      </c>
      <c r="C26" s="50">
        <v>174.55999755859381</v>
      </c>
      <c r="D26" s="15">
        <f t="shared" si="0"/>
        <v>3.7935575934481269E-2</v>
      </c>
      <c r="G26" s="69">
        <v>45642</v>
      </c>
      <c r="H26" s="50">
        <v>24668.25</v>
      </c>
      <c r="I26" s="55">
        <f t="shared" si="1"/>
        <v>-4.0394689217332358E-3</v>
      </c>
      <c r="L26" s="70"/>
      <c r="M26" s="56" t="s">
        <v>69</v>
      </c>
      <c r="N26" s="56">
        <v>1</v>
      </c>
      <c r="O26" s="56">
        <v>8.0935205644892261E-3</v>
      </c>
      <c r="P26" s="56">
        <v>8.0935205644892261E-3</v>
      </c>
      <c r="Q26" s="56">
        <v>28.054148105064627</v>
      </c>
      <c r="R26" s="56">
        <v>2.6335274059443758E-7</v>
      </c>
      <c r="S26"/>
      <c r="T26"/>
      <c r="U26"/>
      <c r="V26" s="70"/>
      <c r="W26" s="70"/>
      <c r="X26" s="70"/>
      <c r="Y26" s="70"/>
    </row>
    <row r="27" spans="2:25" x14ac:dyDescent="0.25">
      <c r="B27" s="68">
        <v>45643</v>
      </c>
      <c r="C27" s="50">
        <v>176.3699951171875</v>
      </c>
      <c r="D27" s="15">
        <f t="shared" si="0"/>
        <v>1.03689137483296E-2</v>
      </c>
      <c r="G27" s="69">
        <v>45643</v>
      </c>
      <c r="H27" s="50">
        <v>24336</v>
      </c>
      <c r="I27" s="55">
        <f t="shared" si="1"/>
        <v>-1.3468730047733413E-2</v>
      </c>
      <c r="L27" s="70"/>
      <c r="M27" s="56" t="s">
        <v>70</v>
      </c>
      <c r="N27" s="56">
        <v>244</v>
      </c>
      <c r="O27" s="56">
        <v>7.0393120131095915E-2</v>
      </c>
      <c r="P27" s="56">
        <v>2.8849639397990129E-4</v>
      </c>
      <c r="Q27" s="56"/>
      <c r="R27" s="56"/>
      <c r="S27"/>
      <c r="T27"/>
      <c r="U27"/>
      <c r="V27" s="70"/>
      <c r="W27" s="70"/>
      <c r="X27" s="70"/>
      <c r="Y27" s="70"/>
    </row>
    <row r="28" spans="2:25" ht="15.75" thickBot="1" x14ac:dyDescent="0.3">
      <c r="B28" s="68">
        <v>45644</v>
      </c>
      <c r="C28" s="50">
        <v>173.30000305175781</v>
      </c>
      <c r="D28" s="15">
        <f t="shared" si="0"/>
        <v>-1.7406543915759909E-2</v>
      </c>
      <c r="G28" s="69">
        <v>45644</v>
      </c>
      <c r="H28" s="50">
        <v>24198.849609375</v>
      </c>
      <c r="I28" s="55">
        <f t="shared" si="1"/>
        <v>-5.6356998120069557E-3</v>
      </c>
      <c r="L28" s="70"/>
      <c r="M28" s="57" t="s">
        <v>71</v>
      </c>
      <c r="N28" s="57">
        <v>245</v>
      </c>
      <c r="O28" s="57">
        <v>7.8486640695585141E-2</v>
      </c>
      <c r="P28" s="57"/>
      <c r="Q28" s="57"/>
      <c r="R28" s="57"/>
      <c r="S28"/>
      <c r="T28"/>
      <c r="U28"/>
      <c r="V28" s="70"/>
      <c r="W28" s="70"/>
      <c r="X28" s="70"/>
      <c r="Y28" s="70"/>
    </row>
    <row r="29" spans="2:25" ht="15.75" thickBot="1" x14ac:dyDescent="0.3">
      <c r="B29" s="68">
        <v>45645</v>
      </c>
      <c r="C29" s="50">
        <v>170</v>
      </c>
      <c r="D29" s="15">
        <f t="shared" si="0"/>
        <v>-1.9042140759641168E-2</v>
      </c>
      <c r="G29" s="69">
        <v>45645</v>
      </c>
      <c r="H29" s="50">
        <v>23951.69921875</v>
      </c>
      <c r="I29" s="55">
        <f t="shared" si="1"/>
        <v>-1.0213311567061067E-2</v>
      </c>
      <c r="L29" s="70"/>
      <c r="M29"/>
      <c r="N29"/>
      <c r="O29"/>
      <c r="P29"/>
      <c r="Q29"/>
      <c r="R29"/>
      <c r="S29"/>
      <c r="T29"/>
      <c r="U29"/>
      <c r="V29" s="70"/>
      <c r="W29" s="70"/>
      <c r="X29" s="70"/>
      <c r="Y29" s="70"/>
    </row>
    <row r="30" spans="2:25" x14ac:dyDescent="0.25">
      <c r="B30" s="68">
        <v>45646</v>
      </c>
      <c r="C30" s="50">
        <v>167.33000183105469</v>
      </c>
      <c r="D30" s="15">
        <f t="shared" si="0"/>
        <v>-1.5705871582031294E-2</v>
      </c>
      <c r="G30" s="69">
        <v>45646</v>
      </c>
      <c r="H30" s="50">
        <v>23587.5</v>
      </c>
      <c r="I30" s="55">
        <f t="shared" si="1"/>
        <v>-1.520556915080562E-2</v>
      </c>
      <c r="L30" s="70"/>
      <c r="M30" s="58"/>
      <c r="N30" s="58" t="s">
        <v>78</v>
      </c>
      <c r="O30" s="58" t="s">
        <v>66</v>
      </c>
      <c r="P30" s="58" t="s">
        <v>79</v>
      </c>
      <c r="Q30" s="58" t="s">
        <v>80</v>
      </c>
      <c r="R30" s="58" t="s">
        <v>81</v>
      </c>
      <c r="S30" s="58" t="s">
        <v>82</v>
      </c>
      <c r="T30" s="58" t="s">
        <v>83</v>
      </c>
      <c r="U30" s="58" t="s">
        <v>84</v>
      </c>
      <c r="V30" s="70"/>
      <c r="W30" s="70"/>
      <c r="X30" s="70"/>
      <c r="Y30" s="70"/>
    </row>
    <row r="31" spans="2:25" x14ac:dyDescent="0.25">
      <c r="B31" s="68">
        <v>45649</v>
      </c>
      <c r="C31" s="50">
        <v>160.05000305175781</v>
      </c>
      <c r="D31" s="15">
        <f t="shared" si="0"/>
        <v>-4.3506834994522681E-2</v>
      </c>
      <c r="G31" s="69">
        <v>45649</v>
      </c>
      <c r="H31" s="50">
        <v>23753.44921875</v>
      </c>
      <c r="I31" s="55">
        <f t="shared" si="1"/>
        <v>7.0354729729729115E-3</v>
      </c>
      <c r="L31" s="70"/>
      <c r="M31" s="56" t="s">
        <v>72</v>
      </c>
      <c r="N31" s="56">
        <v>1.5272421063267159E-3</v>
      </c>
      <c r="O31" s="56">
        <v>1.0846126733887176E-3</v>
      </c>
      <c r="P31" s="56">
        <v>1.4080990788675425</v>
      </c>
      <c r="Q31" s="56">
        <v>0.16037455474150078</v>
      </c>
      <c r="R31" s="56">
        <v>-6.0915634489646297E-4</v>
      </c>
      <c r="S31" s="56">
        <v>3.6636405575498948E-3</v>
      </c>
      <c r="T31" s="56">
        <v>-6.0915634489646297E-4</v>
      </c>
      <c r="U31" s="56">
        <v>3.6636405575498948E-3</v>
      </c>
      <c r="V31" s="70"/>
      <c r="W31" s="70"/>
      <c r="X31" s="70"/>
      <c r="Y31" s="70"/>
    </row>
    <row r="32" spans="2:25" ht="15.75" thickBot="1" x14ac:dyDescent="0.3">
      <c r="B32" s="68">
        <v>45650</v>
      </c>
      <c r="C32" s="50">
        <v>161.94000244140619</v>
      </c>
      <c r="D32" s="15">
        <f t="shared" si="0"/>
        <v>1.1808805708283465E-2</v>
      </c>
      <c r="G32" s="69">
        <v>45650</v>
      </c>
      <c r="H32" s="50">
        <v>23727.650390625</v>
      </c>
      <c r="I32" s="55">
        <f t="shared" si="1"/>
        <v>-1.0861087115143775E-3</v>
      </c>
      <c r="L32" s="70"/>
      <c r="M32" s="57" t="s">
        <v>85</v>
      </c>
      <c r="N32" s="57">
        <v>0.73329945149890874</v>
      </c>
      <c r="O32" s="57">
        <v>0.13844676663604855</v>
      </c>
      <c r="P32" s="57">
        <v>5.296616665859883</v>
      </c>
      <c r="Q32" s="57">
        <v>2.6335274059443758E-7</v>
      </c>
      <c r="R32" s="57">
        <v>0.46059614913568214</v>
      </c>
      <c r="S32" s="57">
        <v>1.0060027538621354</v>
      </c>
      <c r="T32" s="57">
        <v>0.46059614913568214</v>
      </c>
      <c r="U32" s="57">
        <v>1.0060027538621354</v>
      </c>
      <c r="V32" s="70"/>
      <c r="W32" s="70"/>
      <c r="X32" s="70"/>
      <c r="Y32" s="70"/>
    </row>
    <row r="33" spans="2:25" x14ac:dyDescent="0.25">
      <c r="B33" s="68">
        <v>45652</v>
      </c>
      <c r="C33" s="50">
        <v>160.8500061035156</v>
      </c>
      <c r="D33" s="15">
        <f t="shared" si="0"/>
        <v>-6.7308652677400271E-3</v>
      </c>
      <c r="G33" s="69">
        <v>45652</v>
      </c>
      <c r="H33" s="50">
        <v>23750.19921875</v>
      </c>
      <c r="I33" s="55">
        <f t="shared" si="1"/>
        <v>9.5031862631911324E-4</v>
      </c>
      <c r="L33" s="70"/>
      <c r="M33"/>
      <c r="N33"/>
      <c r="O33"/>
      <c r="P33"/>
      <c r="Q33"/>
      <c r="R33"/>
      <c r="S33"/>
      <c r="T33"/>
      <c r="U33"/>
      <c r="V33" s="70"/>
      <c r="W33" s="70"/>
      <c r="X33" s="70"/>
      <c r="Y33" s="70"/>
    </row>
    <row r="34" spans="2:25" x14ac:dyDescent="0.25">
      <c r="B34" s="68">
        <v>45653</v>
      </c>
      <c r="C34" s="50">
        <v>159.6600036621094</v>
      </c>
      <c r="D34" s="15">
        <f t="shared" si="0"/>
        <v>-7.3982119754497644E-3</v>
      </c>
      <c r="G34" s="69">
        <v>45653</v>
      </c>
      <c r="H34" s="50">
        <v>23813.400390625</v>
      </c>
      <c r="I34" s="55">
        <f t="shared" si="1"/>
        <v>2.6610796521280289E-3</v>
      </c>
      <c r="L34" s="70"/>
      <c r="M34"/>
      <c r="N34"/>
      <c r="O34"/>
      <c r="P34"/>
      <c r="Q34"/>
      <c r="R34"/>
      <c r="S34"/>
      <c r="T34"/>
      <c r="U34"/>
      <c r="V34" s="70"/>
      <c r="W34" s="70"/>
      <c r="X34" s="70"/>
      <c r="Y34" s="70"/>
    </row>
    <row r="35" spans="2:25" x14ac:dyDescent="0.25">
      <c r="B35" s="68">
        <v>45656</v>
      </c>
      <c r="C35" s="50">
        <v>161.94999694824219</v>
      </c>
      <c r="D35" s="15">
        <f t="shared" si="0"/>
        <v>1.4342936450002286E-2</v>
      </c>
      <c r="G35" s="69">
        <v>45656</v>
      </c>
      <c r="H35" s="50">
        <v>23644.900390625</v>
      </c>
      <c r="I35" s="55">
        <f t="shared" si="1"/>
        <v>-7.0758479358679072E-3</v>
      </c>
      <c r="L35" s="70"/>
      <c r="M35"/>
      <c r="N35"/>
      <c r="O35"/>
      <c r="P35"/>
      <c r="Q35"/>
      <c r="R35"/>
      <c r="S35"/>
      <c r="T35"/>
      <c r="U35"/>
      <c r="V35" s="70"/>
      <c r="W35" s="70"/>
      <c r="X35" s="70"/>
      <c r="Y35" s="70"/>
    </row>
    <row r="36" spans="2:25" x14ac:dyDescent="0.25">
      <c r="B36" s="68">
        <v>45657</v>
      </c>
      <c r="C36" s="50">
        <v>163.75999450683591</v>
      </c>
      <c r="D36" s="15">
        <f t="shared" si="0"/>
        <v>1.1176274113621432E-2</v>
      </c>
      <c r="G36" s="69">
        <v>45657</v>
      </c>
      <c r="H36" s="50">
        <v>23644.80078125</v>
      </c>
      <c r="I36" s="55">
        <f t="shared" si="1"/>
        <v>-4.2127212783737988E-6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</row>
    <row r="37" spans="2:25" x14ac:dyDescent="0.25">
      <c r="B37" s="68">
        <v>45658</v>
      </c>
      <c r="C37" s="50">
        <v>164.67999267578119</v>
      </c>
      <c r="D37" s="15">
        <f t="shared" si="0"/>
        <v>5.6179665352082964E-3</v>
      </c>
      <c r="G37" s="69">
        <v>45658</v>
      </c>
      <c r="H37" s="50">
        <v>23742.900390625</v>
      </c>
      <c r="I37" s="55">
        <f t="shared" si="1"/>
        <v>4.1488871182535636E-3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</row>
    <row r="38" spans="2:25" x14ac:dyDescent="0.25">
      <c r="B38" s="68">
        <v>45659</v>
      </c>
      <c r="C38" s="50">
        <v>165.32000732421881</v>
      </c>
      <c r="D38" s="15">
        <f t="shared" si="0"/>
        <v>3.8864141176984113E-3</v>
      </c>
      <c r="G38" s="69">
        <v>45659</v>
      </c>
      <c r="H38" s="50">
        <v>24188.650390625</v>
      </c>
      <c r="I38" s="55">
        <f t="shared" si="1"/>
        <v>1.8774033191665485E-2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</row>
    <row r="39" spans="2:25" x14ac:dyDescent="0.25">
      <c r="B39" s="68">
        <v>45660</v>
      </c>
      <c r="C39" s="50">
        <v>167.8399963378906</v>
      </c>
      <c r="D39" s="15">
        <f t="shared" si="0"/>
        <v>1.5243097641108205E-2</v>
      </c>
      <c r="G39" s="69">
        <v>45660</v>
      </c>
      <c r="H39" s="50">
        <v>24004.75</v>
      </c>
      <c r="I39" s="55">
        <f t="shared" si="1"/>
        <v>-7.6027553276091231E-3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</row>
    <row r="40" spans="2:25" x14ac:dyDescent="0.25">
      <c r="B40" s="68">
        <v>45663</v>
      </c>
      <c r="C40" s="50">
        <v>171.52000427246091</v>
      </c>
      <c r="D40" s="15">
        <f t="shared" si="0"/>
        <v>2.1925691222977717E-2</v>
      </c>
      <c r="G40" s="69">
        <v>45663</v>
      </c>
      <c r="H40" s="50">
        <v>23616.05078125</v>
      </c>
      <c r="I40" s="55">
        <f t="shared" si="1"/>
        <v>-1.6192595996625703E-2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</row>
    <row r="41" spans="2:25" x14ac:dyDescent="0.25">
      <c r="B41" s="68">
        <v>45664</v>
      </c>
      <c r="C41" s="50">
        <v>172.30999755859381</v>
      </c>
      <c r="D41" s="15">
        <f t="shared" si="0"/>
        <v>4.6058376075945873E-3</v>
      </c>
      <c r="G41" s="69">
        <v>45664</v>
      </c>
      <c r="H41" s="50">
        <v>23707.900390625</v>
      </c>
      <c r="I41" s="55">
        <f t="shared" si="1"/>
        <v>3.8892874268343647E-3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</row>
    <row r="42" spans="2:25" x14ac:dyDescent="0.25">
      <c r="B42" s="68">
        <v>45665</v>
      </c>
      <c r="C42" s="50">
        <v>169.52000427246091</v>
      </c>
      <c r="D42" s="15">
        <f t="shared" si="0"/>
        <v>-1.6191708697483764E-2</v>
      </c>
      <c r="G42" s="69">
        <v>45665</v>
      </c>
      <c r="H42" s="50">
        <v>23688.94921875</v>
      </c>
      <c r="I42" s="55">
        <f t="shared" si="1"/>
        <v>-7.9936103841971029E-4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</row>
    <row r="43" spans="2:25" x14ac:dyDescent="0.25">
      <c r="B43" s="68">
        <v>45666</v>
      </c>
      <c r="C43" s="50">
        <v>170.19999694824219</v>
      </c>
      <c r="D43" s="15">
        <f t="shared" si="0"/>
        <v>4.0112827904863479E-3</v>
      </c>
      <c r="G43" s="69">
        <v>45666</v>
      </c>
      <c r="H43" s="50">
        <v>23526.5</v>
      </c>
      <c r="I43" s="55">
        <f t="shared" si="1"/>
        <v>-6.8575949591475061E-3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</row>
    <row r="44" spans="2:25" x14ac:dyDescent="0.25">
      <c r="B44" s="68">
        <v>45667</v>
      </c>
      <c r="C44" s="50">
        <v>169.69999694824219</v>
      </c>
      <c r="D44" s="15">
        <f t="shared" si="0"/>
        <v>-2.9377203816992603E-3</v>
      </c>
      <c r="G44" s="69">
        <v>45667</v>
      </c>
      <c r="H44" s="50">
        <v>23431.5</v>
      </c>
      <c r="I44" s="55">
        <f t="shared" si="1"/>
        <v>-4.037999702463213E-3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</row>
    <row r="45" spans="2:25" x14ac:dyDescent="0.25">
      <c r="B45" s="68">
        <v>45670</v>
      </c>
      <c r="C45" s="50">
        <v>164.53999328613281</v>
      </c>
      <c r="D45" s="15">
        <f t="shared" si="0"/>
        <v>-3.0406622008856909E-2</v>
      </c>
      <c r="G45" s="69">
        <v>45670</v>
      </c>
      <c r="H45" s="50">
        <v>23085.94921875</v>
      </c>
      <c r="I45" s="55">
        <f t="shared" si="1"/>
        <v>-1.4747275302477436E-2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</row>
    <row r="46" spans="2:25" x14ac:dyDescent="0.25">
      <c r="B46" s="68">
        <v>45671</v>
      </c>
      <c r="C46" s="50">
        <v>164.92999267578119</v>
      </c>
      <c r="D46" s="15">
        <f t="shared" si="0"/>
        <v>2.3702407047638818E-3</v>
      </c>
      <c r="G46" s="69">
        <v>45671</v>
      </c>
      <c r="H46" s="50">
        <v>23176.05078125</v>
      </c>
      <c r="I46" s="55">
        <f t="shared" si="1"/>
        <v>3.9028744993869768E-3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</row>
    <row r="47" spans="2:25" x14ac:dyDescent="0.25">
      <c r="B47" s="68">
        <v>45672</v>
      </c>
      <c r="C47" s="50">
        <v>172.77000427246091</v>
      </c>
      <c r="D47" s="15">
        <f t="shared" si="0"/>
        <v>4.7535390437393632E-2</v>
      </c>
      <c r="G47" s="69">
        <v>45672</v>
      </c>
      <c r="H47" s="50">
        <v>23213.19921875</v>
      </c>
      <c r="I47" s="55">
        <f t="shared" si="1"/>
        <v>1.6028803979861728E-3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</row>
    <row r="48" spans="2:25" x14ac:dyDescent="0.25">
      <c r="B48" s="68">
        <v>45673</v>
      </c>
      <c r="C48" s="50">
        <v>174.97999572753909</v>
      </c>
      <c r="D48" s="15">
        <f t="shared" si="0"/>
        <v>1.2791522836296254E-2</v>
      </c>
      <c r="G48" s="69">
        <v>45673</v>
      </c>
      <c r="H48" s="50">
        <v>23311.80078125</v>
      </c>
      <c r="I48" s="55">
        <f t="shared" si="1"/>
        <v>4.2476507253836893E-3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</row>
    <row r="49" spans="2:25" x14ac:dyDescent="0.25">
      <c r="B49" s="68">
        <v>45674</v>
      </c>
      <c r="C49" s="50">
        <v>172.8800048828125</v>
      </c>
      <c r="D49" s="15">
        <f t="shared" si="0"/>
        <v>-1.2001319556530832E-2</v>
      </c>
      <c r="G49" s="69">
        <v>45674</v>
      </c>
      <c r="H49" s="50">
        <v>23203.19921875</v>
      </c>
      <c r="I49" s="55">
        <f t="shared" si="1"/>
        <v>-4.6586517926727744E-3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</row>
    <row r="50" spans="2:25" x14ac:dyDescent="0.25">
      <c r="B50" s="68">
        <v>45677</v>
      </c>
      <c r="C50" s="50">
        <v>172.19000244140619</v>
      </c>
      <c r="D50" s="15">
        <f t="shared" si="0"/>
        <v>-3.9912217834215946E-3</v>
      </c>
      <c r="G50" s="69">
        <v>45677</v>
      </c>
      <c r="H50" s="50">
        <v>23344.75</v>
      </c>
      <c r="I50" s="55">
        <f t="shared" si="1"/>
        <v>6.100485537167577E-3</v>
      </c>
    </row>
    <row r="51" spans="2:25" x14ac:dyDescent="0.25">
      <c r="B51" s="68">
        <v>45678</v>
      </c>
      <c r="C51" s="50">
        <v>168.19999694824219</v>
      </c>
      <c r="D51" s="15">
        <f t="shared" si="0"/>
        <v>-2.3172108929621182E-2</v>
      </c>
      <c r="G51" s="69">
        <v>45678</v>
      </c>
      <c r="H51" s="50">
        <v>23024.650390625</v>
      </c>
      <c r="I51" s="55">
        <f t="shared" si="1"/>
        <v>-1.3711845677293555E-2</v>
      </c>
    </row>
    <row r="52" spans="2:25" x14ac:dyDescent="0.25">
      <c r="B52" s="68">
        <v>45679</v>
      </c>
      <c r="C52" s="50">
        <v>165.27000427246091</v>
      </c>
      <c r="D52" s="15">
        <f t="shared" si="0"/>
        <v>-1.7419695178014116E-2</v>
      </c>
      <c r="G52" s="69">
        <v>45679</v>
      </c>
      <c r="H52" s="50">
        <v>23155.349609375</v>
      </c>
      <c r="I52" s="55">
        <f t="shared" si="1"/>
        <v>5.6764909144164655E-3</v>
      </c>
    </row>
    <row r="53" spans="2:25" x14ac:dyDescent="0.25">
      <c r="B53" s="68">
        <v>45680</v>
      </c>
      <c r="C53" s="50">
        <v>170.30999755859381</v>
      </c>
      <c r="D53" s="15">
        <f t="shared" si="0"/>
        <v>3.0495511319913016E-2</v>
      </c>
      <c r="G53" s="69">
        <v>45680</v>
      </c>
      <c r="H53" s="50">
        <v>23205.349609375</v>
      </c>
      <c r="I53" s="55">
        <f t="shared" si="1"/>
        <v>2.1593282262408753E-3</v>
      </c>
    </row>
    <row r="54" spans="2:25" x14ac:dyDescent="0.25">
      <c r="B54" s="68">
        <v>45681</v>
      </c>
      <c r="C54" s="50">
        <v>167.3699951171875</v>
      </c>
      <c r="D54" s="15">
        <f t="shared" si="0"/>
        <v>-1.7262653300167075E-2</v>
      </c>
      <c r="G54" s="69">
        <v>45681</v>
      </c>
      <c r="H54" s="50">
        <v>23092.19921875</v>
      </c>
      <c r="I54" s="55">
        <f t="shared" si="1"/>
        <v>-4.8760476583936674E-3</v>
      </c>
    </row>
    <row r="55" spans="2:25" x14ac:dyDescent="0.25">
      <c r="B55" s="68">
        <v>45684</v>
      </c>
      <c r="C55" s="50">
        <v>166.8800048828125</v>
      </c>
      <c r="D55" s="15">
        <f t="shared" si="0"/>
        <v>-2.9275870745645305E-3</v>
      </c>
      <c r="G55" s="69">
        <v>45684</v>
      </c>
      <c r="H55" s="50">
        <v>22829.150390625</v>
      </c>
      <c r="I55" s="55">
        <f t="shared" si="1"/>
        <v>-1.1391241935562957E-2</v>
      </c>
    </row>
    <row r="56" spans="2:25" x14ac:dyDescent="0.25">
      <c r="B56" s="68">
        <v>45685</v>
      </c>
      <c r="C56" s="50">
        <v>167.7799987792969</v>
      </c>
      <c r="D56" s="15">
        <f t="shared" si="0"/>
        <v>5.3930601039735571E-3</v>
      </c>
      <c r="G56" s="69">
        <v>45685</v>
      </c>
      <c r="H56" s="50">
        <v>22957.25</v>
      </c>
      <c r="I56" s="55">
        <f t="shared" si="1"/>
        <v>5.6112298172781294E-3</v>
      </c>
    </row>
    <row r="57" spans="2:25" x14ac:dyDescent="0.25">
      <c r="B57" s="68">
        <v>45686</v>
      </c>
      <c r="C57" s="50">
        <v>170.6000061035156</v>
      </c>
      <c r="D57" s="15">
        <f t="shared" si="0"/>
        <v>1.6807768176993587E-2</v>
      </c>
      <c r="G57" s="69">
        <v>45686</v>
      </c>
      <c r="H57" s="50">
        <v>23163.099609375</v>
      </c>
      <c r="I57" s="55">
        <f t="shared" si="1"/>
        <v>8.966649288351114E-3</v>
      </c>
    </row>
    <row r="58" spans="2:25" x14ac:dyDescent="0.25">
      <c r="B58" s="68">
        <v>45687</v>
      </c>
      <c r="C58" s="50">
        <v>168.5899963378906</v>
      </c>
      <c r="D58" s="15">
        <f t="shared" si="0"/>
        <v>-1.1782002893982235E-2</v>
      </c>
      <c r="G58" s="69">
        <v>45687</v>
      </c>
      <c r="H58" s="50">
        <v>23249.5</v>
      </c>
      <c r="I58" s="55">
        <f t="shared" si="1"/>
        <v>3.730087599762788E-3</v>
      </c>
    </row>
    <row r="59" spans="2:25" x14ac:dyDescent="0.25">
      <c r="B59" s="68">
        <v>45688</v>
      </c>
      <c r="C59" s="50">
        <v>168.8999938964844</v>
      </c>
      <c r="D59" s="15">
        <f t="shared" si="0"/>
        <v>1.8387660319565402E-3</v>
      </c>
      <c r="G59" s="69">
        <v>45688</v>
      </c>
      <c r="H59" s="50">
        <v>23508.400390625</v>
      </c>
      <c r="I59" s="55">
        <f t="shared" si="1"/>
        <v>1.1135740150325812E-2</v>
      </c>
    </row>
    <row r="60" spans="2:25" x14ac:dyDescent="0.25">
      <c r="B60" s="68">
        <v>45689</v>
      </c>
      <c r="C60" s="50">
        <v>175.5299987792969</v>
      </c>
      <c r="D60" s="15">
        <f t="shared" si="0"/>
        <v>3.9254026775607187E-2</v>
      </c>
      <c r="G60" s="69">
        <v>45689</v>
      </c>
      <c r="H60" s="50">
        <v>23482.150390625</v>
      </c>
      <c r="I60" s="55">
        <f t="shared" si="1"/>
        <v>-1.1166221250199504E-3</v>
      </c>
    </row>
    <row r="61" spans="2:25" x14ac:dyDescent="0.25">
      <c r="B61" s="68">
        <v>45691</v>
      </c>
      <c r="C61" s="50">
        <v>178.8999938964844</v>
      </c>
      <c r="D61" s="15">
        <f t="shared" si="0"/>
        <v>1.9198969638373642E-2</v>
      </c>
      <c r="G61" s="69">
        <v>45691</v>
      </c>
      <c r="H61" s="50">
        <v>23361.05078125</v>
      </c>
      <c r="I61" s="55">
        <f t="shared" si="1"/>
        <v>-5.1570919766934509E-3</v>
      </c>
    </row>
    <row r="62" spans="2:25" x14ac:dyDescent="0.25">
      <c r="B62" s="68">
        <v>45692</v>
      </c>
      <c r="C62" s="50">
        <v>178.97999572753909</v>
      </c>
      <c r="D62" s="15">
        <f t="shared" si="0"/>
        <v>4.4718744429350643E-4</v>
      </c>
      <c r="G62" s="69">
        <v>45692</v>
      </c>
      <c r="H62" s="50">
        <v>23739.25</v>
      </c>
      <c r="I62" s="55">
        <f t="shared" si="1"/>
        <v>1.6189306820631133E-2</v>
      </c>
    </row>
    <row r="63" spans="2:25" x14ac:dyDescent="0.25">
      <c r="B63" s="68">
        <v>45693</v>
      </c>
      <c r="C63" s="50">
        <v>174.32000732421881</v>
      </c>
      <c r="D63" s="15">
        <f t="shared" si="0"/>
        <v>-2.6036364479604668E-2</v>
      </c>
      <c r="G63" s="69">
        <v>45693</v>
      </c>
      <c r="H63" s="50">
        <v>23696.30078125</v>
      </c>
      <c r="I63" s="55">
        <f t="shared" si="1"/>
        <v>-1.809207062143936E-3</v>
      </c>
    </row>
    <row r="64" spans="2:25" x14ac:dyDescent="0.25">
      <c r="B64" s="68">
        <v>45694</v>
      </c>
      <c r="C64" s="50">
        <v>173.82000732421881</v>
      </c>
      <c r="D64" s="15">
        <f t="shared" si="0"/>
        <v>-2.8682880850851022E-3</v>
      </c>
      <c r="G64" s="69">
        <v>45694</v>
      </c>
      <c r="H64" s="50">
        <v>23603.349609375</v>
      </c>
      <c r="I64" s="55">
        <f t="shared" si="1"/>
        <v>-3.9226026346081966E-3</v>
      </c>
    </row>
    <row r="65" spans="2:9" x14ac:dyDescent="0.25">
      <c r="B65" s="68">
        <v>45695</v>
      </c>
      <c r="C65" s="50">
        <v>173.46000671386719</v>
      </c>
      <c r="D65" s="15">
        <f t="shared" si="0"/>
        <v>-2.0711114669332842E-3</v>
      </c>
      <c r="G65" s="69">
        <v>45695</v>
      </c>
      <c r="H65" s="50">
        <v>23559.94921875</v>
      </c>
      <c r="I65" s="55">
        <f t="shared" si="1"/>
        <v>-1.8387386257991967E-3</v>
      </c>
    </row>
    <row r="66" spans="2:9" x14ac:dyDescent="0.25">
      <c r="B66" s="68">
        <v>45698</v>
      </c>
      <c r="C66" s="50">
        <v>169.44000244140619</v>
      </c>
      <c r="D66" s="15">
        <f t="shared" si="0"/>
        <v>-2.3175395577449964E-2</v>
      </c>
      <c r="G66" s="69">
        <v>45698</v>
      </c>
      <c r="H66" s="50">
        <v>23381.599609375</v>
      </c>
      <c r="I66" s="55">
        <f t="shared" si="1"/>
        <v>-7.5700336923079092E-3</v>
      </c>
    </row>
    <row r="67" spans="2:9" x14ac:dyDescent="0.25">
      <c r="B67" s="68">
        <v>45699</v>
      </c>
      <c r="C67" s="50">
        <v>166.83000183105469</v>
      </c>
      <c r="D67" s="15">
        <f t="shared" si="0"/>
        <v>-1.5403686099768943E-2</v>
      </c>
      <c r="G67" s="69">
        <v>45699</v>
      </c>
      <c r="H67" s="50">
        <v>23071.80078125</v>
      </c>
      <c r="I67" s="55">
        <f t="shared" si="1"/>
        <v>-1.3249684936046169E-2</v>
      </c>
    </row>
    <row r="68" spans="2:9" x14ac:dyDescent="0.25">
      <c r="B68" s="68">
        <v>45700</v>
      </c>
      <c r="C68" s="50">
        <v>171.92999267578119</v>
      </c>
      <c r="D68" s="15">
        <f t="shared" si="0"/>
        <v>3.0569986146083972E-2</v>
      </c>
      <c r="G68" s="69">
        <v>45700</v>
      </c>
      <c r="H68" s="50">
        <v>23045.25</v>
      </c>
      <c r="I68" s="55">
        <f t="shared" si="1"/>
        <v>-1.1507892904301098E-3</v>
      </c>
    </row>
    <row r="69" spans="2:9" x14ac:dyDescent="0.25">
      <c r="B69" s="68">
        <v>45701</v>
      </c>
      <c r="C69" s="50">
        <v>170.4100036621094</v>
      </c>
      <c r="D69" s="15">
        <f t="shared" si="0"/>
        <v>-8.8407437819073564E-3</v>
      </c>
      <c r="G69" s="69">
        <v>45701</v>
      </c>
      <c r="H69" s="50">
        <v>23031.400390625</v>
      </c>
      <c r="I69" s="55">
        <f t="shared" si="1"/>
        <v>-6.0097457719054947E-4</v>
      </c>
    </row>
    <row r="70" spans="2:9" x14ac:dyDescent="0.25">
      <c r="B70" s="68">
        <v>45702</v>
      </c>
      <c r="C70" s="50">
        <v>168.6600036621094</v>
      </c>
      <c r="D70" s="15">
        <f t="shared" si="0"/>
        <v>-1.0269350169547109E-2</v>
      </c>
      <c r="G70" s="69">
        <v>45702</v>
      </c>
      <c r="H70" s="50">
        <v>22929.25</v>
      </c>
      <c r="I70" s="55">
        <f t="shared" si="1"/>
        <v>-4.4352661537063742E-3</v>
      </c>
    </row>
    <row r="71" spans="2:9" x14ac:dyDescent="0.25">
      <c r="B71" s="68">
        <v>45705</v>
      </c>
      <c r="C71" s="50">
        <v>173.49000549316409</v>
      </c>
      <c r="D71" s="15">
        <f t="shared" si="0"/>
        <v>2.8637505787863171E-2</v>
      </c>
      <c r="G71" s="69">
        <v>45705</v>
      </c>
      <c r="H71" s="50">
        <v>22959.5</v>
      </c>
      <c r="I71" s="55">
        <f t="shared" si="1"/>
        <v>1.3192755977626813E-3</v>
      </c>
    </row>
    <row r="72" spans="2:9" x14ac:dyDescent="0.25">
      <c r="B72" s="68">
        <v>45706</v>
      </c>
      <c r="C72" s="50">
        <v>170.8999938964844</v>
      </c>
      <c r="D72" s="15">
        <f t="shared" si="0"/>
        <v>-1.4928880711700399E-2</v>
      </c>
      <c r="G72" s="69">
        <v>45706</v>
      </c>
      <c r="H72" s="50">
        <v>22945.30078125</v>
      </c>
      <c r="I72" s="55">
        <f t="shared" si="1"/>
        <v>-6.1844634029484258E-4</v>
      </c>
    </row>
    <row r="73" spans="2:9" x14ac:dyDescent="0.25">
      <c r="B73" s="68">
        <v>45707</v>
      </c>
      <c r="C73" s="50">
        <v>170.77000427246091</v>
      </c>
      <c r="D73" s="15">
        <f t="shared" ref="D73:D136" si="2">C73/C72-1</f>
        <v>-7.6061807294292016E-4</v>
      </c>
      <c r="G73" s="69">
        <v>45707</v>
      </c>
      <c r="H73" s="50">
        <v>22932.900390625</v>
      </c>
      <c r="I73" s="55">
        <f t="shared" si="1"/>
        <v>-5.4043269004055983E-4</v>
      </c>
    </row>
    <row r="74" spans="2:9" x14ac:dyDescent="0.25">
      <c r="B74" s="68">
        <v>45708</v>
      </c>
      <c r="C74" s="50">
        <v>165.58000183105469</v>
      </c>
      <c r="D74" s="15">
        <f t="shared" si="2"/>
        <v>-3.0391768528187479E-2</v>
      </c>
      <c r="G74" s="69">
        <v>45708</v>
      </c>
      <c r="H74" s="50">
        <v>22913.150390625</v>
      </c>
      <c r="I74" s="55">
        <f t="shared" ref="I74:I137" si="3">H74/H73-1</f>
        <v>-8.6120811862389068E-4</v>
      </c>
    </row>
    <row r="75" spans="2:9" x14ac:dyDescent="0.25">
      <c r="B75" s="68">
        <v>45709</v>
      </c>
      <c r="C75" s="50">
        <v>164.2200012207031</v>
      </c>
      <c r="D75" s="15">
        <f t="shared" si="2"/>
        <v>-8.2135559567104721E-3</v>
      </c>
      <c r="G75" s="69">
        <v>45709</v>
      </c>
      <c r="H75" s="50">
        <v>22795.900390625</v>
      </c>
      <c r="I75" s="55">
        <f t="shared" si="3"/>
        <v>-5.117148798882476E-3</v>
      </c>
    </row>
    <row r="76" spans="2:9" x14ac:dyDescent="0.25">
      <c r="B76" s="68">
        <v>45712</v>
      </c>
      <c r="C76" s="50">
        <v>163.75999450683591</v>
      </c>
      <c r="D76" s="15">
        <f t="shared" si="2"/>
        <v>-2.8011613107282729E-3</v>
      </c>
      <c r="G76" s="69">
        <v>45712</v>
      </c>
      <c r="H76" s="50">
        <v>22553.349609375</v>
      </c>
      <c r="I76" s="55">
        <f t="shared" si="3"/>
        <v>-1.0640105330068539E-2</v>
      </c>
    </row>
    <row r="77" spans="2:9" x14ac:dyDescent="0.25">
      <c r="B77" s="68">
        <v>45713</v>
      </c>
      <c r="C77" s="50">
        <v>163.13999938964841</v>
      </c>
      <c r="D77" s="15">
        <f t="shared" si="2"/>
        <v>-3.7859986442636551E-3</v>
      </c>
      <c r="G77" s="69">
        <v>45713</v>
      </c>
      <c r="H77" s="50">
        <v>22547.55078125</v>
      </c>
      <c r="I77" s="55">
        <f t="shared" si="3"/>
        <v>-2.5711604818956513E-4</v>
      </c>
    </row>
    <row r="78" spans="2:9" x14ac:dyDescent="0.25">
      <c r="B78" s="68">
        <v>45715</v>
      </c>
      <c r="C78" s="50">
        <v>160.67999267578119</v>
      </c>
      <c r="D78" s="15">
        <f t="shared" si="2"/>
        <v>-1.5079114399109805E-2</v>
      </c>
      <c r="G78" s="69">
        <v>45715</v>
      </c>
      <c r="H78" s="50">
        <v>22545.05078125</v>
      </c>
      <c r="I78" s="55">
        <f t="shared" si="3"/>
        <v>-1.1087678764998277E-4</v>
      </c>
    </row>
    <row r="79" spans="2:9" x14ac:dyDescent="0.25">
      <c r="B79" s="68">
        <v>45716</v>
      </c>
      <c r="C79" s="50">
        <v>158.80000305175781</v>
      </c>
      <c r="D79" s="15">
        <f t="shared" si="2"/>
        <v>-1.1700209794114236E-2</v>
      </c>
      <c r="G79" s="69">
        <v>45716</v>
      </c>
      <c r="H79" s="50">
        <v>22124.69921875</v>
      </c>
      <c r="I79" s="55">
        <f t="shared" si="3"/>
        <v>-1.8644959666695105E-2</v>
      </c>
    </row>
    <row r="80" spans="2:9" x14ac:dyDescent="0.25">
      <c r="B80" s="68">
        <v>45719</v>
      </c>
      <c r="C80" s="50">
        <v>159.44999694824219</v>
      </c>
      <c r="D80" s="15">
        <f t="shared" si="2"/>
        <v>4.0931604785456877E-3</v>
      </c>
      <c r="G80" s="69">
        <v>45719</v>
      </c>
      <c r="H80" s="50">
        <v>22119.30078125</v>
      </c>
      <c r="I80" s="55">
        <f t="shared" si="3"/>
        <v>-2.4400049223838316E-4</v>
      </c>
    </row>
    <row r="81" spans="2:9" x14ac:dyDescent="0.25">
      <c r="B81" s="68">
        <v>45720</v>
      </c>
      <c r="C81" s="50">
        <v>161.75</v>
      </c>
      <c r="D81" s="15">
        <f t="shared" si="2"/>
        <v>1.442460392460454E-2</v>
      </c>
      <c r="G81" s="69">
        <v>45720</v>
      </c>
      <c r="H81" s="50">
        <v>22082.650390625</v>
      </c>
      <c r="I81" s="55">
        <f t="shared" si="3"/>
        <v>-1.6569416451024388E-3</v>
      </c>
    </row>
    <row r="82" spans="2:9" x14ac:dyDescent="0.25">
      <c r="B82" s="68">
        <v>45721</v>
      </c>
      <c r="C82" s="50">
        <v>165.3800048828125</v>
      </c>
      <c r="D82" s="15">
        <f t="shared" si="2"/>
        <v>2.2442070372874712E-2</v>
      </c>
      <c r="G82" s="69">
        <v>45721</v>
      </c>
      <c r="H82" s="50">
        <v>22337.30078125</v>
      </c>
      <c r="I82" s="55">
        <f t="shared" si="3"/>
        <v>1.1531695069225467E-2</v>
      </c>
    </row>
    <row r="83" spans="2:9" x14ac:dyDescent="0.25">
      <c r="B83" s="68">
        <v>45722</v>
      </c>
      <c r="C83" s="50">
        <v>168.75999450683591</v>
      </c>
      <c r="D83" s="15">
        <f t="shared" si="2"/>
        <v>2.0437716315333532E-2</v>
      </c>
      <c r="G83" s="69">
        <v>45722</v>
      </c>
      <c r="H83" s="50">
        <v>22544.69921875</v>
      </c>
      <c r="I83" s="55">
        <f t="shared" si="3"/>
        <v>9.2848477768670001E-3</v>
      </c>
    </row>
    <row r="84" spans="2:9" x14ac:dyDescent="0.25">
      <c r="B84" s="68">
        <v>45723</v>
      </c>
      <c r="C84" s="50">
        <v>164.78999328613281</v>
      </c>
      <c r="D84" s="15">
        <f t="shared" si="2"/>
        <v>-2.352453987868719E-2</v>
      </c>
      <c r="G84" s="69">
        <v>45723</v>
      </c>
      <c r="H84" s="50">
        <v>22552.5</v>
      </c>
      <c r="I84" s="55">
        <f t="shared" si="3"/>
        <v>3.4601398645017767E-4</v>
      </c>
    </row>
    <row r="85" spans="2:9" x14ac:dyDescent="0.25">
      <c r="B85" s="68">
        <v>45726</v>
      </c>
      <c r="C85" s="50">
        <v>162.47999572753909</v>
      </c>
      <c r="D85" s="15">
        <f t="shared" si="2"/>
        <v>-1.4017826644259657E-2</v>
      </c>
      <c r="G85" s="69">
        <v>45726</v>
      </c>
      <c r="H85" s="50">
        <v>22460.30078125</v>
      </c>
      <c r="I85" s="55">
        <f t="shared" si="3"/>
        <v>-4.0882039130917258E-3</v>
      </c>
    </row>
    <row r="86" spans="2:9" x14ac:dyDescent="0.25">
      <c r="B86" s="68">
        <v>45727</v>
      </c>
      <c r="C86" s="50">
        <v>165.78999328613281</v>
      </c>
      <c r="D86" s="15">
        <f t="shared" si="2"/>
        <v>2.03717235698615E-2</v>
      </c>
      <c r="G86" s="69">
        <v>45727</v>
      </c>
      <c r="H86" s="50">
        <v>22497.900390625</v>
      </c>
      <c r="I86" s="55">
        <f t="shared" si="3"/>
        <v>1.6740474556060647E-3</v>
      </c>
    </row>
    <row r="87" spans="2:9" x14ac:dyDescent="0.25">
      <c r="B87" s="68">
        <v>45728</v>
      </c>
      <c r="C87" s="50">
        <v>164.3399963378906</v>
      </c>
      <c r="D87" s="15">
        <f t="shared" si="2"/>
        <v>-8.7459859277495555E-3</v>
      </c>
      <c r="G87" s="69">
        <v>45728</v>
      </c>
      <c r="H87" s="50">
        <v>22470.5</v>
      </c>
      <c r="I87" s="55">
        <f t="shared" si="3"/>
        <v>-1.2179087892316698E-3</v>
      </c>
    </row>
    <row r="88" spans="2:9" x14ac:dyDescent="0.25">
      <c r="B88" s="68">
        <v>45729</v>
      </c>
      <c r="C88" s="50">
        <v>164.55999755859381</v>
      </c>
      <c r="D88" s="15">
        <f t="shared" si="2"/>
        <v>1.3386955434200321E-3</v>
      </c>
      <c r="G88" s="69">
        <v>45729</v>
      </c>
      <c r="H88" s="50">
        <v>22397.19921875</v>
      </c>
      <c r="I88" s="55">
        <f t="shared" si="3"/>
        <v>-3.2620894617386709E-3</v>
      </c>
    </row>
    <row r="89" spans="2:9" x14ac:dyDescent="0.25">
      <c r="B89" s="68">
        <v>45733</v>
      </c>
      <c r="C89" s="50">
        <v>164.8699951171875</v>
      </c>
      <c r="D89" s="15">
        <f t="shared" si="2"/>
        <v>1.8837965677735991E-3</v>
      </c>
      <c r="G89" s="69">
        <v>45733</v>
      </c>
      <c r="H89" s="50">
        <v>22508.75</v>
      </c>
      <c r="I89" s="55">
        <f t="shared" si="3"/>
        <v>4.980568336268254E-3</v>
      </c>
    </row>
    <row r="90" spans="2:9" x14ac:dyDescent="0.25">
      <c r="B90" s="68">
        <v>45734</v>
      </c>
      <c r="C90" s="50">
        <v>164.8699951171875</v>
      </c>
      <c r="D90" s="15">
        <f t="shared" si="2"/>
        <v>0</v>
      </c>
      <c r="G90" s="69">
        <v>45734</v>
      </c>
      <c r="H90" s="50">
        <v>22834.30078125</v>
      </c>
      <c r="I90" s="55">
        <f t="shared" si="3"/>
        <v>1.446329899483545E-2</v>
      </c>
    </row>
    <row r="91" spans="2:9" x14ac:dyDescent="0.25">
      <c r="B91" s="68">
        <v>45735</v>
      </c>
      <c r="C91" s="50">
        <v>164.8399963378906</v>
      </c>
      <c r="D91" s="15">
        <f t="shared" si="2"/>
        <v>-1.8195414681476674E-4</v>
      </c>
      <c r="G91" s="69">
        <v>45735</v>
      </c>
      <c r="H91" s="50">
        <v>22907.599609375</v>
      </c>
      <c r="I91" s="55">
        <f t="shared" si="3"/>
        <v>3.2100316461272094E-3</v>
      </c>
    </row>
    <row r="92" spans="2:9" x14ac:dyDescent="0.25">
      <c r="B92" s="68">
        <v>45736</v>
      </c>
      <c r="C92" s="50">
        <v>168.08000183105469</v>
      </c>
      <c r="D92" s="15">
        <f t="shared" si="2"/>
        <v>1.9655457201798843E-2</v>
      </c>
      <c r="G92" s="69">
        <v>45736</v>
      </c>
      <c r="H92" s="50">
        <v>23190.650390625</v>
      </c>
      <c r="I92" s="55">
        <f t="shared" si="3"/>
        <v>1.2356195589090069E-2</v>
      </c>
    </row>
    <row r="93" spans="2:9" x14ac:dyDescent="0.25">
      <c r="B93" s="68">
        <v>45737</v>
      </c>
      <c r="C93" s="50">
        <v>172.52000427246091</v>
      </c>
      <c r="D93" s="15">
        <f t="shared" si="2"/>
        <v>2.6416006622067334E-2</v>
      </c>
      <c r="G93" s="69">
        <v>45737</v>
      </c>
      <c r="H93" s="50">
        <v>23350.400390625</v>
      </c>
      <c r="I93" s="55">
        <f t="shared" si="3"/>
        <v>6.8885519512889015E-3</v>
      </c>
    </row>
    <row r="94" spans="2:9" x14ac:dyDescent="0.25">
      <c r="B94" s="68">
        <v>45740</v>
      </c>
      <c r="C94" s="50">
        <v>173.25</v>
      </c>
      <c r="D94" s="15">
        <f t="shared" si="2"/>
        <v>4.2313685918196065E-3</v>
      </c>
      <c r="G94" s="69">
        <v>45740</v>
      </c>
      <c r="H94" s="50">
        <v>23658.349609375</v>
      </c>
      <c r="I94" s="55">
        <f t="shared" si="3"/>
        <v>1.3188177230298859E-2</v>
      </c>
    </row>
    <row r="95" spans="2:9" x14ac:dyDescent="0.25">
      <c r="B95" s="68">
        <v>45741</v>
      </c>
      <c r="C95" s="50">
        <v>169.50999450683591</v>
      </c>
      <c r="D95" s="15">
        <f t="shared" si="2"/>
        <v>-2.158733329387641E-2</v>
      </c>
      <c r="G95" s="69">
        <v>45741</v>
      </c>
      <c r="H95" s="50">
        <v>23668.650390625</v>
      </c>
      <c r="I95" s="55">
        <f t="shared" si="3"/>
        <v>4.3539728764163677E-4</v>
      </c>
    </row>
    <row r="96" spans="2:9" x14ac:dyDescent="0.25">
      <c r="B96" s="68">
        <v>45742</v>
      </c>
      <c r="C96" s="50">
        <v>171.94999694824219</v>
      </c>
      <c r="D96" s="15">
        <f t="shared" si="2"/>
        <v>1.4394445876215745E-2</v>
      </c>
      <c r="G96" s="69">
        <v>45742</v>
      </c>
      <c r="H96" s="50">
        <v>23486.849609375</v>
      </c>
      <c r="I96" s="55">
        <f t="shared" si="3"/>
        <v>-7.6810793285454482E-3</v>
      </c>
    </row>
    <row r="97" spans="2:9" x14ac:dyDescent="0.25">
      <c r="B97" s="68">
        <v>45743</v>
      </c>
      <c r="C97" s="50">
        <v>174.55000305175781</v>
      </c>
      <c r="D97" s="15">
        <f t="shared" si="2"/>
        <v>1.5120710378949465E-2</v>
      </c>
      <c r="G97" s="69">
        <v>45743</v>
      </c>
      <c r="H97" s="50">
        <v>23591.94921875</v>
      </c>
      <c r="I97" s="55">
        <f t="shared" si="3"/>
        <v>4.4748278770025962E-3</v>
      </c>
    </row>
    <row r="98" spans="2:9" x14ac:dyDescent="0.25">
      <c r="B98" s="68">
        <v>45744</v>
      </c>
      <c r="C98" s="50">
        <v>179.08000183105469</v>
      </c>
      <c r="D98" s="15">
        <f t="shared" si="2"/>
        <v>2.5952441707798979E-2</v>
      </c>
      <c r="G98" s="69">
        <v>45744</v>
      </c>
      <c r="H98" s="50">
        <v>23519.349609375</v>
      </c>
      <c r="I98" s="55">
        <f t="shared" si="3"/>
        <v>-3.0773044101545244E-3</v>
      </c>
    </row>
    <row r="99" spans="2:9" x14ac:dyDescent="0.25">
      <c r="B99" s="68">
        <v>45748</v>
      </c>
      <c r="C99" s="50">
        <v>179.83000183105469</v>
      </c>
      <c r="D99" s="15">
        <f t="shared" si="2"/>
        <v>4.188072327068415E-3</v>
      </c>
      <c r="G99" s="69">
        <v>45748</v>
      </c>
      <c r="H99" s="50">
        <v>23165.69921875</v>
      </c>
      <c r="I99" s="55">
        <f t="shared" si="3"/>
        <v>-1.5036571865236992E-2</v>
      </c>
    </row>
    <row r="100" spans="2:9" x14ac:dyDescent="0.25">
      <c r="B100" s="68">
        <v>45749</v>
      </c>
      <c r="C100" s="50">
        <v>179.88999938964841</v>
      </c>
      <c r="D100" s="15">
        <f t="shared" si="2"/>
        <v>3.3363486616710958E-4</v>
      </c>
      <c r="G100" s="69">
        <v>45749</v>
      </c>
      <c r="H100" s="50">
        <v>23332.349609375</v>
      </c>
      <c r="I100" s="55">
        <f t="shared" si="3"/>
        <v>7.1938424586863725E-3</v>
      </c>
    </row>
    <row r="101" spans="2:9" x14ac:dyDescent="0.25">
      <c r="B101" s="68">
        <v>45750</v>
      </c>
      <c r="C101" s="50">
        <v>179.3699951171875</v>
      </c>
      <c r="D101" s="15">
        <f t="shared" si="2"/>
        <v>-2.8906791607384852E-3</v>
      </c>
      <c r="G101" s="69">
        <v>45750</v>
      </c>
      <c r="H101" s="50">
        <v>23250.099609375</v>
      </c>
      <c r="I101" s="55">
        <f t="shared" si="3"/>
        <v>-3.5251486188494496E-3</v>
      </c>
    </row>
    <row r="102" spans="2:9" x14ac:dyDescent="0.25">
      <c r="B102" s="68">
        <v>45751</v>
      </c>
      <c r="C102" s="50">
        <v>176.7799987792969</v>
      </c>
      <c r="D102" s="15">
        <f t="shared" si="2"/>
        <v>-1.4439406859539039E-2</v>
      </c>
      <c r="G102" s="69">
        <v>45751</v>
      </c>
      <c r="H102" s="50">
        <v>22904.44921875</v>
      </c>
      <c r="I102" s="55">
        <f t="shared" si="3"/>
        <v>-1.4866619775066536E-2</v>
      </c>
    </row>
    <row r="103" spans="2:9" x14ac:dyDescent="0.25">
      <c r="B103" s="68">
        <v>45754</v>
      </c>
      <c r="C103" s="50">
        <v>171.30000305175781</v>
      </c>
      <c r="D103" s="15">
        <f t="shared" si="2"/>
        <v>-3.0998957831087304E-2</v>
      </c>
      <c r="G103" s="69">
        <v>45754</v>
      </c>
      <c r="H103" s="50">
        <v>22161.599609375</v>
      </c>
      <c r="I103" s="55">
        <f t="shared" si="3"/>
        <v>-3.2432546283055363E-2</v>
      </c>
    </row>
    <row r="104" spans="2:9" x14ac:dyDescent="0.25">
      <c r="B104" s="68">
        <v>45755</v>
      </c>
      <c r="C104" s="50">
        <v>176.75</v>
      </c>
      <c r="D104" s="15">
        <f t="shared" si="2"/>
        <v>3.1815509930817054E-2</v>
      </c>
      <c r="G104" s="69">
        <v>45755</v>
      </c>
      <c r="H104" s="50">
        <v>22535.849609375</v>
      </c>
      <c r="I104" s="55">
        <f t="shared" si="3"/>
        <v>1.6887318902814252E-2</v>
      </c>
    </row>
    <row r="105" spans="2:9" x14ac:dyDescent="0.25">
      <c r="B105" s="68">
        <v>45756</v>
      </c>
      <c r="C105" s="50">
        <v>177</v>
      </c>
      <c r="D105" s="15">
        <f t="shared" si="2"/>
        <v>1.4144271570013522E-3</v>
      </c>
      <c r="G105" s="69">
        <v>45756</v>
      </c>
      <c r="H105" s="50">
        <v>22399.150390625</v>
      </c>
      <c r="I105" s="55">
        <f t="shared" si="3"/>
        <v>-6.0658560080705248E-3</v>
      </c>
    </row>
    <row r="106" spans="2:9" x14ac:dyDescent="0.25">
      <c r="B106" s="68">
        <v>45758</v>
      </c>
      <c r="C106" s="50">
        <v>179.8999938964844</v>
      </c>
      <c r="D106" s="15">
        <f t="shared" si="2"/>
        <v>1.638414630782159E-2</v>
      </c>
      <c r="G106" s="69">
        <v>45758</v>
      </c>
      <c r="H106" s="50">
        <v>22828.55078125</v>
      </c>
      <c r="I106" s="55">
        <f t="shared" si="3"/>
        <v>1.9170387409190415E-2</v>
      </c>
    </row>
    <row r="107" spans="2:9" x14ac:dyDescent="0.25">
      <c r="B107" s="68">
        <v>45762</v>
      </c>
      <c r="C107" s="50">
        <v>185.86000061035159</v>
      </c>
      <c r="D107" s="15">
        <f t="shared" si="2"/>
        <v>3.312955484198965E-2</v>
      </c>
      <c r="G107" s="69">
        <v>45762</v>
      </c>
      <c r="H107" s="50">
        <v>23328.55078125</v>
      </c>
      <c r="I107" s="55">
        <f t="shared" si="3"/>
        <v>2.1902397782108451E-2</v>
      </c>
    </row>
    <row r="108" spans="2:9" x14ac:dyDescent="0.25">
      <c r="B108" s="68">
        <v>45763</v>
      </c>
      <c r="C108" s="50">
        <v>189.8399963378906</v>
      </c>
      <c r="D108" s="15">
        <f t="shared" si="2"/>
        <v>2.1413944444576449E-2</v>
      </c>
      <c r="G108" s="69">
        <v>45763</v>
      </c>
      <c r="H108" s="50">
        <v>23437.19921875</v>
      </c>
      <c r="I108" s="55">
        <f t="shared" si="3"/>
        <v>4.6573162010270508E-3</v>
      </c>
    </row>
    <row r="109" spans="2:9" x14ac:dyDescent="0.25">
      <c r="B109" s="68">
        <v>45764</v>
      </c>
      <c r="C109" s="50">
        <v>189.44999694824219</v>
      </c>
      <c r="D109" s="15">
        <f t="shared" si="2"/>
        <v>-2.0543583921812658E-3</v>
      </c>
      <c r="G109" s="69">
        <v>45764</v>
      </c>
      <c r="H109" s="50">
        <v>23851.650390625</v>
      </c>
      <c r="I109" s="55">
        <f t="shared" si="3"/>
        <v>1.7683476937954135E-2</v>
      </c>
    </row>
    <row r="110" spans="2:9" x14ac:dyDescent="0.25">
      <c r="B110" s="68">
        <v>45768</v>
      </c>
      <c r="C110" s="50">
        <v>192.1499938964844</v>
      </c>
      <c r="D110" s="15">
        <f t="shared" si="2"/>
        <v>1.4251765593745969E-2</v>
      </c>
      <c r="G110" s="69">
        <v>45768</v>
      </c>
      <c r="H110" s="50">
        <v>24125.55078125</v>
      </c>
      <c r="I110" s="55">
        <f t="shared" si="3"/>
        <v>1.1483498464016417E-2</v>
      </c>
    </row>
    <row r="111" spans="2:9" x14ac:dyDescent="0.25">
      <c r="B111" s="68">
        <v>45769</v>
      </c>
      <c r="C111" s="50">
        <v>187.94000244140619</v>
      </c>
      <c r="D111" s="15">
        <f t="shared" si="2"/>
        <v>-2.1909922398156478E-2</v>
      </c>
      <c r="G111" s="69">
        <v>45769</v>
      </c>
      <c r="H111" s="50">
        <v>24167.25</v>
      </c>
      <c r="I111" s="55">
        <f t="shared" si="3"/>
        <v>1.7284255654137493E-3</v>
      </c>
    </row>
    <row r="112" spans="2:9" x14ac:dyDescent="0.25">
      <c r="B112" s="68">
        <v>45770</v>
      </c>
      <c r="C112" s="50">
        <v>192.94999694824219</v>
      </c>
      <c r="D112" s="15">
        <f t="shared" si="2"/>
        <v>2.6657414290488513E-2</v>
      </c>
      <c r="G112" s="69">
        <v>45770</v>
      </c>
      <c r="H112" s="50">
        <v>24328.94921875</v>
      </c>
      <c r="I112" s="55">
        <f t="shared" si="3"/>
        <v>6.6908406521222208E-3</v>
      </c>
    </row>
    <row r="113" spans="2:9" x14ac:dyDescent="0.25">
      <c r="B113" s="68">
        <v>45771</v>
      </c>
      <c r="C113" s="50">
        <v>194.3699951171875</v>
      </c>
      <c r="D113" s="15">
        <f t="shared" si="2"/>
        <v>7.3594101653509103E-3</v>
      </c>
      <c r="G113" s="69">
        <v>45771</v>
      </c>
      <c r="H113" s="50">
        <v>24246.69921875</v>
      </c>
      <c r="I113" s="55">
        <f t="shared" si="3"/>
        <v>-3.3807460922566923E-3</v>
      </c>
    </row>
    <row r="114" spans="2:9" x14ac:dyDescent="0.25">
      <c r="B114" s="68">
        <v>45772</v>
      </c>
      <c r="C114" s="50">
        <v>191.57000732421881</v>
      </c>
      <c r="D114" s="15">
        <f t="shared" si="2"/>
        <v>-1.4405452813231578E-2</v>
      </c>
      <c r="G114" s="69">
        <v>45772</v>
      </c>
      <c r="H114" s="50">
        <v>24039.349609375</v>
      </c>
      <c r="I114" s="55">
        <f t="shared" si="3"/>
        <v>-8.5516633626838701E-3</v>
      </c>
    </row>
    <row r="115" spans="2:9" x14ac:dyDescent="0.25">
      <c r="B115" s="68">
        <v>45775</v>
      </c>
      <c r="C115" s="50">
        <v>194.07000732421881</v>
      </c>
      <c r="D115" s="15">
        <f t="shared" si="2"/>
        <v>1.3050059531338531E-2</v>
      </c>
      <c r="G115" s="69">
        <v>45775</v>
      </c>
      <c r="H115" s="50">
        <v>24328.5</v>
      </c>
      <c r="I115" s="55">
        <f t="shared" si="3"/>
        <v>1.2028211882747275E-2</v>
      </c>
    </row>
    <row r="116" spans="2:9" x14ac:dyDescent="0.25">
      <c r="B116" s="68">
        <v>45776</v>
      </c>
      <c r="C116" s="50">
        <v>194.7200012207031</v>
      </c>
      <c r="D116" s="15">
        <f t="shared" si="2"/>
        <v>3.3492753746249271E-3</v>
      </c>
      <c r="G116" s="69">
        <v>45776</v>
      </c>
      <c r="H116" s="50">
        <v>24335.94921875</v>
      </c>
      <c r="I116" s="55">
        <f t="shared" si="3"/>
        <v>3.0619309657398119E-4</v>
      </c>
    </row>
    <row r="117" spans="2:9" x14ac:dyDescent="0.25">
      <c r="B117" s="68">
        <v>45777</v>
      </c>
      <c r="C117" s="50">
        <v>194.3699951171875</v>
      </c>
      <c r="D117" s="15">
        <f t="shared" si="2"/>
        <v>-1.7974840864903863E-3</v>
      </c>
      <c r="G117" s="69">
        <v>45777</v>
      </c>
      <c r="H117" s="50">
        <v>24334.19921875</v>
      </c>
      <c r="I117" s="55">
        <f t="shared" si="3"/>
        <v>-7.1910077731884847E-5</v>
      </c>
    </row>
    <row r="118" spans="2:9" x14ac:dyDescent="0.25">
      <c r="B118" s="68">
        <v>45779</v>
      </c>
      <c r="C118" s="50">
        <v>194.6499938964844</v>
      </c>
      <c r="D118" s="15">
        <f t="shared" si="2"/>
        <v>1.4405452813233133E-3</v>
      </c>
      <c r="G118" s="69">
        <v>45779</v>
      </c>
      <c r="H118" s="50">
        <v>24346.69921875</v>
      </c>
      <c r="I118" s="55">
        <f t="shared" si="3"/>
        <v>5.1368035116472477E-4</v>
      </c>
    </row>
    <row r="119" spans="2:9" x14ac:dyDescent="0.25">
      <c r="B119" s="68">
        <v>45782</v>
      </c>
      <c r="C119" s="50">
        <v>196.27000427246091</v>
      </c>
      <c r="D119" s="15">
        <f t="shared" si="2"/>
        <v>8.3226839289707311E-3</v>
      </c>
      <c r="G119" s="69">
        <v>45782</v>
      </c>
      <c r="H119" s="50">
        <v>24461.150390625</v>
      </c>
      <c r="I119" s="55">
        <f t="shared" si="3"/>
        <v>4.700890697612925E-3</v>
      </c>
    </row>
    <row r="120" spans="2:9" x14ac:dyDescent="0.25">
      <c r="B120" s="68">
        <v>45783</v>
      </c>
      <c r="C120" s="50">
        <v>194.46000671386719</v>
      </c>
      <c r="D120" s="15">
        <f t="shared" si="2"/>
        <v>-9.2219774758912632E-3</v>
      </c>
      <c r="G120" s="69">
        <v>45783</v>
      </c>
      <c r="H120" s="50">
        <v>24379.599609375</v>
      </c>
      <c r="I120" s="55">
        <f t="shared" si="3"/>
        <v>-3.3338898599493128E-3</v>
      </c>
    </row>
    <row r="121" spans="2:9" x14ac:dyDescent="0.25">
      <c r="B121" s="68">
        <v>45784</v>
      </c>
      <c r="C121" s="50">
        <v>195.63999938964841</v>
      </c>
      <c r="D121" s="15">
        <f t="shared" si="2"/>
        <v>6.0680481077914905E-3</v>
      </c>
      <c r="G121" s="69">
        <v>45784</v>
      </c>
      <c r="H121" s="50">
        <v>24414.400390625</v>
      </c>
      <c r="I121" s="55">
        <f t="shared" si="3"/>
        <v>1.4274549954715887E-3</v>
      </c>
    </row>
    <row r="122" spans="2:9" x14ac:dyDescent="0.25">
      <c r="B122" s="68">
        <v>45785</v>
      </c>
      <c r="C122" s="50">
        <v>192.46000671386719</v>
      </c>
      <c r="D122" s="15">
        <f t="shared" si="2"/>
        <v>-1.6254307328266493E-2</v>
      </c>
      <c r="G122" s="69">
        <v>45785</v>
      </c>
      <c r="H122" s="50">
        <v>24273.80078125</v>
      </c>
      <c r="I122" s="55">
        <f t="shared" si="3"/>
        <v>-5.7588802970967023E-3</v>
      </c>
    </row>
    <row r="123" spans="2:9" x14ac:dyDescent="0.25">
      <c r="B123" s="68">
        <v>45786</v>
      </c>
      <c r="C123" s="50">
        <v>193.0299987792969</v>
      </c>
      <c r="D123" s="15">
        <f t="shared" si="2"/>
        <v>2.961613039311306E-3</v>
      </c>
      <c r="G123" s="69">
        <v>45786</v>
      </c>
      <c r="H123" s="50">
        <v>24008</v>
      </c>
      <c r="I123" s="55">
        <f t="shared" si="3"/>
        <v>-1.09501096942064E-2</v>
      </c>
    </row>
    <row r="124" spans="2:9" x14ac:dyDescent="0.25">
      <c r="B124" s="68">
        <v>45789</v>
      </c>
      <c r="C124" s="50">
        <v>198.9700012207031</v>
      </c>
      <c r="D124" s="15">
        <f t="shared" si="2"/>
        <v>3.0772431637414943E-2</v>
      </c>
      <c r="G124" s="69">
        <v>45789</v>
      </c>
      <c r="H124" s="50">
        <v>24924.69921875</v>
      </c>
      <c r="I124" s="55">
        <f t="shared" si="3"/>
        <v>3.8183073090219954E-2</v>
      </c>
    </row>
    <row r="125" spans="2:9" x14ac:dyDescent="0.25">
      <c r="B125" s="68">
        <v>45790</v>
      </c>
      <c r="C125" s="50">
        <v>197.6300048828125</v>
      </c>
      <c r="D125" s="15">
        <f t="shared" si="2"/>
        <v>-6.7346651739939034E-3</v>
      </c>
      <c r="G125" s="69">
        <v>45790</v>
      </c>
      <c r="H125" s="50">
        <v>24578.349609375</v>
      </c>
      <c r="I125" s="55">
        <f t="shared" si="3"/>
        <v>-1.389583907654357E-2</v>
      </c>
    </row>
    <row r="126" spans="2:9" x14ac:dyDescent="0.25">
      <c r="B126" s="68">
        <v>45791</v>
      </c>
      <c r="C126" s="50">
        <v>197.3500061035156</v>
      </c>
      <c r="D126" s="15">
        <f t="shared" si="2"/>
        <v>-1.4167827373324782E-3</v>
      </c>
      <c r="G126" s="69">
        <v>45791</v>
      </c>
      <c r="H126" s="50">
        <v>24666.900390625</v>
      </c>
      <c r="I126" s="55">
        <f t="shared" si="3"/>
        <v>3.6027960647213586E-3</v>
      </c>
    </row>
    <row r="127" spans="2:9" x14ac:dyDescent="0.25">
      <c r="B127" s="68">
        <v>45792</v>
      </c>
      <c r="C127" s="50">
        <v>197.32000732421881</v>
      </c>
      <c r="D127" s="15">
        <f t="shared" si="2"/>
        <v>-1.5200799781611707E-4</v>
      </c>
      <c r="G127" s="69">
        <v>45792</v>
      </c>
      <c r="H127" s="50">
        <v>25062.099609375</v>
      </c>
      <c r="I127" s="55">
        <f t="shared" si="3"/>
        <v>1.6021438141461841E-2</v>
      </c>
    </row>
    <row r="128" spans="2:9" x14ac:dyDescent="0.25">
      <c r="B128" s="68">
        <v>45793</v>
      </c>
      <c r="C128" s="50">
        <v>201.80000305175781</v>
      </c>
      <c r="D128" s="15">
        <f t="shared" si="2"/>
        <v>2.2704214277561086E-2</v>
      </c>
      <c r="G128" s="69">
        <v>45793</v>
      </c>
      <c r="H128" s="50">
        <v>25019.80078125</v>
      </c>
      <c r="I128" s="55">
        <f t="shared" si="3"/>
        <v>-1.6877607536591732E-3</v>
      </c>
    </row>
    <row r="129" spans="2:9" x14ac:dyDescent="0.25">
      <c r="B129" s="68">
        <v>45796</v>
      </c>
      <c r="C129" s="50">
        <v>196.6499938964844</v>
      </c>
      <c r="D129" s="15">
        <f t="shared" si="2"/>
        <v>-2.552036212780695E-2</v>
      </c>
      <c r="G129" s="69">
        <v>45796</v>
      </c>
      <c r="H129" s="50">
        <v>24945.44921875</v>
      </c>
      <c r="I129" s="55">
        <f t="shared" si="3"/>
        <v>-2.9717088137536374E-3</v>
      </c>
    </row>
    <row r="130" spans="2:9" x14ac:dyDescent="0.25">
      <c r="B130" s="68">
        <v>45797</v>
      </c>
      <c r="C130" s="50">
        <v>199.0299987792969</v>
      </c>
      <c r="D130" s="15">
        <f t="shared" si="2"/>
        <v>1.2102745775142587E-2</v>
      </c>
      <c r="G130" s="69">
        <v>45797</v>
      </c>
      <c r="H130" s="50">
        <v>24683.900390625</v>
      </c>
      <c r="I130" s="55">
        <f t="shared" si="3"/>
        <v>-1.0484831354666824E-2</v>
      </c>
    </row>
    <row r="131" spans="2:9" x14ac:dyDescent="0.25">
      <c r="B131" s="68">
        <v>45798</v>
      </c>
      <c r="C131" s="50">
        <v>200.47999572753909</v>
      </c>
      <c r="D131" s="15">
        <f t="shared" si="2"/>
        <v>7.2853185807937315E-3</v>
      </c>
      <c r="G131" s="69">
        <v>45798</v>
      </c>
      <c r="H131" s="50">
        <v>24813.44921875</v>
      </c>
      <c r="I131" s="55">
        <f t="shared" si="3"/>
        <v>5.2483127088862602E-3</v>
      </c>
    </row>
    <row r="132" spans="2:9" x14ac:dyDescent="0.25">
      <c r="B132" s="68">
        <v>45799</v>
      </c>
      <c r="C132" s="50">
        <v>201.44000244140619</v>
      </c>
      <c r="D132" s="15">
        <f t="shared" si="2"/>
        <v>4.7885411728150196E-3</v>
      </c>
      <c r="G132" s="69">
        <v>45799</v>
      </c>
      <c r="H132" s="50">
        <v>24609.69921875</v>
      </c>
      <c r="I132" s="55">
        <f t="shared" si="3"/>
        <v>-8.2112727740422109E-3</v>
      </c>
    </row>
    <row r="133" spans="2:9" x14ac:dyDescent="0.25">
      <c r="B133" s="68">
        <v>45800</v>
      </c>
      <c r="C133" s="50">
        <v>203.28999328613281</v>
      </c>
      <c r="D133" s="15">
        <f t="shared" si="2"/>
        <v>9.1838305316975788E-3</v>
      </c>
      <c r="G133" s="69">
        <v>45800</v>
      </c>
      <c r="H133" s="50">
        <v>24853.150390625</v>
      </c>
      <c r="I133" s="55">
        <f t="shared" si="3"/>
        <v>9.8924887180058541E-3</v>
      </c>
    </row>
    <row r="134" spans="2:9" x14ac:dyDescent="0.25">
      <c r="B134" s="68">
        <v>45803</v>
      </c>
      <c r="C134" s="50">
        <v>200.25999450683591</v>
      </c>
      <c r="D134" s="15">
        <f t="shared" si="2"/>
        <v>-1.4904810267921786E-2</v>
      </c>
      <c r="G134" s="69">
        <v>45803</v>
      </c>
      <c r="H134" s="50">
        <v>25001.150390625</v>
      </c>
      <c r="I134" s="55">
        <f t="shared" si="3"/>
        <v>5.9549794562796521E-3</v>
      </c>
    </row>
    <row r="135" spans="2:9" x14ac:dyDescent="0.25">
      <c r="B135" s="68">
        <v>45804</v>
      </c>
      <c r="C135" s="50">
        <v>201.1300048828125</v>
      </c>
      <c r="D135" s="15">
        <f t="shared" si="2"/>
        <v>4.3444042736497934E-3</v>
      </c>
      <c r="G135" s="69">
        <v>45804</v>
      </c>
      <c r="H135" s="50">
        <v>24826.19921875</v>
      </c>
      <c r="I135" s="55">
        <f t="shared" si="3"/>
        <v>-6.9977248703164685E-3</v>
      </c>
    </row>
    <row r="136" spans="2:9" x14ac:dyDescent="0.25">
      <c r="B136" s="68">
        <v>45805</v>
      </c>
      <c r="C136" s="50">
        <v>200.83000183105469</v>
      </c>
      <c r="D136" s="15">
        <f t="shared" si="2"/>
        <v>-1.4915877515769838E-3</v>
      </c>
      <c r="G136" s="69">
        <v>45805</v>
      </c>
      <c r="H136" s="50">
        <v>24752.44921875</v>
      </c>
      <c r="I136" s="55">
        <f t="shared" si="3"/>
        <v>-2.9706520659956714E-3</v>
      </c>
    </row>
    <row r="137" spans="2:9" x14ac:dyDescent="0.25">
      <c r="B137" s="68">
        <v>45806</v>
      </c>
      <c r="C137" s="50">
        <v>204.50999450683591</v>
      </c>
      <c r="D137" s="15">
        <f t="shared" ref="D137:D200" si="4">C137/C136-1</f>
        <v>1.8323918947513507E-2</v>
      </c>
      <c r="G137" s="69">
        <v>45806</v>
      </c>
      <c r="H137" s="50">
        <v>24833.599609375</v>
      </c>
      <c r="I137" s="55">
        <f t="shared" si="3"/>
        <v>3.2784792287758879E-3</v>
      </c>
    </row>
    <row r="138" spans="2:9" x14ac:dyDescent="0.25">
      <c r="B138" s="68">
        <v>45807</v>
      </c>
      <c r="C138" s="50">
        <v>203.25999450683591</v>
      </c>
      <c r="D138" s="15">
        <f t="shared" si="4"/>
        <v>-6.1121707181808205E-3</v>
      </c>
      <c r="G138" s="69">
        <v>45807</v>
      </c>
      <c r="H138" s="50">
        <v>24750.69921875</v>
      </c>
      <c r="I138" s="55">
        <f t="shared" ref="I138:I201" si="5">H138/H137-1</f>
        <v>-3.3382349691143398E-3</v>
      </c>
    </row>
    <row r="139" spans="2:9" x14ac:dyDescent="0.25">
      <c r="B139" s="68">
        <v>45810</v>
      </c>
      <c r="C139" s="50">
        <v>194.55000305175781</v>
      </c>
      <c r="D139" s="15">
        <f t="shared" si="4"/>
        <v>-4.2851479339113929E-2</v>
      </c>
      <c r="G139" s="69">
        <v>45810</v>
      </c>
      <c r="H139" s="50">
        <v>24716.599609375</v>
      </c>
      <c r="I139" s="55">
        <f t="shared" si="5"/>
        <v>-1.3777230725331435E-3</v>
      </c>
    </row>
    <row r="140" spans="2:9" x14ac:dyDescent="0.25">
      <c r="B140" s="68">
        <v>45811</v>
      </c>
      <c r="C140" s="50">
        <v>195.47999572753909</v>
      </c>
      <c r="D140" s="15">
        <f t="shared" si="4"/>
        <v>4.7802244214505407E-3</v>
      </c>
      <c r="G140" s="69">
        <v>45811</v>
      </c>
      <c r="H140" s="50">
        <v>24542.5</v>
      </c>
      <c r="I140" s="55">
        <f t="shared" si="5"/>
        <v>-7.0438333802584907E-3</v>
      </c>
    </row>
    <row r="141" spans="2:9" x14ac:dyDescent="0.25">
      <c r="B141" s="68">
        <v>45812</v>
      </c>
      <c r="C141" s="50">
        <v>195.05000305175781</v>
      </c>
      <c r="D141" s="15">
        <f t="shared" si="4"/>
        <v>-2.1996761058896697E-3</v>
      </c>
      <c r="G141" s="69">
        <v>45812</v>
      </c>
      <c r="H141" s="50">
        <v>24620.19921875</v>
      </c>
      <c r="I141" s="55">
        <f t="shared" si="5"/>
        <v>3.1659048079861751E-3</v>
      </c>
    </row>
    <row r="142" spans="2:9" x14ac:dyDescent="0.25">
      <c r="B142" s="68">
        <v>45813</v>
      </c>
      <c r="C142" s="50">
        <v>198.1300048828125</v>
      </c>
      <c r="D142" s="15">
        <f t="shared" si="4"/>
        <v>1.5790832006485012E-2</v>
      </c>
      <c r="G142" s="69">
        <v>45813</v>
      </c>
      <c r="H142" s="50">
        <v>24750.900390625</v>
      </c>
      <c r="I142" s="55">
        <f t="shared" si="5"/>
        <v>5.3086967621067682E-3</v>
      </c>
    </row>
    <row r="143" spans="2:9" x14ac:dyDescent="0.25">
      <c r="B143" s="68">
        <v>45814</v>
      </c>
      <c r="C143" s="50">
        <v>197.19999694824219</v>
      </c>
      <c r="D143" s="15">
        <f t="shared" si="4"/>
        <v>-4.6939277830250203E-3</v>
      </c>
      <c r="G143" s="69">
        <v>45814</v>
      </c>
      <c r="H143" s="50">
        <v>25003.05078125</v>
      </c>
      <c r="I143" s="55">
        <f t="shared" si="5"/>
        <v>1.018752395450262E-2</v>
      </c>
    </row>
    <row r="144" spans="2:9" x14ac:dyDescent="0.25">
      <c r="B144" s="68">
        <v>45817</v>
      </c>
      <c r="C144" s="50">
        <v>202.0299987792969</v>
      </c>
      <c r="D144" s="15">
        <f t="shared" si="4"/>
        <v>2.4492910272825297E-2</v>
      </c>
      <c r="G144" s="69">
        <v>45817</v>
      </c>
      <c r="H144" s="50">
        <v>25103.19921875</v>
      </c>
      <c r="I144" s="55">
        <f t="shared" si="5"/>
        <v>4.0054487100871228E-3</v>
      </c>
    </row>
    <row r="145" spans="2:9" x14ac:dyDescent="0.25">
      <c r="B145" s="68">
        <v>45818</v>
      </c>
      <c r="C145" s="50">
        <v>199.30000305175781</v>
      </c>
      <c r="D145" s="15">
        <f t="shared" si="4"/>
        <v>-1.3512823561026788E-2</v>
      </c>
      <c r="G145" s="69">
        <v>45818</v>
      </c>
      <c r="H145" s="50">
        <v>25104.25</v>
      </c>
      <c r="I145" s="55">
        <f t="shared" si="5"/>
        <v>4.1858459586929797E-5</v>
      </c>
    </row>
    <row r="146" spans="2:9" x14ac:dyDescent="0.25">
      <c r="B146" s="68">
        <v>45819</v>
      </c>
      <c r="C146" s="50">
        <v>199.05999755859381</v>
      </c>
      <c r="D146" s="15">
        <f t="shared" si="4"/>
        <v>-1.2042422954788856E-3</v>
      </c>
      <c r="G146" s="69">
        <v>45819</v>
      </c>
      <c r="H146" s="50">
        <v>25141.400390625</v>
      </c>
      <c r="I146" s="55">
        <f t="shared" si="5"/>
        <v>1.4798446727146697E-3</v>
      </c>
    </row>
    <row r="147" spans="2:9" x14ac:dyDescent="0.25">
      <c r="B147" s="68">
        <v>45820</v>
      </c>
      <c r="C147" s="50">
        <v>194.49000549316409</v>
      </c>
      <c r="D147" s="15">
        <f t="shared" si="4"/>
        <v>-2.2957862561434617E-2</v>
      </c>
      <c r="G147" s="69">
        <v>45820</v>
      </c>
      <c r="H147" s="50">
        <v>24888.19921875</v>
      </c>
      <c r="I147" s="55">
        <f t="shared" si="5"/>
        <v>-1.0071084662786611E-2</v>
      </c>
    </row>
    <row r="148" spans="2:9" x14ac:dyDescent="0.25">
      <c r="B148" s="68">
        <v>45821</v>
      </c>
      <c r="C148" s="50">
        <v>194.72999572753909</v>
      </c>
      <c r="D148" s="15">
        <f t="shared" si="4"/>
        <v>1.2339463602073497E-3</v>
      </c>
      <c r="G148" s="69">
        <v>45821</v>
      </c>
      <c r="H148" s="50">
        <v>24718.599609375</v>
      </c>
      <c r="I148" s="55">
        <f t="shared" si="5"/>
        <v>-6.8144588479197576E-3</v>
      </c>
    </row>
    <row r="149" spans="2:9" x14ac:dyDescent="0.25">
      <c r="B149" s="68">
        <v>45824</v>
      </c>
      <c r="C149" s="50">
        <v>195.1000061035156</v>
      </c>
      <c r="D149" s="15">
        <f t="shared" si="4"/>
        <v>1.9001200847055255E-3</v>
      </c>
      <c r="G149" s="69">
        <v>45824</v>
      </c>
      <c r="H149" s="50">
        <v>24946.5</v>
      </c>
      <c r="I149" s="55">
        <f t="shared" si="5"/>
        <v>9.2197937677085395E-3</v>
      </c>
    </row>
    <row r="150" spans="2:9" x14ac:dyDescent="0.25">
      <c r="B150" s="68">
        <v>45825</v>
      </c>
      <c r="C150" s="50">
        <v>194.05999755859381</v>
      </c>
      <c r="D150" s="15">
        <f t="shared" si="4"/>
        <v>-5.3306433233527573E-3</v>
      </c>
      <c r="G150" s="69">
        <v>45825</v>
      </c>
      <c r="H150" s="50">
        <v>24853.400390625</v>
      </c>
      <c r="I150" s="55">
        <f t="shared" si="5"/>
        <v>-3.7319707924959866E-3</v>
      </c>
    </row>
    <row r="151" spans="2:9" x14ac:dyDescent="0.25">
      <c r="B151" s="68">
        <v>45826</v>
      </c>
      <c r="C151" s="50">
        <v>196.21000671386719</v>
      </c>
      <c r="D151" s="15">
        <f t="shared" si="4"/>
        <v>1.1079095034123299E-2</v>
      </c>
      <c r="G151" s="69">
        <v>45826</v>
      </c>
      <c r="H151" s="50">
        <v>24812.05078125</v>
      </c>
      <c r="I151" s="55">
        <f t="shared" si="5"/>
        <v>-1.6637405234334324E-3</v>
      </c>
    </row>
    <row r="152" spans="2:9" x14ac:dyDescent="0.25">
      <c r="B152" s="68">
        <v>45827</v>
      </c>
      <c r="C152" s="50">
        <v>193.99000549316409</v>
      </c>
      <c r="D152" s="15">
        <f t="shared" si="4"/>
        <v>-1.1314413866467699E-2</v>
      </c>
      <c r="G152" s="69">
        <v>45827</v>
      </c>
      <c r="H152" s="50">
        <v>24793.25</v>
      </c>
      <c r="I152" s="55">
        <f t="shared" si="5"/>
        <v>-7.5772782410266082E-4</v>
      </c>
    </row>
    <row r="153" spans="2:9" x14ac:dyDescent="0.25">
      <c r="B153" s="68">
        <v>45828</v>
      </c>
      <c r="C153" s="50">
        <v>197.07000732421881</v>
      </c>
      <c r="D153" s="15">
        <f t="shared" si="4"/>
        <v>1.5877116056699281E-2</v>
      </c>
      <c r="G153" s="69">
        <v>45828</v>
      </c>
      <c r="H153" s="50">
        <v>25112.400390625</v>
      </c>
      <c r="I153" s="55">
        <f t="shared" si="5"/>
        <v>1.287247095983779E-2</v>
      </c>
    </row>
    <row r="154" spans="2:9" x14ac:dyDescent="0.25">
      <c r="B154" s="68">
        <v>45831</v>
      </c>
      <c r="C154" s="50">
        <v>203.5299987792969</v>
      </c>
      <c r="D154" s="15">
        <f t="shared" si="4"/>
        <v>3.2780185796868366E-2</v>
      </c>
      <c r="G154" s="69">
        <v>45831</v>
      </c>
      <c r="H154" s="50">
        <v>24971.900390625</v>
      </c>
      <c r="I154" s="55">
        <f t="shared" si="5"/>
        <v>-5.5948454872697395E-3</v>
      </c>
    </row>
    <row r="155" spans="2:9" x14ac:dyDescent="0.25">
      <c r="B155" s="68">
        <v>45832</v>
      </c>
      <c r="C155" s="50">
        <v>198.36000061035159</v>
      </c>
      <c r="D155" s="15">
        <f t="shared" si="4"/>
        <v>-2.5401651844706885E-2</v>
      </c>
      <c r="G155" s="69">
        <v>45832</v>
      </c>
      <c r="H155" s="50">
        <v>25044.349609375</v>
      </c>
      <c r="I155" s="55">
        <f t="shared" si="5"/>
        <v>2.9012296868362597E-3</v>
      </c>
    </row>
    <row r="156" spans="2:9" x14ac:dyDescent="0.25">
      <c r="B156" s="68">
        <v>45833</v>
      </c>
      <c r="C156" s="50">
        <v>204.13999938964841</v>
      </c>
      <c r="D156" s="15">
        <f t="shared" si="4"/>
        <v>2.9138933058640015E-2</v>
      </c>
      <c r="G156" s="69">
        <v>45833</v>
      </c>
      <c r="H156" s="50">
        <v>25244.75</v>
      </c>
      <c r="I156" s="55">
        <f t="shared" si="5"/>
        <v>8.0018205204253068E-3</v>
      </c>
    </row>
    <row r="157" spans="2:9" x14ac:dyDescent="0.25">
      <c r="B157" s="68">
        <v>45834</v>
      </c>
      <c r="C157" s="50">
        <v>206.8500061035156</v>
      </c>
      <c r="D157" s="15">
        <f t="shared" si="4"/>
        <v>1.3275236220092745E-2</v>
      </c>
      <c r="G157" s="69">
        <v>45834</v>
      </c>
      <c r="H157" s="50">
        <v>25549</v>
      </c>
      <c r="I157" s="55">
        <f t="shared" si="5"/>
        <v>1.2052010814129765E-2</v>
      </c>
    </row>
    <row r="158" spans="2:9" x14ac:dyDescent="0.25">
      <c r="B158" s="68">
        <v>45835</v>
      </c>
      <c r="C158" s="50">
        <v>209.86000061035159</v>
      </c>
      <c r="D158" s="15">
        <f t="shared" si="4"/>
        <v>1.4551580459367663E-2</v>
      </c>
      <c r="G158" s="69">
        <v>45835</v>
      </c>
      <c r="H158" s="50">
        <v>25637.80078125</v>
      </c>
      <c r="I158" s="55">
        <f t="shared" si="5"/>
        <v>3.4757047731810431E-3</v>
      </c>
    </row>
    <row r="159" spans="2:9" x14ac:dyDescent="0.25">
      <c r="B159" s="68">
        <v>45838</v>
      </c>
      <c r="C159" s="50">
        <v>208.38999938964841</v>
      </c>
      <c r="D159" s="15">
        <f t="shared" si="4"/>
        <v>-7.0046755762311896E-3</v>
      </c>
      <c r="G159" s="69">
        <v>45838</v>
      </c>
      <c r="H159" s="50">
        <v>25517.05078125</v>
      </c>
      <c r="I159" s="55">
        <f t="shared" si="5"/>
        <v>-4.7098423546652057E-3</v>
      </c>
    </row>
    <row r="160" spans="2:9" x14ac:dyDescent="0.25">
      <c r="B160" s="68">
        <v>45839</v>
      </c>
      <c r="C160" s="50">
        <v>207.05000305175781</v>
      </c>
      <c r="D160" s="15">
        <f t="shared" si="4"/>
        <v>-6.4302334172239295E-3</v>
      </c>
      <c r="G160" s="69">
        <v>45839</v>
      </c>
      <c r="H160" s="50">
        <v>25541.80078125</v>
      </c>
      <c r="I160" s="55">
        <f t="shared" si="5"/>
        <v>9.6993967728375985E-4</v>
      </c>
    </row>
    <row r="161" spans="2:9" x14ac:dyDescent="0.25">
      <c r="B161" s="68">
        <v>45840</v>
      </c>
      <c r="C161" s="50">
        <v>211.5899963378906</v>
      </c>
      <c r="D161" s="15">
        <f t="shared" si="4"/>
        <v>2.1927038006359645E-2</v>
      </c>
      <c r="G161" s="69">
        <v>45840</v>
      </c>
      <c r="H161" s="50">
        <v>25453.400390625</v>
      </c>
      <c r="I161" s="55">
        <f t="shared" si="5"/>
        <v>-3.4610085397696055E-3</v>
      </c>
    </row>
    <row r="162" spans="2:9" x14ac:dyDescent="0.25">
      <c r="B162" s="68">
        <v>45841</v>
      </c>
      <c r="C162" s="50">
        <v>202.30999755859381</v>
      </c>
      <c r="D162" s="15">
        <f t="shared" si="4"/>
        <v>-4.3858400396573849E-2</v>
      </c>
      <c r="G162" s="69">
        <v>45841</v>
      </c>
      <c r="H162" s="50">
        <v>25405.30078125</v>
      </c>
      <c r="I162" s="55">
        <f t="shared" si="5"/>
        <v>-1.8897125192245401E-3</v>
      </c>
    </row>
    <row r="163" spans="2:9" x14ac:dyDescent="0.25">
      <c r="B163" s="68">
        <v>45842</v>
      </c>
      <c r="C163" s="50">
        <v>198.22999572753909</v>
      </c>
      <c r="D163" s="15">
        <f t="shared" si="4"/>
        <v>-2.0167079631707496E-2</v>
      </c>
      <c r="G163" s="69">
        <v>45842</v>
      </c>
      <c r="H163" s="50">
        <v>25461</v>
      </c>
      <c r="I163" s="55">
        <f t="shared" si="5"/>
        <v>2.1924250859925998E-3</v>
      </c>
    </row>
    <row r="164" spans="2:9" x14ac:dyDescent="0.25">
      <c r="B164" s="68">
        <v>45845</v>
      </c>
      <c r="C164" s="50">
        <v>201.52000427246091</v>
      </c>
      <c r="D164" s="15">
        <f t="shared" si="4"/>
        <v>1.6596925873134882E-2</v>
      </c>
      <c r="G164" s="69">
        <v>45845</v>
      </c>
      <c r="H164" s="50">
        <v>25461.30078125</v>
      </c>
      <c r="I164" s="55">
        <f t="shared" si="5"/>
        <v>1.1813410706551508E-5</v>
      </c>
    </row>
    <row r="165" spans="2:9" x14ac:dyDescent="0.25">
      <c r="B165" s="68">
        <v>45846</v>
      </c>
      <c r="C165" s="50">
        <v>202.5899963378906</v>
      </c>
      <c r="D165" s="15">
        <f t="shared" si="4"/>
        <v>5.3096071990104132E-3</v>
      </c>
      <c r="G165" s="69">
        <v>45846</v>
      </c>
      <c r="H165" s="50">
        <v>25522.5</v>
      </c>
      <c r="I165" s="55">
        <f t="shared" si="5"/>
        <v>2.4036171315751087E-3</v>
      </c>
    </row>
    <row r="166" spans="2:9" x14ac:dyDescent="0.25">
      <c r="B166" s="68">
        <v>45847</v>
      </c>
      <c r="C166" s="50">
        <v>213.3699951171875</v>
      </c>
      <c r="D166" s="15">
        <f t="shared" si="4"/>
        <v>5.3210913540456595E-2</v>
      </c>
      <c r="G166" s="69">
        <v>45847</v>
      </c>
      <c r="H166" s="50">
        <v>25476.099609375</v>
      </c>
      <c r="I166" s="55">
        <f t="shared" si="5"/>
        <v>-1.8180190273288099E-3</v>
      </c>
    </row>
    <row r="167" spans="2:9" x14ac:dyDescent="0.25">
      <c r="B167" s="68">
        <v>45848</v>
      </c>
      <c r="C167" s="50">
        <v>217.13999938964841</v>
      </c>
      <c r="D167" s="15">
        <f t="shared" si="4"/>
        <v>1.766885859649725E-2</v>
      </c>
      <c r="G167" s="69">
        <v>45848</v>
      </c>
      <c r="H167" s="50">
        <v>25355.25</v>
      </c>
      <c r="I167" s="55">
        <f t="shared" si="5"/>
        <v>-4.7436464461980687E-3</v>
      </c>
    </row>
    <row r="168" spans="2:9" x14ac:dyDescent="0.25">
      <c r="B168" s="68">
        <v>45849</v>
      </c>
      <c r="C168" s="50">
        <v>217.22999572753909</v>
      </c>
      <c r="D168" s="15">
        <f t="shared" si="4"/>
        <v>4.1446227384933643E-4</v>
      </c>
      <c r="G168" s="69">
        <v>45849</v>
      </c>
      <c r="H168" s="50">
        <v>25149.849609375</v>
      </c>
      <c r="I168" s="55">
        <f t="shared" si="5"/>
        <v>-8.1009018102760066E-3</v>
      </c>
    </row>
    <row r="169" spans="2:9" x14ac:dyDescent="0.25">
      <c r="B169" s="68">
        <v>45852</v>
      </c>
      <c r="C169" s="50">
        <v>220.0299987792969</v>
      </c>
      <c r="D169" s="15">
        <f t="shared" si="4"/>
        <v>1.2889578358550979E-2</v>
      </c>
      <c r="G169" s="69">
        <v>45852</v>
      </c>
      <c r="H169" s="50">
        <v>25082.30078125</v>
      </c>
      <c r="I169" s="55">
        <f t="shared" si="5"/>
        <v>-2.685854157148504E-3</v>
      </c>
    </row>
    <row r="170" spans="2:9" x14ac:dyDescent="0.25">
      <c r="B170" s="68">
        <v>45853</v>
      </c>
      <c r="C170" s="50">
        <v>216.05999755859381</v>
      </c>
      <c r="D170" s="15">
        <f t="shared" si="4"/>
        <v>-1.8042999785157665E-2</v>
      </c>
      <c r="G170" s="69">
        <v>45853</v>
      </c>
      <c r="H170" s="50">
        <v>25195.80078125</v>
      </c>
      <c r="I170" s="55">
        <f t="shared" si="5"/>
        <v>4.5251032187942908E-3</v>
      </c>
    </row>
    <row r="171" spans="2:9" x14ac:dyDescent="0.25">
      <c r="B171" s="68">
        <v>45854</v>
      </c>
      <c r="C171" s="50">
        <v>215.69999694824219</v>
      </c>
      <c r="D171" s="15">
        <f t="shared" si="4"/>
        <v>-1.6662066760136929E-3</v>
      </c>
      <c r="G171" s="69">
        <v>45854</v>
      </c>
      <c r="H171" s="50">
        <v>25212.05078125</v>
      </c>
      <c r="I171" s="55">
        <f t="shared" si="5"/>
        <v>6.4494874130338609E-4</v>
      </c>
    </row>
    <row r="172" spans="2:9" x14ac:dyDescent="0.25">
      <c r="B172" s="68">
        <v>45855</v>
      </c>
      <c r="C172" s="50">
        <v>217.4700012207031</v>
      </c>
      <c r="D172" s="15">
        <f t="shared" si="4"/>
        <v>8.2058613699731442E-3</v>
      </c>
      <c r="G172" s="69">
        <v>45855</v>
      </c>
      <c r="H172" s="50">
        <v>25111.44921875</v>
      </c>
      <c r="I172" s="55">
        <f t="shared" si="5"/>
        <v>-3.9902173517283313E-3</v>
      </c>
    </row>
    <row r="173" spans="2:9" x14ac:dyDescent="0.25">
      <c r="B173" s="68">
        <v>45856</v>
      </c>
      <c r="C173" s="50">
        <v>212.86000061035159</v>
      </c>
      <c r="D173" s="15">
        <f t="shared" si="4"/>
        <v>-2.119832889352391E-2</v>
      </c>
      <c r="G173" s="69">
        <v>45856</v>
      </c>
      <c r="H173" s="50">
        <v>24968.400390625</v>
      </c>
      <c r="I173" s="55">
        <f t="shared" si="5"/>
        <v>-5.6965580472427835E-3</v>
      </c>
    </row>
    <row r="174" spans="2:9" x14ac:dyDescent="0.25">
      <c r="B174" s="68">
        <v>45859</v>
      </c>
      <c r="C174" s="50">
        <v>215.0299987792969</v>
      </c>
      <c r="D174" s="15">
        <f t="shared" si="4"/>
        <v>1.0194485402250653E-2</v>
      </c>
      <c r="G174" s="69">
        <v>45859</v>
      </c>
      <c r="H174" s="50">
        <v>25090.69921875</v>
      </c>
      <c r="I174" s="55">
        <f t="shared" si="5"/>
        <v>4.8981443028652816E-3</v>
      </c>
    </row>
    <row r="175" spans="2:9" x14ac:dyDescent="0.25">
      <c r="B175" s="68">
        <v>45860</v>
      </c>
      <c r="C175" s="50">
        <v>220.0299987792969</v>
      </c>
      <c r="D175" s="15">
        <f t="shared" si="4"/>
        <v>2.325256954092203E-2</v>
      </c>
      <c r="G175" s="69">
        <v>45860</v>
      </c>
      <c r="H175" s="50">
        <v>25060.900390625</v>
      </c>
      <c r="I175" s="55">
        <f t="shared" si="5"/>
        <v>-1.1876443882732346E-3</v>
      </c>
    </row>
    <row r="176" spans="2:9" x14ac:dyDescent="0.25">
      <c r="B176" s="68">
        <v>45861</v>
      </c>
      <c r="C176" s="50">
        <v>218.71000671386719</v>
      </c>
      <c r="D176" s="15">
        <f t="shared" si="4"/>
        <v>-5.9991459017083582E-3</v>
      </c>
      <c r="G176" s="69">
        <v>45861</v>
      </c>
      <c r="H176" s="50">
        <v>25219.900390625</v>
      </c>
      <c r="I176" s="55">
        <f t="shared" si="5"/>
        <v>6.3445445902445829E-3</v>
      </c>
    </row>
    <row r="177" spans="2:9" x14ac:dyDescent="0.25">
      <c r="B177" s="68">
        <v>45862</v>
      </c>
      <c r="C177" s="50">
        <v>215.6199951171875</v>
      </c>
      <c r="D177" s="15">
        <f t="shared" si="4"/>
        <v>-1.4128350335255946E-2</v>
      </c>
      <c r="G177" s="69">
        <v>45862</v>
      </c>
      <c r="H177" s="50">
        <v>25062.099609375</v>
      </c>
      <c r="I177" s="55">
        <f t="shared" si="5"/>
        <v>-6.2569946274910748E-3</v>
      </c>
    </row>
    <row r="178" spans="2:9" x14ac:dyDescent="0.25">
      <c r="B178" s="68">
        <v>45863</v>
      </c>
      <c r="C178" s="50">
        <v>212.22999572753909</v>
      </c>
      <c r="D178" s="15">
        <f t="shared" si="4"/>
        <v>-1.5722101226307794E-2</v>
      </c>
      <c r="G178" s="69">
        <v>45863</v>
      </c>
      <c r="H178" s="50">
        <v>24837</v>
      </c>
      <c r="I178" s="55">
        <f t="shared" si="5"/>
        <v>-8.9816740370306514E-3</v>
      </c>
    </row>
    <row r="179" spans="2:9" x14ac:dyDescent="0.25">
      <c r="B179" s="68">
        <v>45866</v>
      </c>
      <c r="C179" s="50">
        <v>208.75</v>
      </c>
      <c r="D179" s="15">
        <f t="shared" si="4"/>
        <v>-1.6397285009639773E-2</v>
      </c>
      <c r="G179" s="69">
        <v>45866</v>
      </c>
      <c r="H179" s="50">
        <v>24680.900390625</v>
      </c>
      <c r="I179" s="55">
        <f t="shared" si="5"/>
        <v>-6.2849623293875778E-3</v>
      </c>
    </row>
    <row r="180" spans="2:9" x14ac:dyDescent="0.25">
      <c r="B180" s="68">
        <v>45867</v>
      </c>
      <c r="C180" s="50">
        <v>210.42999267578119</v>
      </c>
      <c r="D180" s="15">
        <f t="shared" si="4"/>
        <v>8.0478691055385632E-3</v>
      </c>
      <c r="G180" s="69">
        <v>45867</v>
      </c>
      <c r="H180" s="50">
        <v>24821.099609375</v>
      </c>
      <c r="I180" s="55">
        <f t="shared" si="5"/>
        <v>5.6804742343701253E-3</v>
      </c>
    </row>
    <row r="181" spans="2:9" x14ac:dyDescent="0.25">
      <c r="B181" s="68">
        <v>45868</v>
      </c>
      <c r="C181" s="50">
        <v>213.8399963378906</v>
      </c>
      <c r="D181" s="15">
        <f t="shared" si="4"/>
        <v>1.6204931715049442E-2</v>
      </c>
      <c r="G181" s="69">
        <v>45868</v>
      </c>
      <c r="H181" s="50">
        <v>24855.05078125</v>
      </c>
      <c r="I181" s="55">
        <f t="shared" si="5"/>
        <v>1.367835124523431E-3</v>
      </c>
    </row>
    <row r="182" spans="2:9" x14ac:dyDescent="0.25">
      <c r="B182" s="68">
        <v>45869</v>
      </c>
      <c r="C182" s="50">
        <v>209.6199951171875</v>
      </c>
      <c r="D182" s="15">
        <f t="shared" si="4"/>
        <v>-1.9734386891940625E-2</v>
      </c>
      <c r="G182" s="69">
        <v>45869</v>
      </c>
      <c r="H182" s="50">
        <v>24768.349609375</v>
      </c>
      <c r="I182" s="55">
        <f t="shared" si="5"/>
        <v>-3.4882717656889994E-3</v>
      </c>
    </row>
    <row r="183" spans="2:9" x14ac:dyDescent="0.25">
      <c r="B183" s="68">
        <v>45870</v>
      </c>
      <c r="C183" s="50">
        <v>210.05999755859381</v>
      </c>
      <c r="D183" s="15">
        <f t="shared" si="4"/>
        <v>2.0990480472071749E-3</v>
      </c>
      <c r="G183" s="69">
        <v>45870</v>
      </c>
      <c r="H183" s="50">
        <v>24565.349609375</v>
      </c>
      <c r="I183" s="55">
        <f t="shared" si="5"/>
        <v>-8.1959437427822079E-3</v>
      </c>
    </row>
    <row r="184" spans="2:9" x14ac:dyDescent="0.25">
      <c r="B184" s="68">
        <v>45873</v>
      </c>
      <c r="C184" s="50">
        <v>212.8999938964844</v>
      </c>
      <c r="D184" s="15">
        <f t="shared" si="4"/>
        <v>1.3519929405399589E-2</v>
      </c>
      <c r="G184" s="69">
        <v>45873</v>
      </c>
      <c r="H184" s="50">
        <v>24722.75</v>
      </c>
      <c r="I184" s="55">
        <f t="shared" si="5"/>
        <v>6.4074150430544208E-3</v>
      </c>
    </row>
    <row r="185" spans="2:9" x14ac:dyDescent="0.25">
      <c r="B185" s="68">
        <v>45874</v>
      </c>
      <c r="C185" s="50">
        <v>211.38999938964841</v>
      </c>
      <c r="D185" s="15">
        <f t="shared" si="4"/>
        <v>-7.0925061067412809E-3</v>
      </c>
      <c r="G185" s="69">
        <v>45874</v>
      </c>
      <c r="H185" s="50">
        <v>24649.55078125</v>
      </c>
      <c r="I185" s="55">
        <f t="shared" si="5"/>
        <v>-2.9608040671041946E-3</v>
      </c>
    </row>
    <row r="186" spans="2:9" x14ac:dyDescent="0.25">
      <c r="B186" s="68">
        <v>45875</v>
      </c>
      <c r="C186" s="50">
        <v>208.6199951171875</v>
      </c>
      <c r="D186" s="15">
        <f t="shared" si="4"/>
        <v>-1.3103762147967268E-2</v>
      </c>
      <c r="G186" s="69">
        <v>45875</v>
      </c>
      <c r="H186" s="50">
        <v>24574.19921875</v>
      </c>
      <c r="I186" s="55">
        <f t="shared" si="5"/>
        <v>-3.0569142281212658E-3</v>
      </c>
    </row>
    <row r="187" spans="2:9" x14ac:dyDescent="0.25">
      <c r="B187" s="68">
        <v>45876</v>
      </c>
      <c r="C187" s="50">
        <v>209.8999938964844</v>
      </c>
      <c r="D187" s="15">
        <f t="shared" si="4"/>
        <v>6.1355517651981994E-3</v>
      </c>
      <c r="G187" s="69">
        <v>45876</v>
      </c>
      <c r="H187" s="50">
        <v>24596.150390625</v>
      </c>
      <c r="I187" s="55">
        <f t="shared" si="5"/>
        <v>8.9326092295416437E-4</v>
      </c>
    </row>
    <row r="188" spans="2:9" x14ac:dyDescent="0.25">
      <c r="B188" s="68">
        <v>45877</v>
      </c>
      <c r="C188" s="50">
        <v>202.1300048828125</v>
      </c>
      <c r="D188" s="15">
        <f t="shared" si="4"/>
        <v>-3.7017576177271305E-2</v>
      </c>
      <c r="G188" s="69">
        <v>45877</v>
      </c>
      <c r="H188" s="50">
        <v>24363.30078125</v>
      </c>
      <c r="I188" s="55">
        <f t="shared" si="5"/>
        <v>-9.4669127354072291E-3</v>
      </c>
    </row>
    <row r="189" spans="2:9" x14ac:dyDescent="0.25">
      <c r="B189" s="68">
        <v>45880</v>
      </c>
      <c r="C189" s="50">
        <v>203.53999328613281</v>
      </c>
      <c r="D189" s="15">
        <f t="shared" si="4"/>
        <v>6.9756511614282868E-3</v>
      </c>
      <c r="G189" s="69">
        <v>45880</v>
      </c>
      <c r="H189" s="50">
        <v>24585.05078125</v>
      </c>
      <c r="I189" s="55">
        <f t="shared" si="5"/>
        <v>9.1018044718578217E-3</v>
      </c>
    </row>
    <row r="190" spans="2:9" x14ac:dyDescent="0.25">
      <c r="B190" s="68">
        <v>45881</v>
      </c>
      <c r="C190" s="50">
        <v>204.63999938964841</v>
      </c>
      <c r="D190" s="15">
        <f t="shared" si="4"/>
        <v>5.404373291735487E-3</v>
      </c>
      <c r="G190" s="69">
        <v>45881</v>
      </c>
      <c r="H190" s="50">
        <v>24487.400390625</v>
      </c>
      <c r="I190" s="55">
        <f t="shared" si="5"/>
        <v>-3.9719417907191357E-3</v>
      </c>
    </row>
    <row r="191" spans="2:9" x14ac:dyDescent="0.25">
      <c r="B191" s="68">
        <v>45882</v>
      </c>
      <c r="C191" s="50">
        <v>215.03999328613281</v>
      </c>
      <c r="D191" s="15">
        <f t="shared" si="4"/>
        <v>5.082092419616413E-2</v>
      </c>
      <c r="G191" s="69">
        <v>45882</v>
      </c>
      <c r="H191" s="50">
        <v>24619.349609375</v>
      </c>
      <c r="I191" s="55">
        <f t="shared" si="5"/>
        <v>5.3884535167121328E-3</v>
      </c>
    </row>
    <row r="192" spans="2:9" x14ac:dyDescent="0.25">
      <c r="B192" s="68">
        <v>45883</v>
      </c>
      <c r="C192" s="50">
        <v>215.13999938964841</v>
      </c>
      <c r="D192" s="15">
        <f t="shared" si="4"/>
        <v>4.6505815958863828E-4</v>
      </c>
      <c r="G192" s="69">
        <v>45883</v>
      </c>
      <c r="H192" s="50">
        <v>24631.30078125</v>
      </c>
      <c r="I192" s="55">
        <f t="shared" si="5"/>
        <v>4.8543816407109475E-4</v>
      </c>
    </row>
    <row r="193" spans="2:9" x14ac:dyDescent="0.25">
      <c r="B193" s="68">
        <v>45887</v>
      </c>
      <c r="C193" s="50">
        <v>219.16999816894531</v>
      </c>
      <c r="D193" s="15">
        <f t="shared" si="4"/>
        <v>1.8731982851770912E-2</v>
      </c>
      <c r="G193" s="69">
        <v>45887</v>
      </c>
      <c r="H193" s="50">
        <v>24876.94921875</v>
      </c>
      <c r="I193" s="55">
        <f t="shared" si="5"/>
        <v>9.9730192766349646E-3</v>
      </c>
    </row>
    <row r="194" spans="2:9" x14ac:dyDescent="0.25">
      <c r="B194" s="68">
        <v>45888</v>
      </c>
      <c r="C194" s="50">
        <v>226.83000183105469</v>
      </c>
      <c r="D194" s="15">
        <f t="shared" si="4"/>
        <v>3.4950055783660394E-2</v>
      </c>
      <c r="G194" s="69">
        <v>45888</v>
      </c>
      <c r="H194" s="50">
        <v>24980.650390625</v>
      </c>
      <c r="I194" s="55">
        <f t="shared" si="5"/>
        <v>4.1685646806257637E-3</v>
      </c>
    </row>
    <row r="195" spans="2:9" x14ac:dyDescent="0.25">
      <c r="B195" s="68">
        <v>45889</v>
      </c>
      <c r="C195" s="50">
        <v>225.17999267578119</v>
      </c>
      <c r="D195" s="15">
        <f t="shared" si="4"/>
        <v>-7.2742103864303909E-3</v>
      </c>
      <c r="G195" s="69">
        <v>45889</v>
      </c>
      <c r="H195" s="50">
        <v>25050.55078125</v>
      </c>
      <c r="I195" s="55">
        <f t="shared" si="5"/>
        <v>2.7981813736617234E-3</v>
      </c>
    </row>
    <row r="196" spans="2:9" x14ac:dyDescent="0.25">
      <c r="B196" s="68">
        <v>45890</v>
      </c>
      <c r="C196" s="50">
        <v>224.94999694824219</v>
      </c>
      <c r="D196" s="15">
        <f t="shared" si="4"/>
        <v>-1.0213861578286521E-3</v>
      </c>
      <c r="G196" s="69">
        <v>45890</v>
      </c>
      <c r="H196" s="50">
        <v>25083.75</v>
      </c>
      <c r="I196" s="55">
        <f t="shared" si="5"/>
        <v>1.3252889742787488E-3</v>
      </c>
    </row>
    <row r="197" spans="2:9" x14ac:dyDescent="0.25">
      <c r="B197" s="68">
        <v>45891</v>
      </c>
      <c r="C197" s="50">
        <v>224.94000244140619</v>
      </c>
      <c r="D197" s="15">
        <f t="shared" si="4"/>
        <v>-4.4429904296872103E-5</v>
      </c>
      <c r="G197" s="69">
        <v>45891</v>
      </c>
      <c r="H197" s="50">
        <v>24870.099609375</v>
      </c>
      <c r="I197" s="55">
        <f t="shared" si="5"/>
        <v>-8.5174820600987244E-3</v>
      </c>
    </row>
    <row r="198" spans="2:9" x14ac:dyDescent="0.25">
      <c r="B198" s="68">
        <v>45894</v>
      </c>
      <c r="C198" s="50">
        <v>229.53999328613281</v>
      </c>
      <c r="D198" s="15">
        <f t="shared" si="4"/>
        <v>2.0449856827599477E-2</v>
      </c>
      <c r="G198" s="69">
        <v>45894</v>
      </c>
      <c r="H198" s="50">
        <v>24967.75</v>
      </c>
      <c r="I198" s="55">
        <f t="shared" si="5"/>
        <v>3.9264173509054867E-3</v>
      </c>
    </row>
    <row r="199" spans="2:9" x14ac:dyDescent="0.25">
      <c r="B199" s="68">
        <v>45895</v>
      </c>
      <c r="C199" s="50">
        <v>231.6499938964844</v>
      </c>
      <c r="D199" s="15">
        <f t="shared" si="4"/>
        <v>9.1923005666441071E-3</v>
      </c>
      <c r="G199" s="69">
        <v>45895</v>
      </c>
      <c r="H199" s="50">
        <v>24712.05078125</v>
      </c>
      <c r="I199" s="55">
        <f t="shared" si="5"/>
        <v>-1.0241179872034878E-2</v>
      </c>
    </row>
    <row r="200" spans="2:9" x14ac:dyDescent="0.25">
      <c r="B200" s="68">
        <v>45897</v>
      </c>
      <c r="C200" s="50">
        <v>233.8399963378906</v>
      </c>
      <c r="D200" s="15">
        <f t="shared" si="4"/>
        <v>9.4539283363193061E-3</v>
      </c>
      <c r="G200" s="69">
        <v>45897</v>
      </c>
      <c r="H200" s="50">
        <v>24500.900390625</v>
      </c>
      <c r="I200" s="55">
        <f t="shared" si="5"/>
        <v>-8.5444301039235837E-3</v>
      </c>
    </row>
    <row r="201" spans="2:9" x14ac:dyDescent="0.25">
      <c r="B201" s="68">
        <v>45898</v>
      </c>
      <c r="C201" s="50">
        <v>230.1499938964844</v>
      </c>
      <c r="D201" s="15">
        <f t="shared" ref="D201:D253" si="6">C201/C200-1</f>
        <v>-1.5780031214481682E-2</v>
      </c>
      <c r="G201" s="69">
        <v>45898</v>
      </c>
      <c r="H201" s="50">
        <v>24426.849609375</v>
      </c>
      <c r="I201" s="55">
        <f t="shared" si="5"/>
        <v>-3.0223697933294824E-3</v>
      </c>
    </row>
    <row r="202" spans="2:9" x14ac:dyDescent="0.25">
      <c r="B202" s="68">
        <v>45901</v>
      </c>
      <c r="C202" s="50">
        <v>233.72999572753909</v>
      </c>
      <c r="D202" s="15">
        <f t="shared" si="6"/>
        <v>1.5555081147057948E-2</v>
      </c>
      <c r="G202" s="69">
        <v>45901</v>
      </c>
      <c r="H202" s="50">
        <v>24625.05078125</v>
      </c>
      <c r="I202" s="55">
        <f t="shared" ref="I202:I253" si="7">H202/H201-1</f>
        <v>8.1140701746054145E-3</v>
      </c>
    </row>
    <row r="203" spans="2:9" x14ac:dyDescent="0.25">
      <c r="B203" s="68">
        <v>45902</v>
      </c>
      <c r="C203" s="50">
        <v>232.52000427246091</v>
      </c>
      <c r="D203" s="15">
        <f t="shared" si="6"/>
        <v>-5.1768770683959797E-3</v>
      </c>
      <c r="G203" s="69">
        <v>45902</v>
      </c>
      <c r="H203" s="50">
        <v>24579.599609375</v>
      </c>
      <c r="I203" s="55">
        <f t="shared" si="7"/>
        <v>-1.8457290617897026E-3</v>
      </c>
    </row>
    <row r="204" spans="2:9" x14ac:dyDescent="0.25">
      <c r="B204" s="68">
        <v>45903</v>
      </c>
      <c r="C204" s="50">
        <v>237.71000671386719</v>
      </c>
      <c r="D204" s="15">
        <f t="shared" si="6"/>
        <v>2.2320670677972165E-2</v>
      </c>
      <c r="G204" s="69">
        <v>45903</v>
      </c>
      <c r="H204" s="50">
        <v>24715.05078125</v>
      </c>
      <c r="I204" s="55">
        <f t="shared" si="7"/>
        <v>5.5107151470170646E-3</v>
      </c>
    </row>
    <row r="205" spans="2:9" x14ac:dyDescent="0.25">
      <c r="B205" s="68">
        <v>45904</v>
      </c>
      <c r="C205" s="50">
        <v>239.5299987792969</v>
      </c>
      <c r="D205" s="15">
        <f t="shared" si="6"/>
        <v>7.6563544403935868E-3</v>
      </c>
      <c r="G205" s="69">
        <v>45904</v>
      </c>
      <c r="H205" s="50">
        <v>24734.30078125</v>
      </c>
      <c r="I205" s="55">
        <f t="shared" si="7"/>
        <v>7.7887762280481887E-4</v>
      </c>
    </row>
    <row r="206" spans="2:9" x14ac:dyDescent="0.25">
      <c r="B206" s="68">
        <v>45905</v>
      </c>
      <c r="C206" s="50">
        <v>242.63999938964841</v>
      </c>
      <c r="D206" s="15">
        <f t="shared" si="6"/>
        <v>1.2983762477354999E-2</v>
      </c>
      <c r="G206" s="69">
        <v>45905</v>
      </c>
      <c r="H206" s="50">
        <v>24741</v>
      </c>
      <c r="I206" s="55">
        <f t="shared" si="7"/>
        <v>2.7084730671167456E-4</v>
      </c>
    </row>
    <row r="207" spans="2:9" x14ac:dyDescent="0.25">
      <c r="B207" s="68">
        <v>45908</v>
      </c>
      <c r="C207" s="50">
        <v>247.2799987792969</v>
      </c>
      <c r="D207" s="15">
        <f t="shared" si="6"/>
        <v>1.9122978079954889E-2</v>
      </c>
      <c r="G207" s="69">
        <v>45908</v>
      </c>
      <c r="H207" s="50">
        <v>24773.150390625</v>
      </c>
      <c r="I207" s="55">
        <f t="shared" si="7"/>
        <v>1.2994782193525012E-3</v>
      </c>
    </row>
    <row r="208" spans="2:9" x14ac:dyDescent="0.25">
      <c r="B208" s="68">
        <v>45909</v>
      </c>
      <c r="C208" s="50">
        <v>241.49000549316409</v>
      </c>
      <c r="D208" s="15">
        <f t="shared" si="6"/>
        <v>-2.34147254719963E-2</v>
      </c>
      <c r="G208" s="69">
        <v>45909</v>
      </c>
      <c r="H208" s="50">
        <v>24868.599609375</v>
      </c>
      <c r="I208" s="55">
        <f t="shared" si="7"/>
        <v>3.852930178235292E-3</v>
      </c>
    </row>
    <row r="209" spans="2:9" x14ac:dyDescent="0.25">
      <c r="B209" s="68">
        <v>45910</v>
      </c>
      <c r="C209" s="50">
        <v>238.7200012207031</v>
      </c>
      <c r="D209" s="15">
        <f t="shared" si="6"/>
        <v>-1.1470471694280504E-2</v>
      </c>
      <c r="G209" s="69">
        <v>45910</v>
      </c>
      <c r="H209" s="50">
        <v>24973.099609375</v>
      </c>
      <c r="I209" s="55">
        <f t="shared" si="7"/>
        <v>4.2020862308871365E-3</v>
      </c>
    </row>
    <row r="210" spans="2:9" x14ac:dyDescent="0.25">
      <c r="B210" s="68">
        <v>45911</v>
      </c>
      <c r="C210" s="50">
        <v>237.83000183105469</v>
      </c>
      <c r="D210" s="15">
        <f t="shared" si="6"/>
        <v>-3.7282145823448465E-3</v>
      </c>
      <c r="G210" s="69">
        <v>45911</v>
      </c>
      <c r="H210" s="50">
        <v>25005.5</v>
      </c>
      <c r="I210" s="55">
        <f t="shared" si="7"/>
        <v>1.2974116602184615E-3</v>
      </c>
    </row>
    <row r="211" spans="2:9" x14ac:dyDescent="0.25">
      <c r="B211" s="68">
        <v>45912</v>
      </c>
      <c r="C211" s="50">
        <v>239.16999816894531</v>
      </c>
      <c r="D211" s="15">
        <f t="shared" si="6"/>
        <v>5.6342611427238065E-3</v>
      </c>
      <c r="G211" s="69">
        <v>45912</v>
      </c>
      <c r="H211" s="50">
        <v>25114</v>
      </c>
      <c r="I211" s="55">
        <f t="shared" si="7"/>
        <v>4.3390454100098452E-3</v>
      </c>
    </row>
    <row r="212" spans="2:9" x14ac:dyDescent="0.25">
      <c r="B212" s="68">
        <v>45915</v>
      </c>
      <c r="C212" s="50">
        <v>240.97999572753909</v>
      </c>
      <c r="D212" s="15">
        <f t="shared" si="6"/>
        <v>7.5678286258764604E-3</v>
      </c>
      <c r="G212" s="69">
        <v>45915</v>
      </c>
      <c r="H212" s="50">
        <v>25069.19921875</v>
      </c>
      <c r="I212" s="55">
        <f t="shared" si="7"/>
        <v>-1.7838966811339896E-3</v>
      </c>
    </row>
    <row r="213" spans="2:9" x14ac:dyDescent="0.25">
      <c r="B213" s="68">
        <v>45916</v>
      </c>
      <c r="C213" s="50">
        <v>243.74000549316409</v>
      </c>
      <c r="D213" s="15">
        <f t="shared" si="6"/>
        <v>1.1453273361103244E-2</v>
      </c>
      <c r="G213" s="69">
        <v>45916</v>
      </c>
      <c r="H213" s="50">
        <v>25239.099609375</v>
      </c>
      <c r="I213" s="55">
        <f t="shared" si="7"/>
        <v>6.7772563910986072E-3</v>
      </c>
    </row>
    <row r="214" spans="2:9" x14ac:dyDescent="0.25">
      <c r="B214" s="68">
        <v>45917</v>
      </c>
      <c r="C214" s="50">
        <v>242.63999938964841</v>
      </c>
      <c r="D214" s="15">
        <f t="shared" si="6"/>
        <v>-4.5130306011522681E-3</v>
      </c>
      <c r="G214" s="69">
        <v>45917</v>
      </c>
      <c r="H214" s="50">
        <v>25330.25</v>
      </c>
      <c r="I214" s="55">
        <f t="shared" si="7"/>
        <v>3.6114755294653911E-3</v>
      </c>
    </row>
    <row r="215" spans="2:9" x14ac:dyDescent="0.25">
      <c r="B215" s="68">
        <v>45918</v>
      </c>
      <c r="C215" s="50">
        <v>245.92999267578119</v>
      </c>
      <c r="D215" s="15">
        <f t="shared" si="6"/>
        <v>1.3559154691759945E-2</v>
      </c>
      <c r="G215" s="69">
        <v>45918</v>
      </c>
      <c r="H215" s="50">
        <v>25423.599609375</v>
      </c>
      <c r="I215" s="55">
        <f t="shared" si="7"/>
        <v>3.6853015416349333E-3</v>
      </c>
    </row>
    <row r="216" spans="2:9" x14ac:dyDescent="0.25">
      <c r="B216" s="68">
        <v>45919</v>
      </c>
      <c r="C216" s="50">
        <v>243.6199951171875</v>
      </c>
      <c r="D216" s="15">
        <f t="shared" si="6"/>
        <v>-9.3929070361054023E-3</v>
      </c>
      <c r="G216" s="69">
        <v>45919</v>
      </c>
      <c r="H216" s="50">
        <v>25327.05078125</v>
      </c>
      <c r="I216" s="55">
        <f t="shared" si="7"/>
        <v>-3.7976065391384095E-3</v>
      </c>
    </row>
    <row r="217" spans="2:9" x14ac:dyDescent="0.25">
      <c r="B217" s="68">
        <v>45922</v>
      </c>
      <c r="C217" s="50">
        <v>242.3999938964844</v>
      </c>
      <c r="D217" s="15">
        <f t="shared" si="6"/>
        <v>-5.0078041423333719E-3</v>
      </c>
      <c r="G217" s="69">
        <v>45922</v>
      </c>
      <c r="H217" s="50">
        <v>25202.349609375</v>
      </c>
      <c r="I217" s="55">
        <f t="shared" si="7"/>
        <v>-4.9236357186648316E-3</v>
      </c>
    </row>
    <row r="218" spans="2:9" x14ac:dyDescent="0.25">
      <c r="B218" s="68">
        <v>45923</v>
      </c>
      <c r="C218" s="50">
        <v>237.71000671386719</v>
      </c>
      <c r="D218" s="15">
        <f t="shared" si="6"/>
        <v>-1.9348132428666842E-2</v>
      </c>
      <c r="G218" s="69">
        <v>45923</v>
      </c>
      <c r="H218" s="50">
        <v>25169.5</v>
      </c>
      <c r="I218" s="55">
        <f t="shared" si="7"/>
        <v>-1.3034343973540308E-3</v>
      </c>
    </row>
    <row r="219" spans="2:9" x14ac:dyDescent="0.25">
      <c r="B219" s="68">
        <v>45924</v>
      </c>
      <c r="C219" s="50">
        <v>237.05000305175781</v>
      </c>
      <c r="D219" s="15">
        <f t="shared" si="6"/>
        <v>-2.776507692012431E-3</v>
      </c>
      <c r="G219" s="69">
        <v>45924</v>
      </c>
      <c r="H219" s="50">
        <v>25056.900390625</v>
      </c>
      <c r="I219" s="55">
        <f t="shared" si="7"/>
        <v>-4.4736530076083802E-3</v>
      </c>
    </row>
    <row r="220" spans="2:9" x14ac:dyDescent="0.25">
      <c r="B220" s="68">
        <v>45925</v>
      </c>
      <c r="C220" s="50">
        <v>236.46000671386719</v>
      </c>
      <c r="D220" s="15">
        <f t="shared" si="6"/>
        <v>-2.4889109061171366E-3</v>
      </c>
      <c r="G220" s="69">
        <v>45925</v>
      </c>
      <c r="H220" s="50">
        <v>24890.849609375</v>
      </c>
      <c r="I220" s="55">
        <f t="shared" si="7"/>
        <v>-6.6269482123226808E-3</v>
      </c>
    </row>
    <row r="221" spans="2:9" x14ac:dyDescent="0.25">
      <c r="B221" s="68">
        <v>45926</v>
      </c>
      <c r="C221" s="50">
        <v>230.6199951171875</v>
      </c>
      <c r="D221" s="15">
        <f t="shared" si="6"/>
        <v>-2.4697671618298278E-2</v>
      </c>
      <c r="G221" s="69">
        <v>45926</v>
      </c>
      <c r="H221" s="50">
        <v>24654.69921875</v>
      </c>
      <c r="I221" s="55">
        <f t="shared" si="7"/>
        <v>-9.4874379272315013E-3</v>
      </c>
    </row>
    <row r="222" spans="2:9" x14ac:dyDescent="0.25">
      <c r="B222" s="68">
        <v>45929</v>
      </c>
      <c r="C222" s="50">
        <v>231.3500061035156</v>
      </c>
      <c r="D222" s="15">
        <f t="shared" si="6"/>
        <v>3.1654279844952615E-3</v>
      </c>
      <c r="G222" s="69">
        <v>45929</v>
      </c>
      <c r="H222" s="50">
        <v>24634.900390625</v>
      </c>
      <c r="I222" s="55">
        <f t="shared" si="7"/>
        <v>-8.0304480494097774E-4</v>
      </c>
    </row>
    <row r="223" spans="2:9" x14ac:dyDescent="0.25">
      <c r="B223" s="68">
        <v>45930</v>
      </c>
      <c r="C223" s="50">
        <v>232.3800048828125</v>
      </c>
      <c r="D223" s="15">
        <f t="shared" si="6"/>
        <v>4.4521234152725686E-3</v>
      </c>
      <c r="G223" s="69">
        <v>45930</v>
      </c>
      <c r="H223" s="50">
        <v>24611.099609375</v>
      </c>
      <c r="I223" s="55">
        <f t="shared" si="7"/>
        <v>-9.6614075448253622E-4</v>
      </c>
    </row>
    <row r="224" spans="2:9" x14ac:dyDescent="0.25">
      <c r="B224" s="68">
        <v>45931</v>
      </c>
      <c r="C224" s="50">
        <v>241.25999450683591</v>
      </c>
      <c r="D224" s="15">
        <f t="shared" si="6"/>
        <v>3.8213225912020699E-2</v>
      </c>
      <c r="G224" s="69">
        <v>45931</v>
      </c>
      <c r="H224" s="50">
        <v>24836.30078125</v>
      </c>
      <c r="I224" s="55">
        <f t="shared" si="7"/>
        <v>9.1503904924759016E-3</v>
      </c>
    </row>
    <row r="225" spans="2:9" x14ac:dyDescent="0.25">
      <c r="B225" s="68">
        <v>45933</v>
      </c>
      <c r="C225" s="50">
        <v>239.80999755859381</v>
      </c>
      <c r="D225" s="15">
        <f t="shared" si="6"/>
        <v>-6.010101058014472E-3</v>
      </c>
      <c r="G225" s="69">
        <v>45933</v>
      </c>
      <c r="H225" s="50">
        <v>24894.25</v>
      </c>
      <c r="I225" s="55">
        <f t="shared" si="7"/>
        <v>2.3332467769816567E-3</v>
      </c>
    </row>
    <row r="226" spans="2:9" x14ac:dyDescent="0.25">
      <c r="B226" s="68">
        <v>45936</v>
      </c>
      <c r="C226" s="50">
        <v>255.3399963378906</v>
      </c>
      <c r="D226" s="15">
        <f t="shared" si="6"/>
        <v>6.4759596920066942E-2</v>
      </c>
      <c r="G226" s="69">
        <v>45936</v>
      </c>
      <c r="H226" s="50">
        <v>25077.650390625</v>
      </c>
      <c r="I226" s="55">
        <f t="shared" si="7"/>
        <v>7.3671787912872322E-3</v>
      </c>
    </row>
    <row r="227" spans="2:9" x14ac:dyDescent="0.25">
      <c r="B227" s="68">
        <v>45937</v>
      </c>
      <c r="C227" s="50">
        <v>262.39999389648438</v>
      </c>
      <c r="D227" s="15">
        <f t="shared" si="6"/>
        <v>2.7649399466785018E-2</v>
      </c>
      <c r="G227" s="69">
        <v>45937</v>
      </c>
      <c r="H227" s="50">
        <v>25108.30078125</v>
      </c>
      <c r="I227" s="55">
        <f t="shared" si="7"/>
        <v>1.2222193924698033E-3</v>
      </c>
    </row>
    <row r="228" spans="2:9" x14ac:dyDescent="0.25">
      <c r="B228" s="68">
        <v>45938</v>
      </c>
      <c r="C228" s="50">
        <v>257.42001342773438</v>
      </c>
      <c r="D228" s="15">
        <f t="shared" si="6"/>
        <v>-1.8978584544916521E-2</v>
      </c>
      <c r="G228" s="69">
        <v>45938</v>
      </c>
      <c r="H228" s="50">
        <v>25046.150390625</v>
      </c>
      <c r="I228" s="55">
        <f t="shared" si="7"/>
        <v>-2.4752925801897474E-3</v>
      </c>
    </row>
    <row r="229" spans="2:9" x14ac:dyDescent="0.25">
      <c r="B229" s="68">
        <v>45939</v>
      </c>
      <c r="C229" s="50">
        <v>264.1099853515625</v>
      </c>
      <c r="D229" s="15">
        <f t="shared" si="6"/>
        <v>2.5988546246837219E-2</v>
      </c>
      <c r="G229" s="69">
        <v>45939</v>
      </c>
      <c r="H229" s="50">
        <v>25181.80078125</v>
      </c>
      <c r="I229" s="55">
        <f t="shared" si="7"/>
        <v>5.4160175719368819E-3</v>
      </c>
    </row>
    <row r="230" spans="2:9" x14ac:dyDescent="0.25">
      <c r="B230" s="68">
        <v>45940</v>
      </c>
      <c r="C230" s="50">
        <v>265.19000244140619</v>
      </c>
      <c r="D230" s="15">
        <f t="shared" si="6"/>
        <v>4.0892701894859051E-3</v>
      </c>
      <c r="G230" s="69">
        <v>45940</v>
      </c>
      <c r="H230" s="50">
        <v>25285.349609375</v>
      </c>
      <c r="I230" s="55">
        <f t="shared" si="7"/>
        <v>4.1120501676790155E-3</v>
      </c>
    </row>
    <row r="231" spans="2:9" x14ac:dyDescent="0.25">
      <c r="B231" s="68">
        <v>45943</v>
      </c>
      <c r="C231" s="50">
        <v>261.48001098632813</v>
      </c>
      <c r="D231" s="15">
        <f t="shared" si="6"/>
        <v>-1.3989937105181038E-2</v>
      </c>
      <c r="G231" s="69">
        <v>45943</v>
      </c>
      <c r="H231" s="50">
        <v>25227.349609375</v>
      </c>
      <c r="I231" s="55">
        <f t="shared" si="7"/>
        <v>-2.2938183927065925E-3</v>
      </c>
    </row>
    <row r="232" spans="2:9" x14ac:dyDescent="0.25">
      <c r="B232" s="68">
        <v>45944</v>
      </c>
      <c r="C232" s="50">
        <v>255.78999328613281</v>
      </c>
      <c r="D232" s="15">
        <f t="shared" si="6"/>
        <v>-2.1760813297857839E-2</v>
      </c>
      <c r="G232" s="69">
        <v>45944</v>
      </c>
      <c r="H232" s="50">
        <v>25145.5</v>
      </c>
      <c r="I232" s="55">
        <f t="shared" si="7"/>
        <v>-3.2444791324643951E-3</v>
      </c>
    </row>
    <row r="233" spans="2:9" x14ac:dyDescent="0.25">
      <c r="B233" s="68">
        <v>45945</v>
      </c>
      <c r="C233" s="50">
        <v>261.6199951171875</v>
      </c>
      <c r="D233" s="15">
        <f t="shared" si="6"/>
        <v>2.2792141929231402E-2</v>
      </c>
      <c r="G233" s="69">
        <v>45945</v>
      </c>
      <c r="H233" s="50">
        <v>25323.55078125</v>
      </c>
      <c r="I233" s="55">
        <f t="shared" si="7"/>
        <v>7.0808208725219313E-3</v>
      </c>
    </row>
    <row r="234" spans="2:9" x14ac:dyDescent="0.25">
      <c r="B234" s="68">
        <v>45946</v>
      </c>
      <c r="C234" s="50">
        <v>263.30999755859381</v>
      </c>
      <c r="D234" s="15">
        <f t="shared" si="6"/>
        <v>6.4597602360221273E-3</v>
      </c>
      <c r="G234" s="69">
        <v>45946</v>
      </c>
      <c r="H234" s="50">
        <v>25585.30078125</v>
      </c>
      <c r="I234" s="55">
        <f t="shared" si="7"/>
        <v>1.0336228211479837E-2</v>
      </c>
    </row>
    <row r="235" spans="2:9" x14ac:dyDescent="0.25">
      <c r="B235" s="68">
        <v>45947</v>
      </c>
      <c r="C235" s="50">
        <v>261.1400146484375</v>
      </c>
      <c r="D235" s="15">
        <f t="shared" si="6"/>
        <v>-8.241171737785713E-3</v>
      </c>
      <c r="G235" s="69">
        <v>45947</v>
      </c>
      <c r="H235" s="50">
        <v>25709.849609375</v>
      </c>
      <c r="I235" s="55">
        <f t="shared" si="7"/>
        <v>4.8679837376106594E-3</v>
      </c>
    </row>
    <row r="236" spans="2:9" x14ac:dyDescent="0.25">
      <c r="B236" s="68">
        <v>45950</v>
      </c>
      <c r="C236" s="50">
        <v>257.48001098632813</v>
      </c>
      <c r="D236" s="15">
        <f t="shared" si="6"/>
        <v>-1.4015483866142486E-2</v>
      </c>
      <c r="G236" s="69">
        <v>45950</v>
      </c>
      <c r="H236" s="50">
        <v>25843.150390625</v>
      </c>
      <c r="I236" s="55">
        <f t="shared" si="7"/>
        <v>5.184813729964155E-3</v>
      </c>
    </row>
    <row r="237" spans="2:9" x14ac:dyDescent="0.25">
      <c r="B237" s="68">
        <v>45951</v>
      </c>
      <c r="C237" s="50">
        <v>256.8599853515625</v>
      </c>
      <c r="D237" s="15">
        <f t="shared" si="6"/>
        <v>-2.4080534733181835E-3</v>
      </c>
      <c r="G237" s="69">
        <v>45951</v>
      </c>
      <c r="H237" s="50">
        <v>25868.599609375</v>
      </c>
      <c r="I237" s="55">
        <f t="shared" si="7"/>
        <v>9.8475682590271063E-4</v>
      </c>
    </row>
    <row r="238" spans="2:9" x14ac:dyDescent="0.25">
      <c r="B238" s="68">
        <v>45953</v>
      </c>
      <c r="C238" s="50">
        <v>253.7200012207031</v>
      </c>
      <c r="D238" s="15">
        <f t="shared" si="6"/>
        <v>-1.2224497040914106E-2</v>
      </c>
      <c r="G238" s="69">
        <v>45953</v>
      </c>
      <c r="H238" s="50">
        <v>25891.400390625</v>
      </c>
      <c r="I238" s="55">
        <f t="shared" si="7"/>
        <v>8.8140763683774992E-4</v>
      </c>
    </row>
    <row r="239" spans="2:9" x14ac:dyDescent="0.25">
      <c r="B239" s="68">
        <v>45954</v>
      </c>
      <c r="C239" s="50">
        <v>250.5899963378906</v>
      </c>
      <c r="D239" s="15">
        <f t="shared" si="6"/>
        <v>-1.2336453049634821E-2</v>
      </c>
      <c r="G239" s="69">
        <v>45954</v>
      </c>
      <c r="H239" s="50">
        <v>25795.150390625</v>
      </c>
      <c r="I239" s="55">
        <f t="shared" si="7"/>
        <v>-3.7174505259611745E-3</v>
      </c>
    </row>
    <row r="240" spans="2:9" x14ac:dyDescent="0.25">
      <c r="B240" s="68">
        <v>45957</v>
      </c>
      <c r="C240" s="50">
        <v>255.13999938964841</v>
      </c>
      <c r="D240" s="15">
        <f t="shared" si="6"/>
        <v>1.8157161571696001E-2</v>
      </c>
      <c r="G240" s="69">
        <v>45957</v>
      </c>
      <c r="H240" s="50">
        <v>25966.05078125</v>
      </c>
      <c r="I240" s="55">
        <f t="shared" si="7"/>
        <v>6.625291500029773E-3</v>
      </c>
    </row>
    <row r="241" spans="2:9" x14ac:dyDescent="0.25">
      <c r="B241" s="68">
        <v>45958</v>
      </c>
      <c r="C241" s="50">
        <v>256.8599853515625</v>
      </c>
      <c r="D241" s="15">
        <f t="shared" si="6"/>
        <v>6.7413418751613996E-3</v>
      </c>
      <c r="G241" s="69">
        <v>45958</v>
      </c>
      <c r="H241" s="50">
        <v>25936.19921875</v>
      </c>
      <c r="I241" s="55">
        <f t="shared" si="7"/>
        <v>-1.149638146805021E-3</v>
      </c>
    </row>
    <row r="242" spans="2:9" x14ac:dyDescent="0.25">
      <c r="B242" s="68">
        <v>45959</v>
      </c>
      <c r="C242" s="50">
        <v>258.05999755859381</v>
      </c>
      <c r="D242" s="15">
        <f t="shared" si="6"/>
        <v>4.6718534433802805E-3</v>
      </c>
      <c r="G242" s="69">
        <v>45959</v>
      </c>
      <c r="H242" s="50">
        <v>26053.900390625</v>
      </c>
      <c r="I242" s="55">
        <f t="shared" si="7"/>
        <v>4.5381040946781415E-3</v>
      </c>
    </row>
    <row r="243" spans="2:9" x14ac:dyDescent="0.25">
      <c r="B243" s="68">
        <v>45960</v>
      </c>
      <c r="C243" s="50">
        <v>256.76998901367188</v>
      </c>
      <c r="D243" s="15">
        <f t="shared" si="6"/>
        <v>-4.9988706391002058E-3</v>
      </c>
      <c r="G243" s="69">
        <v>45960</v>
      </c>
      <c r="H243" s="50">
        <v>25877.849609375</v>
      </c>
      <c r="I243" s="55">
        <f t="shared" si="7"/>
        <v>-6.7571756478100875E-3</v>
      </c>
    </row>
    <row r="244" spans="2:9" x14ac:dyDescent="0.25">
      <c r="B244" s="68">
        <v>45961</v>
      </c>
      <c r="C244" s="50">
        <v>247.94000244140619</v>
      </c>
      <c r="D244" s="15">
        <f t="shared" si="6"/>
        <v>-3.4388701756713158E-2</v>
      </c>
      <c r="G244" s="69">
        <v>45961</v>
      </c>
      <c r="H244" s="50">
        <v>25722.099609375</v>
      </c>
      <c r="I244" s="55">
        <f t="shared" si="7"/>
        <v>-6.0186608373972161E-3</v>
      </c>
    </row>
    <row r="245" spans="2:9" x14ac:dyDescent="0.25">
      <c r="B245" s="68">
        <v>45964</v>
      </c>
      <c r="C245" s="50">
        <v>250.08000183105469</v>
      </c>
      <c r="D245" s="15">
        <f t="shared" si="6"/>
        <v>8.6311178856837145E-3</v>
      </c>
      <c r="G245" s="69">
        <v>45964</v>
      </c>
      <c r="H245" s="50">
        <v>25763.349609375</v>
      </c>
      <c r="I245" s="55">
        <f t="shared" si="7"/>
        <v>1.6036793506921665E-3</v>
      </c>
    </row>
    <row r="246" spans="2:9" x14ac:dyDescent="0.25">
      <c r="B246" s="68">
        <v>45965</v>
      </c>
      <c r="C246" s="50">
        <v>250.83000183105469</v>
      </c>
      <c r="D246" s="15">
        <f t="shared" si="6"/>
        <v>2.9990402851431952E-3</v>
      </c>
      <c r="G246" s="69">
        <v>45965</v>
      </c>
      <c r="H246" s="50">
        <v>25597.650390625</v>
      </c>
      <c r="I246" s="55">
        <f t="shared" si="7"/>
        <v>-6.431586779760301E-3</v>
      </c>
    </row>
    <row r="247" spans="2:9" x14ac:dyDescent="0.25">
      <c r="B247" s="68">
        <v>45966</v>
      </c>
      <c r="C247" s="50">
        <v>250.83000183105469</v>
      </c>
      <c r="D247" s="15">
        <f t="shared" si="6"/>
        <v>0</v>
      </c>
      <c r="G247" s="69">
        <v>45967</v>
      </c>
      <c r="H247" s="50">
        <v>25509.69921875</v>
      </c>
      <c r="I247" s="55">
        <f t="shared" si="7"/>
        <v>-3.4359080045569534E-3</v>
      </c>
    </row>
    <row r="248" spans="2:9" x14ac:dyDescent="0.25">
      <c r="B248" s="68">
        <v>45967</v>
      </c>
      <c r="C248" s="50">
        <v>246.13999938964841</v>
      </c>
      <c r="D248" s="15">
        <f t="shared" si="6"/>
        <v>-1.8697932492801272E-2</v>
      </c>
      <c r="G248" s="69">
        <v>45968</v>
      </c>
      <c r="H248" s="50">
        <v>25492.30078125</v>
      </c>
      <c r="I248" s="55">
        <f t="shared" si="7"/>
        <v>-6.8203224784446626E-4</v>
      </c>
    </row>
    <row r="249" spans="2:9" x14ac:dyDescent="0.25">
      <c r="B249" s="68">
        <v>45968</v>
      </c>
      <c r="C249" s="50">
        <v>245.8699951171875</v>
      </c>
      <c r="D249" s="15">
        <f t="shared" si="6"/>
        <v>-1.0969540632584929E-3</v>
      </c>
      <c r="G249" s="69">
        <v>45971</v>
      </c>
      <c r="H249" s="50">
        <v>25574.349609375</v>
      </c>
      <c r="I249" s="55">
        <f t="shared" si="7"/>
        <v>3.2185728871263475E-3</v>
      </c>
    </row>
    <row r="250" spans="2:9" x14ac:dyDescent="0.25">
      <c r="B250" s="68">
        <v>45971</v>
      </c>
      <c r="C250" s="50">
        <v>260.82000732421881</v>
      </c>
      <c r="D250" s="15">
        <f t="shared" si="6"/>
        <v>6.0804541033588899E-2</v>
      </c>
      <c r="G250" s="69">
        <v>45972</v>
      </c>
      <c r="H250" s="50">
        <v>25694.94921875</v>
      </c>
      <c r="I250" s="55">
        <f t="shared" si="7"/>
        <v>4.7156471705849246E-3</v>
      </c>
    </row>
    <row r="251" spans="2:9" x14ac:dyDescent="0.25">
      <c r="B251" s="68">
        <v>45972</v>
      </c>
      <c r="C251" s="50">
        <v>262.01998901367188</v>
      </c>
      <c r="D251" s="15">
        <f t="shared" si="6"/>
        <v>4.6008038331253331E-3</v>
      </c>
      <c r="G251" s="69">
        <v>45973</v>
      </c>
      <c r="H251" s="50">
        <v>25875.80078125</v>
      </c>
      <c r="I251" s="55">
        <f t="shared" si="7"/>
        <v>7.0384090258497345E-3</v>
      </c>
    </row>
    <row r="252" spans="2:9" x14ac:dyDescent="0.25">
      <c r="B252" s="68">
        <v>45973</v>
      </c>
      <c r="C252" s="50">
        <v>256.80999755859381</v>
      </c>
      <c r="D252" s="15">
        <f t="shared" si="6"/>
        <v>-1.9883946544270059E-2</v>
      </c>
      <c r="G252" s="69">
        <v>45974</v>
      </c>
      <c r="H252" s="50">
        <v>25879.150390625</v>
      </c>
      <c r="I252" s="55">
        <f t="shared" si="7"/>
        <v>1.2944949620363744E-4</v>
      </c>
    </row>
    <row r="253" spans="2:9" x14ac:dyDescent="0.25">
      <c r="B253" s="68">
        <v>45974</v>
      </c>
      <c r="C253" s="50">
        <v>256.95001220703119</v>
      </c>
      <c r="D253" s="15">
        <f t="shared" si="6"/>
        <v>5.4520715614048143E-4</v>
      </c>
      <c r="G253" s="69">
        <v>45975</v>
      </c>
      <c r="H253" s="50">
        <v>25910.05078125</v>
      </c>
      <c r="I253" s="55">
        <f t="shared" si="7"/>
        <v>1.194026471448284E-3</v>
      </c>
    </row>
    <row r="254" spans="2:9" x14ac:dyDescent="0.25">
      <c r="B254" s="68"/>
      <c r="C254" s="50"/>
      <c r="D254" s="15"/>
    </row>
    <row r="255" spans="2:9" x14ac:dyDescent="0.25">
      <c r="B255" s="68"/>
      <c r="D255" s="15"/>
    </row>
    <row r="256" spans="2:9" x14ac:dyDescent="0.25">
      <c r="B256" s="68"/>
      <c r="D256" s="15"/>
    </row>
    <row r="257" spans="2:4" x14ac:dyDescent="0.25">
      <c r="B257" s="68"/>
      <c r="D257" s="15"/>
    </row>
    <row r="258" spans="2:4" x14ac:dyDescent="0.25">
      <c r="B258" s="68"/>
      <c r="D258" s="15"/>
    </row>
    <row r="259" spans="2:4" x14ac:dyDescent="0.25">
      <c r="B259" s="68"/>
      <c r="D259" s="15"/>
    </row>
    <row r="260" spans="2:4" x14ac:dyDescent="0.25">
      <c r="B260" s="68"/>
      <c r="C260" s="50"/>
      <c r="D260" s="15"/>
    </row>
    <row r="261" spans="2:4" x14ac:dyDescent="0.25">
      <c r="B261" s="68"/>
      <c r="C261" s="50"/>
      <c r="D261" s="15"/>
    </row>
    <row r="262" spans="2:4" x14ac:dyDescent="0.25">
      <c r="B262" s="68"/>
      <c r="C262" s="50"/>
      <c r="D262" s="15"/>
    </row>
    <row r="263" spans="2:4" x14ac:dyDescent="0.25">
      <c r="B263" s="68"/>
      <c r="C263" s="50"/>
      <c r="D263" s="15"/>
    </row>
    <row r="264" spans="2:4" x14ac:dyDescent="0.25">
      <c r="B264" s="68"/>
      <c r="C264" s="50"/>
      <c r="D264" s="15"/>
    </row>
    <row r="265" spans="2:4" x14ac:dyDescent="0.25">
      <c r="B265" s="68"/>
      <c r="C265" s="50"/>
      <c r="D265" s="15"/>
    </row>
    <row r="266" spans="2:4" x14ac:dyDescent="0.25">
      <c r="B266" s="68"/>
      <c r="C266" s="50"/>
      <c r="D266" s="15"/>
    </row>
    <row r="267" spans="2:4" x14ac:dyDescent="0.25">
      <c r="B267" s="68"/>
      <c r="C267" s="50"/>
      <c r="D267" s="15"/>
    </row>
    <row r="268" spans="2:4" x14ac:dyDescent="0.25">
      <c r="B268" s="68"/>
      <c r="C268" s="50"/>
      <c r="D268" s="15"/>
    </row>
    <row r="269" spans="2:4" x14ac:dyDescent="0.25">
      <c r="B269" s="68"/>
      <c r="C269" s="50"/>
      <c r="D269" s="15"/>
    </row>
    <row r="270" spans="2:4" x14ac:dyDescent="0.25">
      <c r="B270" s="68"/>
      <c r="C270" s="50"/>
      <c r="D270" s="15"/>
    </row>
    <row r="271" spans="2:4" x14ac:dyDescent="0.25">
      <c r="B271" s="68"/>
      <c r="C271" s="50"/>
      <c r="D271" s="15"/>
    </row>
    <row r="272" spans="2:4" x14ac:dyDescent="0.25">
      <c r="B272" s="68"/>
      <c r="C272" s="50"/>
      <c r="D272" s="15"/>
    </row>
    <row r="273" spans="2:4" x14ac:dyDescent="0.25">
      <c r="B273" s="68"/>
      <c r="C273" s="50"/>
      <c r="D273" s="15"/>
    </row>
    <row r="274" spans="2:4" x14ac:dyDescent="0.25">
      <c r="B274" s="68"/>
      <c r="C274" s="50"/>
      <c r="D274" s="15"/>
    </row>
    <row r="275" spans="2:4" x14ac:dyDescent="0.25">
      <c r="B275" s="68"/>
      <c r="C275" s="50"/>
      <c r="D275" s="15"/>
    </row>
    <row r="276" spans="2:4" x14ac:dyDescent="0.25">
      <c r="B276" s="68"/>
      <c r="C276" s="50"/>
      <c r="D276" s="15"/>
    </row>
    <row r="277" spans="2:4" x14ac:dyDescent="0.25">
      <c r="B277" s="68"/>
      <c r="C277" s="50"/>
      <c r="D277" s="15"/>
    </row>
    <row r="278" spans="2:4" x14ac:dyDescent="0.25">
      <c r="B278" s="68"/>
      <c r="C278" s="50"/>
      <c r="D278" s="15"/>
    </row>
    <row r="279" spans="2:4" x14ac:dyDescent="0.25">
      <c r="B279" s="68"/>
      <c r="C279" s="50"/>
      <c r="D279" s="15"/>
    </row>
    <row r="280" spans="2:4" x14ac:dyDescent="0.25">
      <c r="B280" s="68"/>
      <c r="C280" s="50"/>
      <c r="D280" s="15"/>
    </row>
    <row r="281" spans="2:4" x14ac:dyDescent="0.25">
      <c r="B281" s="68"/>
      <c r="C281" s="50"/>
      <c r="D281" s="15"/>
    </row>
    <row r="282" spans="2:4" x14ac:dyDescent="0.25">
      <c r="B282" s="68"/>
      <c r="C282" s="50"/>
      <c r="D282" s="15"/>
    </row>
    <row r="283" spans="2:4" x14ac:dyDescent="0.25">
      <c r="B283" s="68"/>
      <c r="C283" s="50"/>
      <c r="D283" s="15"/>
    </row>
    <row r="284" spans="2:4" x14ac:dyDescent="0.25">
      <c r="B284" s="68"/>
      <c r="C284" s="50"/>
      <c r="D284" s="15"/>
    </row>
    <row r="285" spans="2:4" x14ac:dyDescent="0.25">
      <c r="B285" s="68"/>
      <c r="C285" s="50"/>
      <c r="D285" s="15"/>
    </row>
    <row r="286" spans="2:4" x14ac:dyDescent="0.25">
      <c r="B286" s="68"/>
      <c r="C286" s="50"/>
      <c r="D286" s="15"/>
    </row>
    <row r="287" spans="2:4" x14ac:dyDescent="0.25">
      <c r="B287" s="68"/>
      <c r="C287" s="50"/>
      <c r="D287" s="15"/>
    </row>
    <row r="288" spans="2:4" x14ac:dyDescent="0.25">
      <c r="B288" s="68"/>
      <c r="C288" s="50"/>
      <c r="D288" s="15"/>
    </row>
    <row r="289" spans="2:4" x14ac:dyDescent="0.25">
      <c r="B289" s="68"/>
      <c r="C289" s="50"/>
      <c r="D289" s="15"/>
    </row>
    <row r="290" spans="2:4" x14ac:dyDescent="0.25">
      <c r="B290" s="68"/>
      <c r="C290" s="50"/>
      <c r="D290" s="15"/>
    </row>
    <row r="291" spans="2:4" x14ac:dyDescent="0.25">
      <c r="B291" s="68"/>
      <c r="C291" s="50"/>
      <c r="D291" s="15"/>
    </row>
    <row r="292" spans="2:4" x14ac:dyDescent="0.25">
      <c r="B292" s="68"/>
      <c r="C292" s="50"/>
      <c r="D292" s="15"/>
    </row>
    <row r="293" spans="2:4" x14ac:dyDescent="0.25">
      <c r="B293" s="68"/>
      <c r="C293" s="50"/>
      <c r="D293" s="15"/>
    </row>
    <row r="294" spans="2:4" x14ac:dyDescent="0.25">
      <c r="B294" s="68"/>
      <c r="C294" s="50"/>
      <c r="D294" s="15"/>
    </row>
    <row r="295" spans="2:4" x14ac:dyDescent="0.25">
      <c r="B295" s="68"/>
      <c r="C295" s="50"/>
      <c r="D295" s="15"/>
    </row>
    <row r="296" spans="2:4" x14ac:dyDescent="0.25">
      <c r="B296" s="68"/>
      <c r="C296" s="50"/>
      <c r="D296" s="15"/>
    </row>
    <row r="297" spans="2:4" x14ac:dyDescent="0.25">
      <c r="B297" s="68"/>
      <c r="C297" s="50"/>
      <c r="D297" s="15"/>
    </row>
    <row r="298" spans="2:4" x14ac:dyDescent="0.25">
      <c r="B298" s="68"/>
      <c r="C298" s="50"/>
      <c r="D298" s="15"/>
    </row>
    <row r="299" spans="2:4" x14ac:dyDescent="0.25">
      <c r="B299" s="68"/>
      <c r="C299" s="50"/>
      <c r="D299" s="15"/>
    </row>
    <row r="300" spans="2:4" x14ac:dyDescent="0.25">
      <c r="B300" s="68"/>
      <c r="C300" s="50"/>
      <c r="D300" s="15"/>
    </row>
    <row r="301" spans="2:4" x14ac:dyDescent="0.25">
      <c r="B301" s="68"/>
      <c r="C301" s="50"/>
      <c r="D301" s="15"/>
    </row>
    <row r="302" spans="2:4" x14ac:dyDescent="0.25">
      <c r="B302" s="68"/>
      <c r="C302" s="50"/>
      <c r="D302" s="15"/>
    </row>
    <row r="303" spans="2:4" x14ac:dyDescent="0.25">
      <c r="B303" s="68"/>
      <c r="C303" s="50"/>
      <c r="D303" s="15"/>
    </row>
    <row r="304" spans="2:4" x14ac:dyDescent="0.25">
      <c r="B304" s="68"/>
      <c r="C304" s="50"/>
      <c r="D304" s="15"/>
    </row>
    <row r="305" spans="2:4" x14ac:dyDescent="0.25">
      <c r="B305" s="68"/>
      <c r="C305" s="50"/>
      <c r="D305" s="15"/>
    </row>
    <row r="306" spans="2:4" x14ac:dyDescent="0.25">
      <c r="B306" s="68"/>
      <c r="C306" s="50"/>
      <c r="D306" s="15"/>
    </row>
    <row r="307" spans="2:4" x14ac:dyDescent="0.25">
      <c r="B307" s="68"/>
      <c r="C307" s="50"/>
      <c r="D307" s="15"/>
    </row>
    <row r="308" spans="2:4" x14ac:dyDescent="0.25">
      <c r="B308" s="68"/>
      <c r="C308" s="50"/>
      <c r="D308" s="15"/>
    </row>
    <row r="309" spans="2:4" x14ac:dyDescent="0.25">
      <c r="B309" s="68"/>
      <c r="C309" s="50"/>
      <c r="D309" s="15"/>
    </row>
    <row r="310" spans="2:4" x14ac:dyDescent="0.25">
      <c r="B310" s="68"/>
      <c r="C310" s="50"/>
      <c r="D310" s="15"/>
    </row>
    <row r="311" spans="2:4" x14ac:dyDescent="0.25">
      <c r="B311" s="68"/>
      <c r="C311" s="50"/>
      <c r="D311" s="15"/>
    </row>
    <row r="312" spans="2:4" x14ac:dyDescent="0.25">
      <c r="B312" s="68"/>
      <c r="C312" s="50"/>
      <c r="D312" s="15"/>
    </row>
    <row r="313" spans="2:4" x14ac:dyDescent="0.25">
      <c r="B313" s="68"/>
      <c r="C313" s="50"/>
      <c r="D313" s="15"/>
    </row>
    <row r="314" spans="2:4" x14ac:dyDescent="0.25">
      <c r="B314" s="68"/>
      <c r="C314" s="50"/>
      <c r="D314" s="15"/>
    </row>
    <row r="315" spans="2:4" x14ac:dyDescent="0.25">
      <c r="B315" s="68"/>
      <c r="C315" s="50"/>
      <c r="D315" s="15"/>
    </row>
    <row r="316" spans="2:4" x14ac:dyDescent="0.25">
      <c r="B316" s="68"/>
      <c r="C316" s="50"/>
      <c r="D316" s="15"/>
    </row>
    <row r="317" spans="2:4" x14ac:dyDescent="0.25">
      <c r="B317" s="68"/>
      <c r="C317" s="50"/>
      <c r="D317" s="15"/>
    </row>
    <row r="318" spans="2:4" x14ac:dyDescent="0.25">
      <c r="B318" s="68"/>
      <c r="C318" s="50"/>
      <c r="D318" s="15"/>
    </row>
    <row r="319" spans="2:4" x14ac:dyDescent="0.25">
      <c r="B319" s="68"/>
      <c r="C319" s="50"/>
      <c r="D319" s="15"/>
    </row>
    <row r="320" spans="2:4" x14ac:dyDescent="0.25">
      <c r="B320" s="68"/>
      <c r="C320" s="50"/>
      <c r="D320" s="15"/>
    </row>
    <row r="321" spans="2:4" x14ac:dyDescent="0.25">
      <c r="B321" s="68"/>
      <c r="C321" s="50"/>
      <c r="D321" s="15"/>
    </row>
    <row r="322" spans="2:4" x14ac:dyDescent="0.25">
      <c r="B322" s="68"/>
      <c r="C322" s="50"/>
      <c r="D322" s="15"/>
    </row>
    <row r="323" spans="2:4" x14ac:dyDescent="0.25">
      <c r="B323" s="68"/>
      <c r="C323" s="50"/>
      <c r="D323" s="15"/>
    </row>
    <row r="324" spans="2:4" x14ac:dyDescent="0.25">
      <c r="B324" s="68"/>
      <c r="C324" s="50"/>
      <c r="D324" s="15"/>
    </row>
    <row r="325" spans="2:4" x14ac:dyDescent="0.25">
      <c r="B325" s="68"/>
      <c r="C325" s="50"/>
      <c r="D325" s="15"/>
    </row>
    <row r="326" spans="2:4" x14ac:dyDescent="0.25">
      <c r="B326" s="68"/>
      <c r="C326" s="50"/>
      <c r="D326" s="15"/>
    </row>
    <row r="327" spans="2:4" x14ac:dyDescent="0.25">
      <c r="B327" s="68"/>
      <c r="C327" s="50"/>
      <c r="D327" s="15"/>
    </row>
    <row r="328" spans="2:4" x14ac:dyDescent="0.25">
      <c r="B328" s="68"/>
      <c r="C328" s="50"/>
      <c r="D328" s="15"/>
    </row>
    <row r="329" spans="2:4" x14ac:dyDescent="0.25">
      <c r="B329" s="68"/>
      <c r="C329" s="50"/>
      <c r="D329" s="15"/>
    </row>
    <row r="330" spans="2:4" x14ac:dyDescent="0.25">
      <c r="B330" s="68"/>
      <c r="C330" s="50"/>
      <c r="D330" s="15"/>
    </row>
    <row r="331" spans="2:4" x14ac:dyDescent="0.25">
      <c r="B331" s="68"/>
      <c r="C331" s="50"/>
      <c r="D331" s="15"/>
    </row>
    <row r="332" spans="2:4" x14ac:dyDescent="0.25">
      <c r="B332" s="68"/>
      <c r="C332" s="50"/>
      <c r="D332" s="15"/>
    </row>
    <row r="333" spans="2:4" x14ac:dyDescent="0.25">
      <c r="B333" s="68"/>
      <c r="C333" s="50"/>
      <c r="D333" s="15"/>
    </row>
    <row r="334" spans="2:4" x14ac:dyDescent="0.25">
      <c r="B334" s="68"/>
      <c r="C334" s="50"/>
      <c r="D334" s="15"/>
    </row>
    <row r="335" spans="2:4" x14ac:dyDescent="0.25">
      <c r="B335" s="68"/>
      <c r="C335" s="50"/>
      <c r="D335" s="15"/>
    </row>
    <row r="336" spans="2:4" x14ac:dyDescent="0.25">
      <c r="B336" s="68"/>
      <c r="C336" s="50"/>
      <c r="D336" s="15"/>
    </row>
    <row r="337" spans="2:4" x14ac:dyDescent="0.25">
      <c r="B337" s="68"/>
      <c r="C337" s="50"/>
      <c r="D337" s="15"/>
    </row>
    <row r="338" spans="2:4" x14ac:dyDescent="0.25">
      <c r="B338" s="68"/>
      <c r="C338" s="50"/>
      <c r="D338" s="15"/>
    </row>
    <row r="339" spans="2:4" x14ac:dyDescent="0.25">
      <c r="B339" s="68"/>
      <c r="C339" s="50"/>
      <c r="D339" s="15"/>
    </row>
    <row r="340" spans="2:4" x14ac:dyDescent="0.25">
      <c r="B340" s="68"/>
      <c r="C340" s="50"/>
      <c r="D340" s="15"/>
    </row>
    <row r="341" spans="2:4" x14ac:dyDescent="0.25">
      <c r="B341" s="68"/>
      <c r="C341" s="50"/>
      <c r="D341" s="15"/>
    </row>
    <row r="342" spans="2:4" x14ac:dyDescent="0.25">
      <c r="B342" s="68"/>
      <c r="C342" s="50"/>
      <c r="D342" s="15"/>
    </row>
    <row r="343" spans="2:4" x14ac:dyDescent="0.25">
      <c r="B343" s="68"/>
      <c r="C343" s="50"/>
      <c r="D343" s="15"/>
    </row>
    <row r="344" spans="2:4" x14ac:dyDescent="0.25">
      <c r="B344" s="68"/>
      <c r="C344" s="50"/>
      <c r="D344" s="15"/>
    </row>
    <row r="345" spans="2:4" x14ac:dyDescent="0.25">
      <c r="B345" s="68"/>
      <c r="C345" s="50"/>
      <c r="D345" s="15"/>
    </row>
    <row r="346" spans="2:4" x14ac:dyDescent="0.25">
      <c r="B346" s="68"/>
      <c r="C346" s="50"/>
      <c r="D346" s="15"/>
    </row>
    <row r="347" spans="2:4" x14ac:dyDescent="0.25">
      <c r="B347" s="68"/>
      <c r="C347" s="50"/>
      <c r="D347" s="15"/>
    </row>
    <row r="348" spans="2:4" x14ac:dyDescent="0.25">
      <c r="B348" s="68"/>
      <c r="C348" s="50"/>
      <c r="D348" s="15"/>
    </row>
    <row r="349" spans="2:4" x14ac:dyDescent="0.25">
      <c r="B349" s="68"/>
      <c r="C349" s="50"/>
      <c r="D349" s="15"/>
    </row>
    <row r="350" spans="2:4" x14ac:dyDescent="0.25">
      <c r="B350" s="68"/>
      <c r="C350" s="50"/>
      <c r="D350" s="15"/>
    </row>
    <row r="351" spans="2:4" x14ac:dyDescent="0.25">
      <c r="B351" s="68"/>
      <c r="C351" s="50"/>
      <c r="D351" s="15"/>
    </row>
    <row r="352" spans="2:4" x14ac:dyDescent="0.25">
      <c r="B352" s="68"/>
      <c r="C352" s="50"/>
      <c r="D352" s="15"/>
    </row>
    <row r="353" spans="2:4" x14ac:dyDescent="0.25">
      <c r="B353" s="68"/>
      <c r="C353" s="50"/>
      <c r="D353" s="15"/>
    </row>
    <row r="354" spans="2:4" x14ac:dyDescent="0.25">
      <c r="B354" s="68"/>
      <c r="C354" s="50"/>
      <c r="D354" s="15"/>
    </row>
    <row r="355" spans="2:4" x14ac:dyDescent="0.25">
      <c r="B355" s="68"/>
      <c r="C355" s="50"/>
      <c r="D355" s="15"/>
    </row>
    <row r="356" spans="2:4" x14ac:dyDescent="0.25">
      <c r="B356" s="68"/>
      <c r="C356" s="50"/>
      <c r="D356" s="15"/>
    </row>
    <row r="357" spans="2:4" x14ac:dyDescent="0.25">
      <c r="B357" s="68"/>
      <c r="C357" s="50"/>
      <c r="D357" s="15"/>
    </row>
    <row r="358" spans="2:4" x14ac:dyDescent="0.25">
      <c r="B358" s="68"/>
      <c r="C358" s="50"/>
      <c r="D358" s="15"/>
    </row>
    <row r="359" spans="2:4" x14ac:dyDescent="0.25">
      <c r="B359" s="68"/>
      <c r="C359" s="50"/>
      <c r="D359" s="15"/>
    </row>
    <row r="360" spans="2:4" x14ac:dyDescent="0.25">
      <c r="B360" s="68"/>
      <c r="C360" s="50"/>
      <c r="D360" s="15"/>
    </row>
    <row r="361" spans="2:4" x14ac:dyDescent="0.25">
      <c r="B361" s="68"/>
      <c r="C361" s="50"/>
      <c r="D361" s="15"/>
    </row>
    <row r="362" spans="2:4" x14ac:dyDescent="0.25">
      <c r="B362" s="68"/>
      <c r="C362" s="50"/>
      <c r="D362" s="15"/>
    </row>
    <row r="363" spans="2:4" x14ac:dyDescent="0.25">
      <c r="B363" s="68"/>
      <c r="C363" s="50"/>
      <c r="D363" s="15"/>
    </row>
    <row r="364" spans="2:4" x14ac:dyDescent="0.25">
      <c r="B364" s="68"/>
      <c r="C364" s="50"/>
      <c r="D364" s="15"/>
    </row>
    <row r="365" spans="2:4" x14ac:dyDescent="0.25">
      <c r="B365" s="68"/>
      <c r="C365" s="50"/>
      <c r="D365" s="15"/>
    </row>
    <row r="366" spans="2:4" x14ac:dyDescent="0.25">
      <c r="B366" s="68"/>
      <c r="C366" s="50"/>
      <c r="D366" s="15"/>
    </row>
    <row r="367" spans="2:4" x14ac:dyDescent="0.25">
      <c r="B367" s="68"/>
      <c r="C367" s="50"/>
      <c r="D367" s="15"/>
    </row>
    <row r="368" spans="2:4" x14ac:dyDescent="0.25">
      <c r="B368" s="68"/>
      <c r="C368" s="50"/>
      <c r="D368" s="15"/>
    </row>
    <row r="369" spans="2:4" x14ac:dyDescent="0.25">
      <c r="B369" s="68"/>
      <c r="C369" s="50"/>
      <c r="D369" s="15"/>
    </row>
    <row r="370" spans="2:4" x14ac:dyDescent="0.25">
      <c r="B370" s="68"/>
      <c r="C370" s="50"/>
      <c r="D370" s="15"/>
    </row>
    <row r="371" spans="2:4" x14ac:dyDescent="0.25">
      <c r="B371" s="68"/>
      <c r="C371" s="50"/>
      <c r="D371" s="15"/>
    </row>
    <row r="372" spans="2:4" x14ac:dyDescent="0.25">
      <c r="B372" s="68"/>
      <c r="C372" s="50"/>
      <c r="D372" s="15"/>
    </row>
    <row r="373" spans="2:4" x14ac:dyDescent="0.25">
      <c r="B373" s="68"/>
      <c r="C373" s="50"/>
      <c r="D373" s="15"/>
    </row>
    <row r="374" spans="2:4" x14ac:dyDescent="0.25">
      <c r="B374" s="68"/>
      <c r="C374" s="50"/>
      <c r="D374" s="15"/>
    </row>
    <row r="375" spans="2:4" x14ac:dyDescent="0.25">
      <c r="B375" s="68"/>
      <c r="C375" s="50"/>
      <c r="D375" s="15"/>
    </row>
    <row r="376" spans="2:4" x14ac:dyDescent="0.25">
      <c r="B376" s="68"/>
      <c r="C376" s="50"/>
      <c r="D376" s="15"/>
    </row>
    <row r="377" spans="2:4" x14ac:dyDescent="0.25">
      <c r="B377" s="68"/>
      <c r="C377" s="50"/>
      <c r="D377" s="15"/>
    </row>
    <row r="378" spans="2:4" x14ac:dyDescent="0.25">
      <c r="B378" s="68"/>
      <c r="C378" s="50"/>
      <c r="D378" s="15"/>
    </row>
    <row r="379" spans="2:4" x14ac:dyDescent="0.25">
      <c r="B379" s="68"/>
      <c r="C379" s="50"/>
      <c r="D379" s="15"/>
    </row>
    <row r="380" spans="2:4" x14ac:dyDescent="0.25">
      <c r="B380" s="68"/>
      <c r="C380" s="50"/>
      <c r="D380" s="15"/>
    </row>
    <row r="381" spans="2:4" x14ac:dyDescent="0.25">
      <c r="B381" s="68"/>
      <c r="C381" s="50"/>
      <c r="D381" s="15"/>
    </row>
    <row r="382" spans="2:4" x14ac:dyDescent="0.25">
      <c r="B382" s="68"/>
      <c r="C382" s="50"/>
      <c r="D382" s="15"/>
    </row>
    <row r="383" spans="2:4" x14ac:dyDescent="0.25">
      <c r="B383" s="68"/>
      <c r="C383" s="50"/>
      <c r="D383" s="15"/>
    </row>
    <row r="384" spans="2:4" x14ac:dyDescent="0.25">
      <c r="B384" s="68"/>
      <c r="C384" s="50"/>
      <c r="D384" s="15"/>
    </row>
    <row r="385" spans="2:4" x14ac:dyDescent="0.25">
      <c r="B385" s="68"/>
      <c r="C385" s="50"/>
      <c r="D385" s="15"/>
    </row>
    <row r="386" spans="2:4" x14ac:dyDescent="0.25">
      <c r="B386" s="68"/>
      <c r="C386" s="50"/>
      <c r="D386" s="15"/>
    </row>
    <row r="387" spans="2:4" x14ac:dyDescent="0.25">
      <c r="B387" s="68"/>
      <c r="C387" s="50"/>
      <c r="D387" s="15"/>
    </row>
    <row r="388" spans="2:4" x14ac:dyDescent="0.25">
      <c r="B388" s="68"/>
      <c r="C388" s="50"/>
      <c r="D388" s="15"/>
    </row>
    <row r="389" spans="2:4" x14ac:dyDescent="0.25">
      <c r="B389" s="68"/>
      <c r="C389" s="50"/>
      <c r="D389" s="15"/>
    </row>
    <row r="390" spans="2:4" x14ac:dyDescent="0.25">
      <c r="B390" s="68"/>
      <c r="C390" s="50"/>
      <c r="D390" s="15"/>
    </row>
    <row r="391" spans="2:4" x14ac:dyDescent="0.25">
      <c r="B391" s="68"/>
      <c r="C391" s="50"/>
      <c r="D391" s="15"/>
    </row>
    <row r="392" spans="2:4" x14ac:dyDescent="0.25">
      <c r="B392" s="68"/>
      <c r="C392" s="50"/>
      <c r="D392" s="15"/>
    </row>
    <row r="393" spans="2:4" x14ac:dyDescent="0.25">
      <c r="B393" s="68"/>
      <c r="C393" s="50"/>
      <c r="D393" s="15"/>
    </row>
    <row r="394" spans="2:4" x14ac:dyDescent="0.25">
      <c r="B394" s="68"/>
      <c r="C394" s="50"/>
      <c r="D394" s="15"/>
    </row>
    <row r="395" spans="2:4" x14ac:dyDescent="0.25">
      <c r="B395" s="68"/>
      <c r="C395" s="50"/>
      <c r="D395" s="15"/>
    </row>
    <row r="396" spans="2:4" x14ac:dyDescent="0.25">
      <c r="B396" s="68"/>
      <c r="C396" s="50"/>
      <c r="D396" s="15"/>
    </row>
    <row r="397" spans="2:4" x14ac:dyDescent="0.25">
      <c r="B397" s="68"/>
      <c r="C397" s="50"/>
      <c r="D397" s="15"/>
    </row>
    <row r="398" spans="2:4" x14ac:dyDescent="0.25">
      <c r="B398" s="68"/>
      <c r="C398" s="50"/>
      <c r="D398" s="15"/>
    </row>
    <row r="399" spans="2:4" x14ac:dyDescent="0.25">
      <c r="B399" s="68"/>
      <c r="C399" s="50"/>
      <c r="D399" s="15"/>
    </row>
    <row r="400" spans="2:4" x14ac:dyDescent="0.25">
      <c r="B400" s="68"/>
      <c r="C400" s="50"/>
      <c r="D400" s="15"/>
    </row>
    <row r="401" spans="2:4" x14ac:dyDescent="0.25">
      <c r="B401" s="68"/>
      <c r="C401" s="50"/>
      <c r="D401" s="15"/>
    </row>
    <row r="402" spans="2:4" x14ac:dyDescent="0.25">
      <c r="B402" s="68"/>
      <c r="C402" s="50"/>
      <c r="D402" s="15"/>
    </row>
    <row r="403" spans="2:4" x14ac:dyDescent="0.25">
      <c r="B403" s="68"/>
      <c r="C403" s="50"/>
      <c r="D403" s="15"/>
    </row>
    <row r="404" spans="2:4" x14ac:dyDescent="0.25">
      <c r="B404" s="68"/>
      <c r="C404" s="50"/>
      <c r="D404" s="15"/>
    </row>
    <row r="405" spans="2:4" x14ac:dyDescent="0.25">
      <c r="B405" s="68"/>
      <c r="C405" s="50"/>
      <c r="D405" s="15"/>
    </row>
    <row r="406" spans="2:4" x14ac:dyDescent="0.25">
      <c r="B406" s="68"/>
      <c r="C406" s="50"/>
      <c r="D406" s="15"/>
    </row>
    <row r="407" spans="2:4" x14ac:dyDescent="0.25">
      <c r="B407" s="68"/>
      <c r="C407" s="50"/>
      <c r="D407" s="15"/>
    </row>
    <row r="408" spans="2:4" x14ac:dyDescent="0.25">
      <c r="B408" s="68"/>
      <c r="C408" s="50"/>
      <c r="D408" s="15"/>
    </row>
    <row r="409" spans="2:4" x14ac:dyDescent="0.25">
      <c r="B409" s="68"/>
      <c r="C409" s="50"/>
      <c r="D409" s="15"/>
    </row>
    <row r="410" spans="2:4" x14ac:dyDescent="0.25">
      <c r="B410" s="68"/>
      <c r="C410" s="50"/>
      <c r="D410" s="15"/>
    </row>
    <row r="411" spans="2:4" x14ac:dyDescent="0.25">
      <c r="B411" s="68"/>
      <c r="C411" s="50"/>
      <c r="D411" s="15"/>
    </row>
    <row r="412" spans="2:4" x14ac:dyDescent="0.25">
      <c r="B412" s="68"/>
      <c r="C412" s="50"/>
      <c r="D412" s="15"/>
    </row>
    <row r="413" spans="2:4" x14ac:dyDescent="0.25">
      <c r="B413" s="68"/>
      <c r="C413" s="50"/>
      <c r="D413" s="15"/>
    </row>
    <row r="414" spans="2:4" x14ac:dyDescent="0.25">
      <c r="B414" s="68"/>
      <c r="C414" s="50"/>
      <c r="D414" s="15"/>
    </row>
    <row r="415" spans="2:4" x14ac:dyDescent="0.25">
      <c r="B415" s="68"/>
      <c r="C415" s="50"/>
      <c r="D415" s="15"/>
    </row>
    <row r="416" spans="2:4" x14ac:dyDescent="0.25">
      <c r="B416" s="68"/>
      <c r="C416" s="50"/>
      <c r="D416" s="15"/>
    </row>
    <row r="417" spans="2:4" x14ac:dyDescent="0.25">
      <c r="B417" s="68"/>
      <c r="C417" s="50"/>
      <c r="D417" s="15"/>
    </row>
    <row r="418" spans="2:4" x14ac:dyDescent="0.25">
      <c r="B418" s="68"/>
      <c r="C418" s="50"/>
      <c r="D418" s="15"/>
    </row>
    <row r="419" spans="2:4" x14ac:dyDescent="0.25">
      <c r="B419" s="68"/>
      <c r="C419" s="50"/>
      <c r="D419" s="15"/>
    </row>
    <row r="420" spans="2:4" x14ac:dyDescent="0.25">
      <c r="B420" s="68"/>
      <c r="C420" s="50"/>
      <c r="D420" s="15"/>
    </row>
    <row r="421" spans="2:4" x14ac:dyDescent="0.25">
      <c r="B421" s="68"/>
      <c r="C421" s="50"/>
      <c r="D421" s="15"/>
    </row>
    <row r="422" spans="2:4" x14ac:dyDescent="0.25">
      <c r="B422" s="68"/>
      <c r="C422" s="50"/>
      <c r="D422" s="15"/>
    </row>
    <row r="423" spans="2:4" x14ac:dyDescent="0.25">
      <c r="B423" s="68"/>
      <c r="C423" s="50"/>
      <c r="D423" s="15"/>
    </row>
    <row r="424" spans="2:4" x14ac:dyDescent="0.25">
      <c r="B424" s="68"/>
      <c r="C424" s="50"/>
      <c r="D424" s="15"/>
    </row>
    <row r="425" spans="2:4" x14ac:dyDescent="0.25">
      <c r="B425" s="68"/>
      <c r="C425" s="50"/>
      <c r="D425" s="15"/>
    </row>
    <row r="426" spans="2:4" x14ac:dyDescent="0.25">
      <c r="B426" s="68"/>
      <c r="C426" s="50"/>
      <c r="D426" s="15"/>
    </row>
    <row r="427" spans="2:4" x14ac:dyDescent="0.25">
      <c r="B427" s="68"/>
      <c r="C427" s="50"/>
      <c r="D427" s="15"/>
    </row>
    <row r="428" spans="2:4" x14ac:dyDescent="0.25">
      <c r="B428" s="68"/>
      <c r="C428" s="50"/>
      <c r="D428" s="15"/>
    </row>
    <row r="429" spans="2:4" x14ac:dyDescent="0.25">
      <c r="B429" s="68"/>
      <c r="C429" s="50"/>
      <c r="D429" s="15"/>
    </row>
    <row r="430" spans="2:4" x14ac:dyDescent="0.25">
      <c r="B430" s="68"/>
      <c r="C430" s="50"/>
      <c r="D430" s="15"/>
    </row>
    <row r="431" spans="2:4" x14ac:dyDescent="0.25">
      <c r="B431" s="68"/>
      <c r="C431" s="50"/>
      <c r="D431" s="15"/>
    </row>
    <row r="432" spans="2:4" x14ac:dyDescent="0.25">
      <c r="B432" s="68"/>
      <c r="C432" s="50"/>
      <c r="D432" s="15"/>
    </row>
    <row r="433" spans="2:4" x14ac:dyDescent="0.25">
      <c r="B433" s="68"/>
      <c r="C433" s="50"/>
      <c r="D433" s="15"/>
    </row>
    <row r="434" spans="2:4" x14ac:dyDescent="0.25">
      <c r="B434" s="68"/>
      <c r="C434" s="50"/>
      <c r="D434" s="15"/>
    </row>
    <row r="435" spans="2:4" x14ac:dyDescent="0.25">
      <c r="B435" s="68"/>
      <c r="C435" s="50"/>
      <c r="D435" s="15"/>
    </row>
    <row r="436" spans="2:4" x14ac:dyDescent="0.25">
      <c r="B436" s="68"/>
      <c r="C436" s="50"/>
      <c r="D436" s="15"/>
    </row>
    <row r="437" spans="2:4" x14ac:dyDescent="0.25">
      <c r="B437" s="68"/>
      <c r="C437" s="50"/>
      <c r="D437" s="15"/>
    </row>
    <row r="438" spans="2:4" x14ac:dyDescent="0.25">
      <c r="B438" s="68"/>
      <c r="C438" s="50"/>
      <c r="D438" s="15"/>
    </row>
    <row r="439" spans="2:4" x14ac:dyDescent="0.25">
      <c r="B439" s="68"/>
      <c r="C439" s="50"/>
      <c r="D439" s="15"/>
    </row>
    <row r="440" spans="2:4" x14ac:dyDescent="0.25">
      <c r="B440" s="68"/>
      <c r="C440" s="50"/>
      <c r="D440" s="15"/>
    </row>
    <row r="441" spans="2:4" x14ac:dyDescent="0.25">
      <c r="B441" s="68"/>
      <c r="C441" s="50"/>
      <c r="D441" s="15"/>
    </row>
    <row r="442" spans="2:4" x14ac:dyDescent="0.25">
      <c r="B442" s="68"/>
      <c r="C442" s="50"/>
      <c r="D442" s="15"/>
    </row>
    <row r="443" spans="2:4" x14ac:dyDescent="0.25">
      <c r="B443" s="68"/>
      <c r="C443" s="50"/>
      <c r="D443" s="15"/>
    </row>
    <row r="444" spans="2:4" x14ac:dyDescent="0.25">
      <c r="B444" s="68"/>
      <c r="C444" s="50"/>
      <c r="D444" s="15"/>
    </row>
    <row r="445" spans="2:4" x14ac:dyDescent="0.25">
      <c r="B445" s="68"/>
      <c r="C445" s="50"/>
      <c r="D445" s="15"/>
    </row>
    <row r="446" spans="2:4" x14ac:dyDescent="0.25">
      <c r="B446" s="68"/>
      <c r="C446" s="50"/>
      <c r="D446" s="15"/>
    </row>
    <row r="447" spans="2:4" x14ac:dyDescent="0.25">
      <c r="B447" s="68"/>
      <c r="C447" s="50"/>
      <c r="D447" s="15"/>
    </row>
    <row r="448" spans="2:4" x14ac:dyDescent="0.25">
      <c r="B448" s="68"/>
      <c r="C448" s="50"/>
      <c r="D448" s="15"/>
    </row>
    <row r="449" spans="2:4" x14ac:dyDescent="0.25">
      <c r="B449" s="68"/>
      <c r="C449" s="50"/>
      <c r="D449" s="15"/>
    </row>
    <row r="450" spans="2:4" x14ac:dyDescent="0.25">
      <c r="B450" s="68"/>
      <c r="C450" s="50"/>
      <c r="D450" s="15"/>
    </row>
    <row r="451" spans="2:4" x14ac:dyDescent="0.25">
      <c r="B451" s="68"/>
      <c r="C451" s="50"/>
      <c r="D451" s="15"/>
    </row>
    <row r="452" spans="2:4" x14ac:dyDescent="0.25">
      <c r="B452" s="68"/>
      <c r="C452" s="50"/>
      <c r="D452" s="15"/>
    </row>
    <row r="453" spans="2:4" x14ac:dyDescent="0.25">
      <c r="B453" s="68"/>
      <c r="C453" s="50"/>
      <c r="D453" s="15"/>
    </row>
    <row r="454" spans="2:4" x14ac:dyDescent="0.25">
      <c r="B454" s="68"/>
      <c r="C454" s="50"/>
      <c r="D454" s="15"/>
    </row>
    <row r="455" spans="2:4" x14ac:dyDescent="0.25">
      <c r="B455" s="68"/>
      <c r="C455" s="50"/>
      <c r="D455" s="15"/>
    </row>
    <row r="456" spans="2:4" x14ac:dyDescent="0.25">
      <c r="B456" s="68"/>
      <c r="C456" s="50"/>
      <c r="D456" s="15"/>
    </row>
    <row r="457" spans="2:4" x14ac:dyDescent="0.25">
      <c r="B457" s="68"/>
      <c r="C457" s="50"/>
      <c r="D457" s="15"/>
    </row>
    <row r="458" spans="2:4" x14ac:dyDescent="0.25">
      <c r="B458" s="68"/>
      <c r="C458" s="50"/>
      <c r="D458" s="15"/>
    </row>
    <row r="459" spans="2:4" x14ac:dyDescent="0.25">
      <c r="B459" s="68"/>
      <c r="C459" s="50"/>
      <c r="D459" s="15"/>
    </row>
    <row r="460" spans="2:4" x14ac:dyDescent="0.25">
      <c r="B460" s="68"/>
      <c r="C460" s="50"/>
      <c r="D460" s="15"/>
    </row>
    <row r="461" spans="2:4" x14ac:dyDescent="0.25">
      <c r="B461" s="68"/>
      <c r="C461" s="50"/>
      <c r="D461" s="15"/>
    </row>
    <row r="462" spans="2:4" x14ac:dyDescent="0.25">
      <c r="B462" s="68"/>
      <c r="C462" s="50"/>
      <c r="D462" s="15"/>
    </row>
    <row r="463" spans="2:4" x14ac:dyDescent="0.25">
      <c r="B463" s="68"/>
      <c r="C463" s="50"/>
      <c r="D463" s="15"/>
    </row>
    <row r="464" spans="2:4" x14ac:dyDescent="0.25">
      <c r="B464" s="68"/>
      <c r="C464" s="50"/>
      <c r="D464" s="15"/>
    </row>
    <row r="465" spans="2:4" x14ac:dyDescent="0.25">
      <c r="B465" s="68"/>
      <c r="C465" s="50"/>
      <c r="D465" s="15"/>
    </row>
    <row r="466" spans="2:4" x14ac:dyDescent="0.25">
      <c r="B466" s="68"/>
      <c r="C466" s="50"/>
      <c r="D466" s="15"/>
    </row>
    <row r="467" spans="2:4" x14ac:dyDescent="0.25">
      <c r="B467" s="68"/>
      <c r="C467" s="50"/>
      <c r="D467" s="15"/>
    </row>
    <row r="468" spans="2:4" x14ac:dyDescent="0.25">
      <c r="B468" s="68"/>
      <c r="C468" s="50"/>
      <c r="D468" s="15"/>
    </row>
    <row r="469" spans="2:4" x14ac:dyDescent="0.25">
      <c r="B469" s="68"/>
      <c r="C469" s="50"/>
      <c r="D469" s="15"/>
    </row>
    <row r="470" spans="2:4" x14ac:dyDescent="0.25">
      <c r="B470" s="68"/>
      <c r="C470" s="50"/>
      <c r="D470" s="15"/>
    </row>
    <row r="471" spans="2:4" x14ac:dyDescent="0.25">
      <c r="B471" s="68"/>
      <c r="C471" s="50"/>
      <c r="D471" s="15"/>
    </row>
    <row r="472" spans="2:4" x14ac:dyDescent="0.25">
      <c r="B472" s="68"/>
      <c r="C472" s="50"/>
      <c r="D472" s="15"/>
    </row>
    <row r="473" spans="2:4" x14ac:dyDescent="0.25">
      <c r="B473" s="68"/>
      <c r="C473" s="50"/>
      <c r="D473" s="15"/>
    </row>
    <row r="474" spans="2:4" x14ac:dyDescent="0.25">
      <c r="B474" s="68"/>
      <c r="C474" s="50"/>
      <c r="D474" s="15"/>
    </row>
    <row r="475" spans="2:4" x14ac:dyDescent="0.25">
      <c r="B475" s="68"/>
      <c r="C475" s="50"/>
      <c r="D475" s="15"/>
    </row>
    <row r="476" spans="2:4" x14ac:dyDescent="0.25">
      <c r="B476" s="68"/>
      <c r="C476" s="50"/>
      <c r="D476" s="15"/>
    </row>
    <row r="477" spans="2:4" x14ac:dyDescent="0.25">
      <c r="B477" s="68"/>
      <c r="C477" s="50"/>
      <c r="D477" s="15"/>
    </row>
    <row r="478" spans="2:4" x14ac:dyDescent="0.25">
      <c r="B478" s="68"/>
      <c r="C478" s="50"/>
      <c r="D478" s="15"/>
    </row>
    <row r="479" spans="2:4" x14ac:dyDescent="0.25">
      <c r="B479" s="68"/>
      <c r="C479" s="50"/>
      <c r="D479" s="15"/>
    </row>
    <row r="480" spans="2:4" x14ac:dyDescent="0.25">
      <c r="B480" s="68"/>
      <c r="C480" s="50"/>
      <c r="D480" s="15"/>
    </row>
    <row r="481" spans="2:4" x14ac:dyDescent="0.25">
      <c r="B481" s="68"/>
      <c r="C481" s="50"/>
      <c r="D481" s="15"/>
    </row>
    <row r="482" spans="2:4" x14ac:dyDescent="0.25">
      <c r="B482" s="68"/>
      <c r="C482" s="50"/>
      <c r="D482" s="15"/>
    </row>
    <row r="483" spans="2:4" x14ac:dyDescent="0.25">
      <c r="B483" s="68"/>
      <c r="C483" s="50"/>
      <c r="D483" s="15"/>
    </row>
    <row r="484" spans="2:4" x14ac:dyDescent="0.25">
      <c r="B484" s="68"/>
      <c r="C484" s="50"/>
      <c r="D484" s="15"/>
    </row>
    <row r="485" spans="2:4" x14ac:dyDescent="0.25">
      <c r="B485" s="68"/>
      <c r="C485" s="50"/>
      <c r="D485" s="15"/>
    </row>
    <row r="486" spans="2:4" x14ac:dyDescent="0.25">
      <c r="B486" s="68"/>
      <c r="C486" s="50"/>
      <c r="D486" s="15"/>
    </row>
    <row r="487" spans="2:4" x14ac:dyDescent="0.25">
      <c r="B487" s="68"/>
      <c r="C487" s="50"/>
      <c r="D487" s="15"/>
    </row>
    <row r="488" spans="2:4" x14ac:dyDescent="0.25">
      <c r="B488" s="68"/>
      <c r="C488" s="50"/>
      <c r="D488" s="15"/>
    </row>
    <row r="489" spans="2:4" x14ac:dyDescent="0.25">
      <c r="B489" s="68"/>
      <c r="C489" s="50"/>
      <c r="D489" s="15"/>
    </row>
    <row r="490" spans="2:4" x14ac:dyDescent="0.25">
      <c r="B490" s="68"/>
      <c r="C490" s="50"/>
      <c r="D490" s="15"/>
    </row>
    <row r="491" spans="2:4" x14ac:dyDescent="0.25">
      <c r="B491" s="68"/>
      <c r="C491" s="50"/>
      <c r="D491" s="15"/>
    </row>
    <row r="492" spans="2:4" x14ac:dyDescent="0.25">
      <c r="B492" s="68"/>
      <c r="C492" s="50"/>
      <c r="D492" s="15"/>
    </row>
    <row r="493" spans="2:4" x14ac:dyDescent="0.25">
      <c r="B493" s="68"/>
      <c r="C493" s="50"/>
      <c r="D493" s="15"/>
    </row>
    <row r="494" spans="2:4" x14ac:dyDescent="0.25">
      <c r="B494" s="68"/>
      <c r="C494" s="50"/>
      <c r="D494" s="15"/>
    </row>
    <row r="495" spans="2:4" x14ac:dyDescent="0.25">
      <c r="B495" s="68"/>
      <c r="C495" s="50"/>
      <c r="D495" s="15"/>
    </row>
    <row r="496" spans="2:4" x14ac:dyDescent="0.25">
      <c r="B496" s="68"/>
      <c r="C496" s="50"/>
      <c r="D496" s="15"/>
    </row>
    <row r="497" spans="2:4" x14ac:dyDescent="0.25">
      <c r="B497" s="68"/>
      <c r="C497" s="50"/>
      <c r="D497" s="15"/>
    </row>
    <row r="498" spans="2:4" x14ac:dyDescent="0.25">
      <c r="B498" s="68"/>
      <c r="C498" s="50"/>
      <c r="D498" s="15"/>
    </row>
    <row r="499" spans="2:4" x14ac:dyDescent="0.25">
      <c r="B499" s="68"/>
      <c r="C499" s="50"/>
      <c r="D499" s="15"/>
    </row>
    <row r="500" spans="2:4" x14ac:dyDescent="0.25">
      <c r="B500" s="68"/>
      <c r="C500" s="50"/>
      <c r="D500" s="15"/>
    </row>
    <row r="501" spans="2:4" x14ac:dyDescent="0.25">
      <c r="B501" s="68"/>
      <c r="C501" s="50"/>
      <c r="D501" s="15"/>
    </row>
    <row r="502" spans="2:4" x14ac:dyDescent="0.25">
      <c r="B502" s="68"/>
      <c r="C502" s="50"/>
      <c r="D502" s="15"/>
    </row>
    <row r="503" spans="2:4" x14ac:dyDescent="0.25">
      <c r="B503" s="68"/>
      <c r="C503" s="50"/>
      <c r="D503" s="15"/>
    </row>
    <row r="504" spans="2:4" x14ac:dyDescent="0.25">
      <c r="B504" s="68"/>
      <c r="C504" s="50"/>
      <c r="D504" s="15"/>
    </row>
    <row r="505" spans="2:4" x14ac:dyDescent="0.25">
      <c r="B505" s="68"/>
      <c r="C505" s="50"/>
      <c r="D505" s="15"/>
    </row>
    <row r="506" spans="2:4" x14ac:dyDescent="0.25">
      <c r="B506" s="68"/>
      <c r="C506" s="50"/>
      <c r="D506" s="15"/>
    </row>
    <row r="507" spans="2:4" x14ac:dyDescent="0.25">
      <c r="B507" s="68"/>
      <c r="C507" s="50"/>
      <c r="D507" s="15"/>
    </row>
    <row r="508" spans="2:4" x14ac:dyDescent="0.25">
      <c r="B508" s="68"/>
      <c r="C508" s="50"/>
      <c r="D508" s="15"/>
    </row>
    <row r="509" spans="2:4" x14ac:dyDescent="0.25">
      <c r="B509" s="68"/>
      <c r="C509" s="50"/>
      <c r="D509" s="15"/>
    </row>
    <row r="510" spans="2:4" x14ac:dyDescent="0.25">
      <c r="B510" s="68"/>
      <c r="C510" s="50"/>
      <c r="D510" s="15"/>
    </row>
    <row r="511" spans="2:4" x14ac:dyDescent="0.25">
      <c r="B511" s="68"/>
      <c r="C511" s="50"/>
      <c r="D511" s="15"/>
    </row>
    <row r="512" spans="2:4" x14ac:dyDescent="0.25">
      <c r="B512" s="68"/>
      <c r="C512" s="50"/>
      <c r="D512" s="15"/>
    </row>
    <row r="513" spans="2:4" x14ac:dyDescent="0.25">
      <c r="B513" s="68"/>
      <c r="C513" s="50"/>
      <c r="D513" s="15"/>
    </row>
    <row r="514" spans="2:4" x14ac:dyDescent="0.25">
      <c r="B514" s="68"/>
      <c r="C514" s="50"/>
      <c r="D514" s="15"/>
    </row>
    <row r="515" spans="2:4" x14ac:dyDescent="0.25">
      <c r="B515" s="68"/>
      <c r="C515" s="50"/>
      <c r="D515" s="15"/>
    </row>
    <row r="516" spans="2:4" x14ac:dyDescent="0.25">
      <c r="B516" s="68"/>
      <c r="C516" s="50"/>
      <c r="D516" s="15"/>
    </row>
    <row r="517" spans="2:4" x14ac:dyDescent="0.25">
      <c r="B517" s="68"/>
      <c r="C517" s="50"/>
      <c r="D517" s="15"/>
    </row>
    <row r="518" spans="2:4" x14ac:dyDescent="0.25">
      <c r="B518" s="68"/>
      <c r="C518" s="50"/>
      <c r="D518" s="15"/>
    </row>
    <row r="519" spans="2:4" x14ac:dyDescent="0.25">
      <c r="B519" s="68"/>
      <c r="C519" s="50"/>
      <c r="D519" s="15"/>
    </row>
    <row r="520" spans="2:4" x14ac:dyDescent="0.25">
      <c r="B520" s="68"/>
      <c r="C520" s="50"/>
      <c r="D520" s="15"/>
    </row>
    <row r="521" spans="2:4" x14ac:dyDescent="0.25">
      <c r="B521" s="68"/>
      <c r="C521" s="50"/>
      <c r="D521" s="15"/>
    </row>
    <row r="522" spans="2:4" x14ac:dyDescent="0.25">
      <c r="B522" s="68"/>
      <c r="C522" s="50"/>
      <c r="D522" s="15"/>
    </row>
    <row r="523" spans="2:4" x14ac:dyDescent="0.25">
      <c r="B523" s="68"/>
      <c r="C523" s="50"/>
      <c r="D523" s="15"/>
    </row>
    <row r="524" spans="2:4" x14ac:dyDescent="0.25">
      <c r="B524" s="68"/>
      <c r="C524" s="50"/>
      <c r="D524" s="15"/>
    </row>
    <row r="525" spans="2:4" x14ac:dyDescent="0.25">
      <c r="B525" s="68"/>
      <c r="C525" s="50"/>
      <c r="D525" s="15"/>
    </row>
    <row r="526" spans="2:4" x14ac:dyDescent="0.25">
      <c r="B526" s="68"/>
      <c r="C526" s="50"/>
      <c r="D526" s="15"/>
    </row>
    <row r="527" spans="2:4" x14ac:dyDescent="0.25">
      <c r="B527" s="68"/>
      <c r="C527" s="50"/>
      <c r="D527" s="15"/>
    </row>
    <row r="528" spans="2:4" x14ac:dyDescent="0.25">
      <c r="B528" s="68"/>
      <c r="C528" s="50"/>
      <c r="D528" s="15"/>
    </row>
    <row r="529" spans="2:4" x14ac:dyDescent="0.25">
      <c r="B529" s="68"/>
      <c r="C529" s="50"/>
      <c r="D529" s="15"/>
    </row>
    <row r="530" spans="2:4" x14ac:dyDescent="0.25">
      <c r="B530" s="68"/>
      <c r="C530" s="50"/>
      <c r="D530" s="15"/>
    </row>
    <row r="531" spans="2:4" x14ac:dyDescent="0.25">
      <c r="B531" s="68"/>
      <c r="C531" s="50"/>
      <c r="D531" s="15"/>
    </row>
    <row r="532" spans="2:4" x14ac:dyDescent="0.25">
      <c r="B532" s="68"/>
      <c r="C532" s="50"/>
      <c r="D532" s="15"/>
    </row>
    <row r="533" spans="2:4" x14ac:dyDescent="0.25">
      <c r="B533" s="68"/>
      <c r="C533" s="50"/>
      <c r="D533" s="15"/>
    </row>
    <row r="534" spans="2:4" x14ac:dyDescent="0.25">
      <c r="B534" s="68"/>
      <c r="C534" s="50"/>
      <c r="D534" s="15"/>
    </row>
    <row r="535" spans="2:4" x14ac:dyDescent="0.25">
      <c r="B535" s="68"/>
      <c r="C535" s="50"/>
      <c r="D535" s="15"/>
    </row>
    <row r="536" spans="2:4" x14ac:dyDescent="0.25">
      <c r="B536" s="68"/>
      <c r="C536" s="50"/>
      <c r="D536" s="15"/>
    </row>
    <row r="537" spans="2:4" x14ac:dyDescent="0.25">
      <c r="B537" s="68"/>
      <c r="C537" s="50"/>
      <c r="D537" s="15"/>
    </row>
    <row r="538" spans="2:4" x14ac:dyDescent="0.25">
      <c r="B538" s="68"/>
      <c r="C538" s="50"/>
      <c r="D538" s="15"/>
    </row>
    <row r="539" spans="2:4" x14ac:dyDescent="0.25">
      <c r="B539" s="68"/>
      <c r="C539" s="50"/>
      <c r="D539" s="15"/>
    </row>
    <row r="540" spans="2:4" x14ac:dyDescent="0.25">
      <c r="B540" s="68"/>
      <c r="C540" s="50"/>
      <c r="D540" s="15"/>
    </row>
    <row r="541" spans="2:4" x14ac:dyDescent="0.25">
      <c r="B541" s="68"/>
      <c r="C541" s="50"/>
      <c r="D541" s="15"/>
    </row>
    <row r="542" spans="2:4" x14ac:dyDescent="0.25">
      <c r="B542" s="68"/>
      <c r="C542" s="50"/>
      <c r="D542" s="15"/>
    </row>
    <row r="543" spans="2:4" x14ac:dyDescent="0.25">
      <c r="B543" s="68"/>
      <c r="C543" s="50"/>
      <c r="D543" s="15"/>
    </row>
    <row r="544" spans="2:4" x14ac:dyDescent="0.25">
      <c r="B544" s="68"/>
      <c r="C544" s="50"/>
      <c r="D544" s="15"/>
    </row>
    <row r="545" spans="2:4" x14ac:dyDescent="0.25">
      <c r="B545" s="68"/>
      <c r="C545" s="50"/>
      <c r="D545" s="15"/>
    </row>
    <row r="546" spans="2:4" x14ac:dyDescent="0.25">
      <c r="B546" s="68"/>
      <c r="C546" s="50"/>
      <c r="D546" s="15"/>
    </row>
    <row r="547" spans="2:4" x14ac:dyDescent="0.25">
      <c r="B547" s="68"/>
      <c r="C547" s="50"/>
      <c r="D547" s="15"/>
    </row>
    <row r="548" spans="2:4" x14ac:dyDescent="0.25">
      <c r="B548" s="68"/>
      <c r="C548" s="50"/>
      <c r="D548" s="15"/>
    </row>
    <row r="549" spans="2:4" x14ac:dyDescent="0.25">
      <c r="B549" s="68"/>
      <c r="C549" s="50"/>
      <c r="D549" s="15"/>
    </row>
    <row r="550" spans="2:4" x14ac:dyDescent="0.25">
      <c r="B550" s="68"/>
      <c r="C550" s="50"/>
      <c r="D550" s="15"/>
    </row>
    <row r="551" spans="2:4" x14ac:dyDescent="0.25">
      <c r="B551" s="68"/>
      <c r="C551" s="50"/>
      <c r="D551" s="15"/>
    </row>
    <row r="552" spans="2:4" x14ac:dyDescent="0.25">
      <c r="B552" s="68"/>
      <c r="C552" s="50"/>
      <c r="D552" s="15"/>
    </row>
    <row r="553" spans="2:4" x14ac:dyDescent="0.25">
      <c r="B553" s="68"/>
      <c r="C553" s="50"/>
      <c r="D553" s="15"/>
    </row>
    <row r="554" spans="2:4" x14ac:dyDescent="0.25">
      <c r="B554" s="68"/>
      <c r="C554" s="50"/>
      <c r="D554" s="15"/>
    </row>
    <row r="555" spans="2:4" x14ac:dyDescent="0.25">
      <c r="B555" s="68"/>
      <c r="C555" s="50"/>
      <c r="D555" s="15"/>
    </row>
    <row r="556" spans="2:4" x14ac:dyDescent="0.25">
      <c r="B556" s="68"/>
      <c r="C556" s="50"/>
      <c r="D556" s="15"/>
    </row>
    <row r="557" spans="2:4" x14ac:dyDescent="0.25">
      <c r="B557" s="68"/>
      <c r="C557" s="50"/>
      <c r="D557" s="15"/>
    </row>
    <row r="558" spans="2:4" x14ac:dyDescent="0.25">
      <c r="B558" s="68"/>
      <c r="C558" s="50"/>
      <c r="D558" s="15"/>
    </row>
    <row r="559" spans="2:4" x14ac:dyDescent="0.25">
      <c r="B559" s="68"/>
      <c r="C559" s="50"/>
      <c r="D559" s="15"/>
    </row>
    <row r="560" spans="2:4" x14ac:dyDescent="0.25">
      <c r="B560" s="68"/>
      <c r="C560" s="50"/>
      <c r="D560" s="15"/>
    </row>
    <row r="561" spans="2:4" x14ac:dyDescent="0.25">
      <c r="B561" s="68"/>
      <c r="C561" s="50"/>
      <c r="D561" s="15"/>
    </row>
    <row r="562" spans="2:4" x14ac:dyDescent="0.25">
      <c r="B562" s="68"/>
      <c r="C562" s="50"/>
      <c r="D562" s="15"/>
    </row>
    <row r="563" spans="2:4" x14ac:dyDescent="0.25">
      <c r="B563" s="68"/>
      <c r="C563" s="50"/>
      <c r="D563" s="15"/>
    </row>
    <row r="564" spans="2:4" x14ac:dyDescent="0.25">
      <c r="B564" s="68"/>
      <c r="C564" s="50"/>
      <c r="D564" s="15"/>
    </row>
    <row r="565" spans="2:4" x14ac:dyDescent="0.25">
      <c r="B565" s="68"/>
      <c r="C565" s="50"/>
      <c r="D565" s="15"/>
    </row>
    <row r="566" spans="2:4" x14ac:dyDescent="0.25">
      <c r="B566" s="68"/>
      <c r="C566" s="50"/>
      <c r="D566" s="15"/>
    </row>
    <row r="567" spans="2:4" x14ac:dyDescent="0.25">
      <c r="B567" s="68"/>
      <c r="C567" s="50"/>
      <c r="D567" s="15"/>
    </row>
    <row r="568" spans="2:4" x14ac:dyDescent="0.25">
      <c r="B568" s="68"/>
      <c r="C568" s="50"/>
      <c r="D568" s="15"/>
    </row>
    <row r="569" spans="2:4" x14ac:dyDescent="0.25">
      <c r="B569" s="68"/>
      <c r="C569" s="50"/>
      <c r="D569" s="15"/>
    </row>
    <row r="570" spans="2:4" x14ac:dyDescent="0.25">
      <c r="B570" s="68"/>
      <c r="C570" s="50"/>
      <c r="D570" s="15"/>
    </row>
    <row r="571" spans="2:4" x14ac:dyDescent="0.25">
      <c r="B571" s="68"/>
      <c r="C571" s="50"/>
      <c r="D571" s="15"/>
    </row>
    <row r="572" spans="2:4" x14ac:dyDescent="0.25">
      <c r="B572" s="68"/>
      <c r="C572" s="50"/>
      <c r="D572" s="15"/>
    </row>
    <row r="573" spans="2:4" x14ac:dyDescent="0.25">
      <c r="B573" s="68"/>
      <c r="C573" s="50"/>
      <c r="D573" s="15"/>
    </row>
    <row r="574" spans="2:4" x14ac:dyDescent="0.25">
      <c r="B574" s="68"/>
      <c r="C574" s="50"/>
      <c r="D574" s="15"/>
    </row>
    <row r="575" spans="2:4" x14ac:dyDescent="0.25">
      <c r="B575" s="68"/>
      <c r="C575" s="50"/>
      <c r="D575" s="15"/>
    </row>
    <row r="576" spans="2:4" x14ac:dyDescent="0.25">
      <c r="B576" s="68"/>
      <c r="C576" s="50"/>
      <c r="D576" s="15"/>
    </row>
    <row r="577" spans="2:4" x14ac:dyDescent="0.25">
      <c r="B577" s="68"/>
      <c r="C577" s="50"/>
      <c r="D577" s="15"/>
    </row>
    <row r="578" spans="2:4" x14ac:dyDescent="0.25">
      <c r="B578" s="68"/>
      <c r="C578" s="50"/>
      <c r="D578" s="15"/>
    </row>
    <row r="579" spans="2:4" x14ac:dyDescent="0.25">
      <c r="B579" s="68"/>
      <c r="C579" s="50"/>
      <c r="D579" s="15"/>
    </row>
    <row r="580" spans="2:4" x14ac:dyDescent="0.25">
      <c r="B580" s="68"/>
      <c r="C580" s="50"/>
      <c r="D580" s="15"/>
    </row>
    <row r="581" spans="2:4" x14ac:dyDescent="0.25">
      <c r="B581" s="68"/>
      <c r="C581" s="50"/>
      <c r="D581" s="15"/>
    </row>
    <row r="582" spans="2:4" x14ac:dyDescent="0.25">
      <c r="B582" s="68"/>
      <c r="C582" s="50"/>
      <c r="D582" s="15"/>
    </row>
    <row r="583" spans="2:4" x14ac:dyDescent="0.25">
      <c r="B583" s="68"/>
      <c r="C583" s="50"/>
      <c r="D583" s="15"/>
    </row>
    <row r="584" spans="2:4" x14ac:dyDescent="0.25">
      <c r="B584" s="68"/>
      <c r="C584" s="50"/>
      <c r="D584" s="15"/>
    </row>
    <row r="585" spans="2:4" x14ac:dyDescent="0.25">
      <c r="B585" s="68"/>
      <c r="C585" s="50"/>
      <c r="D585" s="15"/>
    </row>
    <row r="586" spans="2:4" x14ac:dyDescent="0.25">
      <c r="B586" s="68"/>
      <c r="C586" s="50"/>
      <c r="D586" s="15"/>
    </row>
    <row r="587" spans="2:4" x14ac:dyDescent="0.25">
      <c r="B587" s="68"/>
      <c r="C587" s="50"/>
      <c r="D587" s="15"/>
    </row>
    <row r="588" spans="2:4" x14ac:dyDescent="0.25">
      <c r="B588" s="68"/>
      <c r="C588" s="50"/>
      <c r="D588" s="15"/>
    </row>
    <row r="589" spans="2:4" x14ac:dyDescent="0.25">
      <c r="B589" s="68"/>
      <c r="C589" s="50"/>
      <c r="D589" s="15"/>
    </row>
    <row r="590" spans="2:4" x14ac:dyDescent="0.25">
      <c r="B590" s="68"/>
      <c r="C590" s="50"/>
      <c r="D590" s="15"/>
    </row>
    <row r="591" spans="2:4" x14ac:dyDescent="0.25">
      <c r="B591" s="68"/>
      <c r="C591" s="50"/>
      <c r="D591" s="15"/>
    </row>
    <row r="592" spans="2:4" x14ac:dyDescent="0.25">
      <c r="B592" s="68"/>
      <c r="C592" s="50"/>
      <c r="D592" s="15"/>
    </row>
    <row r="593" spans="2:4" x14ac:dyDescent="0.25">
      <c r="B593" s="68"/>
      <c r="C593" s="50"/>
      <c r="D593" s="15"/>
    </row>
    <row r="594" spans="2:4" x14ac:dyDescent="0.25">
      <c r="B594" s="68"/>
      <c r="C594" s="50"/>
      <c r="D594" s="15"/>
    </row>
    <row r="595" spans="2:4" x14ac:dyDescent="0.25">
      <c r="B595" s="68"/>
      <c r="C595" s="50"/>
      <c r="D595" s="15"/>
    </row>
    <row r="596" spans="2:4" x14ac:dyDescent="0.25">
      <c r="B596" s="68"/>
      <c r="C596" s="50"/>
      <c r="D596" s="15"/>
    </row>
    <row r="597" spans="2:4" x14ac:dyDescent="0.25">
      <c r="B597" s="68"/>
      <c r="C597" s="50"/>
      <c r="D597" s="15"/>
    </row>
    <row r="598" spans="2:4" x14ac:dyDescent="0.25">
      <c r="B598" s="68"/>
      <c r="C598" s="50"/>
      <c r="D598" s="15"/>
    </row>
    <row r="599" spans="2:4" x14ac:dyDescent="0.25">
      <c r="B599" s="68"/>
      <c r="C599" s="50"/>
      <c r="D599" s="15"/>
    </row>
    <row r="600" spans="2:4" x14ac:dyDescent="0.25">
      <c r="B600" s="68"/>
      <c r="C600" s="50"/>
      <c r="D600" s="15"/>
    </row>
    <row r="601" spans="2:4" x14ac:dyDescent="0.25">
      <c r="B601" s="68"/>
      <c r="C601" s="50"/>
      <c r="D601" s="15"/>
    </row>
    <row r="602" spans="2:4" x14ac:dyDescent="0.25">
      <c r="B602" s="68"/>
      <c r="C602" s="50"/>
      <c r="D602" s="15"/>
    </row>
    <row r="603" spans="2:4" x14ac:dyDescent="0.25">
      <c r="B603" s="68"/>
      <c r="C603" s="50"/>
      <c r="D603" s="15"/>
    </row>
    <row r="604" spans="2:4" x14ac:dyDescent="0.25">
      <c r="B604" s="68"/>
      <c r="C604" s="50"/>
      <c r="D604" s="15"/>
    </row>
    <row r="605" spans="2:4" x14ac:dyDescent="0.25">
      <c r="B605" s="68"/>
      <c r="C605" s="50"/>
      <c r="D605" s="15"/>
    </row>
    <row r="606" spans="2:4" x14ac:dyDescent="0.25">
      <c r="B606" s="68"/>
      <c r="C606" s="50"/>
      <c r="D606" s="15"/>
    </row>
    <row r="607" spans="2:4" x14ac:dyDescent="0.25">
      <c r="B607" s="68"/>
      <c r="C607" s="50"/>
      <c r="D607" s="15"/>
    </row>
    <row r="608" spans="2:4" x14ac:dyDescent="0.25">
      <c r="B608" s="68"/>
      <c r="C608" s="50"/>
      <c r="D608" s="15"/>
    </row>
    <row r="609" spans="2:4" x14ac:dyDescent="0.25">
      <c r="B609" s="68"/>
      <c r="C609" s="50"/>
      <c r="D609" s="15"/>
    </row>
    <row r="610" spans="2:4" x14ac:dyDescent="0.25">
      <c r="B610" s="68"/>
      <c r="C610" s="50"/>
      <c r="D610" s="15"/>
    </row>
    <row r="611" spans="2:4" x14ac:dyDescent="0.25">
      <c r="B611" s="68"/>
      <c r="C611" s="50"/>
      <c r="D611" s="15"/>
    </row>
    <row r="612" spans="2:4" x14ac:dyDescent="0.25">
      <c r="B612" s="68"/>
      <c r="C612" s="50"/>
      <c r="D612" s="15"/>
    </row>
    <row r="613" spans="2:4" x14ac:dyDescent="0.25">
      <c r="B613" s="68"/>
      <c r="C613" s="50"/>
      <c r="D613" s="15"/>
    </row>
    <row r="614" spans="2:4" x14ac:dyDescent="0.25">
      <c r="B614" s="68"/>
      <c r="C614" s="50"/>
      <c r="D614" s="15"/>
    </row>
    <row r="615" spans="2:4" x14ac:dyDescent="0.25">
      <c r="B615" s="68"/>
      <c r="C615" s="50"/>
      <c r="D615" s="15"/>
    </row>
    <row r="616" spans="2:4" x14ac:dyDescent="0.25">
      <c r="B616" s="68"/>
      <c r="C616" s="50"/>
      <c r="D616" s="15"/>
    </row>
    <row r="617" spans="2:4" x14ac:dyDescent="0.25">
      <c r="B617" s="68"/>
      <c r="C617" s="50"/>
      <c r="D617" s="15"/>
    </row>
    <row r="618" spans="2:4" x14ac:dyDescent="0.25">
      <c r="B618" s="68"/>
      <c r="C618" s="50"/>
      <c r="D618" s="15"/>
    </row>
    <row r="619" spans="2:4" x14ac:dyDescent="0.25">
      <c r="B619" s="68"/>
      <c r="C619" s="50"/>
      <c r="D619" s="15"/>
    </row>
    <row r="620" spans="2:4" x14ac:dyDescent="0.25">
      <c r="B620" s="68"/>
      <c r="C620" s="50"/>
      <c r="D620" s="15"/>
    </row>
    <row r="621" spans="2:4" x14ac:dyDescent="0.25">
      <c r="B621" s="68"/>
      <c r="C621" s="50"/>
      <c r="D621" s="15"/>
    </row>
    <row r="622" spans="2:4" x14ac:dyDescent="0.25">
      <c r="B622" s="68"/>
      <c r="C622" s="50"/>
      <c r="D622" s="15"/>
    </row>
    <row r="623" spans="2:4" x14ac:dyDescent="0.25">
      <c r="B623" s="68"/>
      <c r="C623" s="50"/>
      <c r="D623" s="15"/>
    </row>
    <row r="624" spans="2:4" x14ac:dyDescent="0.25">
      <c r="B624" s="68"/>
      <c r="C624" s="50"/>
      <c r="D624" s="15"/>
    </row>
    <row r="625" spans="2:4" x14ac:dyDescent="0.25">
      <c r="B625" s="68"/>
      <c r="C625" s="50"/>
      <c r="D625" s="15"/>
    </row>
    <row r="626" spans="2:4" x14ac:dyDescent="0.25">
      <c r="B626" s="68"/>
      <c r="C626" s="50"/>
      <c r="D626" s="15"/>
    </row>
    <row r="627" spans="2:4" x14ac:dyDescent="0.25">
      <c r="B627" s="68"/>
      <c r="C627" s="50"/>
      <c r="D627" s="15"/>
    </row>
    <row r="628" spans="2:4" x14ac:dyDescent="0.25">
      <c r="B628" s="68"/>
      <c r="C628" s="50"/>
      <c r="D628" s="15"/>
    </row>
    <row r="629" spans="2:4" x14ac:dyDescent="0.25">
      <c r="B629" s="68"/>
      <c r="C629" s="50"/>
      <c r="D629" s="15"/>
    </row>
    <row r="630" spans="2:4" x14ac:dyDescent="0.25">
      <c r="B630" s="68"/>
      <c r="C630" s="50"/>
      <c r="D630" s="15"/>
    </row>
    <row r="631" spans="2:4" x14ac:dyDescent="0.25">
      <c r="B631" s="68"/>
      <c r="C631" s="50"/>
      <c r="D631" s="15"/>
    </row>
    <row r="632" spans="2:4" x14ac:dyDescent="0.25">
      <c r="B632" s="68"/>
      <c r="C632" s="50"/>
      <c r="D632" s="15"/>
    </row>
    <row r="633" spans="2:4" x14ac:dyDescent="0.25">
      <c r="B633" s="68"/>
      <c r="C633" s="50"/>
      <c r="D633" s="15"/>
    </row>
    <row r="634" spans="2:4" x14ac:dyDescent="0.25">
      <c r="B634" s="68"/>
      <c r="C634" s="50"/>
      <c r="D634" s="15"/>
    </row>
    <row r="635" spans="2:4" x14ac:dyDescent="0.25">
      <c r="B635" s="68"/>
      <c r="C635" s="50"/>
      <c r="D635" s="15"/>
    </row>
    <row r="636" spans="2:4" x14ac:dyDescent="0.25">
      <c r="B636" s="68"/>
      <c r="C636" s="50"/>
      <c r="D636" s="15"/>
    </row>
    <row r="637" spans="2:4" x14ac:dyDescent="0.25">
      <c r="B637" s="68"/>
      <c r="C637" s="50"/>
      <c r="D637" s="15"/>
    </row>
    <row r="638" spans="2:4" x14ac:dyDescent="0.25">
      <c r="B638" s="68"/>
      <c r="C638" s="50"/>
      <c r="D638" s="15"/>
    </row>
    <row r="639" spans="2:4" x14ac:dyDescent="0.25">
      <c r="B639" s="68"/>
      <c r="C639" s="50"/>
      <c r="D639" s="15"/>
    </row>
    <row r="640" spans="2:4" x14ac:dyDescent="0.25">
      <c r="B640" s="68"/>
      <c r="C640" s="50"/>
      <c r="D640" s="15"/>
    </row>
    <row r="641" spans="2:4" x14ac:dyDescent="0.25">
      <c r="B641" s="68"/>
      <c r="C641" s="50"/>
      <c r="D641" s="15"/>
    </row>
    <row r="642" spans="2:4" x14ac:dyDescent="0.25">
      <c r="B642" s="68"/>
      <c r="C642" s="50"/>
      <c r="D642" s="15"/>
    </row>
    <row r="643" spans="2:4" x14ac:dyDescent="0.25">
      <c r="B643" s="68"/>
      <c r="C643" s="50"/>
      <c r="D643" s="15"/>
    </row>
    <row r="644" spans="2:4" x14ac:dyDescent="0.25">
      <c r="B644" s="68"/>
      <c r="C644" s="50"/>
      <c r="D644" s="15"/>
    </row>
    <row r="645" spans="2:4" x14ac:dyDescent="0.25">
      <c r="B645" s="68"/>
      <c r="C645" s="50"/>
      <c r="D645" s="15"/>
    </row>
    <row r="646" spans="2:4" x14ac:dyDescent="0.25">
      <c r="B646" s="68"/>
      <c r="C646" s="50"/>
      <c r="D646" s="15"/>
    </row>
    <row r="647" spans="2:4" x14ac:dyDescent="0.25">
      <c r="B647" s="68"/>
      <c r="C647" s="50"/>
      <c r="D647" s="15"/>
    </row>
    <row r="648" spans="2:4" x14ac:dyDescent="0.25">
      <c r="B648" s="68"/>
      <c r="C648" s="50"/>
      <c r="D648" s="15"/>
    </row>
    <row r="649" spans="2:4" x14ac:dyDescent="0.25">
      <c r="B649" s="68"/>
      <c r="C649" s="50"/>
      <c r="D649" s="15"/>
    </row>
    <row r="650" spans="2:4" x14ac:dyDescent="0.25">
      <c r="B650" s="68"/>
      <c r="C650" s="50"/>
      <c r="D650" s="15"/>
    </row>
    <row r="651" spans="2:4" x14ac:dyDescent="0.25">
      <c r="B651" s="68"/>
      <c r="C651" s="50"/>
      <c r="D651" s="15"/>
    </row>
    <row r="652" spans="2:4" x14ac:dyDescent="0.25">
      <c r="B652" s="68"/>
      <c r="C652" s="50"/>
      <c r="D652" s="15"/>
    </row>
    <row r="653" spans="2:4" x14ac:dyDescent="0.25">
      <c r="B653" s="68"/>
      <c r="C653" s="50"/>
      <c r="D653" s="15"/>
    </row>
    <row r="654" spans="2:4" x14ac:dyDescent="0.25">
      <c r="B654" s="68"/>
      <c r="C654" s="50"/>
      <c r="D654" s="15"/>
    </row>
    <row r="655" spans="2:4" x14ac:dyDescent="0.25">
      <c r="B655" s="68"/>
      <c r="C655" s="50"/>
      <c r="D655" s="15"/>
    </row>
    <row r="656" spans="2:4" x14ac:dyDescent="0.25">
      <c r="B656" s="68"/>
      <c r="C656" s="50"/>
      <c r="D656" s="15"/>
    </row>
    <row r="657" spans="2:4" x14ac:dyDescent="0.25">
      <c r="B657" s="68"/>
      <c r="C657" s="50"/>
      <c r="D657" s="15"/>
    </row>
    <row r="658" spans="2:4" x14ac:dyDescent="0.25">
      <c r="B658" s="68"/>
      <c r="C658" s="50"/>
      <c r="D658" s="15"/>
    </row>
    <row r="659" spans="2:4" x14ac:dyDescent="0.25">
      <c r="B659" s="68"/>
      <c r="C659" s="50"/>
      <c r="D659" s="15"/>
    </row>
    <row r="660" spans="2:4" x14ac:dyDescent="0.25">
      <c r="B660" s="68"/>
      <c r="C660" s="50"/>
      <c r="D660" s="15"/>
    </row>
    <row r="661" spans="2:4" x14ac:dyDescent="0.25">
      <c r="B661" s="68"/>
      <c r="C661" s="50"/>
      <c r="D661" s="15"/>
    </row>
    <row r="662" spans="2:4" x14ac:dyDescent="0.25">
      <c r="B662" s="68"/>
      <c r="C662" s="50"/>
      <c r="D662" s="15"/>
    </row>
    <row r="663" spans="2:4" x14ac:dyDescent="0.25">
      <c r="B663" s="68"/>
      <c r="C663" s="50"/>
      <c r="D663" s="15"/>
    </row>
    <row r="664" spans="2:4" x14ac:dyDescent="0.25">
      <c r="B664" s="68"/>
      <c r="C664" s="50"/>
      <c r="D664" s="15"/>
    </row>
    <row r="665" spans="2:4" x14ac:dyDescent="0.25">
      <c r="B665" s="68"/>
      <c r="C665" s="50"/>
      <c r="D665" s="15"/>
    </row>
    <row r="666" spans="2:4" x14ac:dyDescent="0.25">
      <c r="B666" s="68"/>
      <c r="C666" s="50"/>
      <c r="D666" s="15"/>
    </row>
    <row r="667" spans="2:4" x14ac:dyDescent="0.25">
      <c r="B667" s="68"/>
      <c r="C667" s="50"/>
      <c r="D667" s="15"/>
    </row>
    <row r="668" spans="2:4" x14ac:dyDescent="0.25">
      <c r="B668" s="68"/>
      <c r="C668" s="50"/>
      <c r="D668" s="15"/>
    </row>
    <row r="669" spans="2:4" x14ac:dyDescent="0.25">
      <c r="B669" s="68"/>
      <c r="C669" s="50"/>
      <c r="D669" s="15"/>
    </row>
    <row r="670" spans="2:4" x14ac:dyDescent="0.25">
      <c r="B670" s="68"/>
      <c r="C670" s="50"/>
      <c r="D670" s="15"/>
    </row>
    <row r="671" spans="2:4" x14ac:dyDescent="0.25">
      <c r="B671" s="68"/>
      <c r="C671" s="50"/>
      <c r="D671" s="15"/>
    </row>
    <row r="672" spans="2:4" x14ac:dyDescent="0.25">
      <c r="B672" s="68"/>
      <c r="C672" s="50"/>
      <c r="D672" s="15"/>
    </row>
    <row r="673" spans="2:4" x14ac:dyDescent="0.25">
      <c r="B673" s="68"/>
      <c r="C673" s="50"/>
      <c r="D673" s="15"/>
    </row>
    <row r="674" spans="2:4" x14ac:dyDescent="0.25">
      <c r="B674" s="68"/>
      <c r="C674" s="50"/>
      <c r="D674" s="15"/>
    </row>
    <row r="675" spans="2:4" x14ac:dyDescent="0.25">
      <c r="B675" s="68"/>
      <c r="C675" s="50"/>
      <c r="D675" s="15"/>
    </row>
    <row r="676" spans="2:4" x14ac:dyDescent="0.25">
      <c r="B676" s="68"/>
      <c r="C676" s="50"/>
      <c r="D676" s="15"/>
    </row>
    <row r="677" spans="2:4" x14ac:dyDescent="0.25">
      <c r="B677" s="68"/>
      <c r="C677" s="50"/>
      <c r="D677" s="15"/>
    </row>
    <row r="678" spans="2:4" x14ac:dyDescent="0.25">
      <c r="B678" s="68"/>
      <c r="C678" s="50"/>
      <c r="D678" s="15"/>
    </row>
    <row r="679" spans="2:4" x14ac:dyDescent="0.25">
      <c r="B679" s="68"/>
      <c r="C679" s="50"/>
      <c r="D679" s="15"/>
    </row>
    <row r="680" spans="2:4" x14ac:dyDescent="0.25">
      <c r="B680" s="68"/>
      <c r="C680" s="50"/>
      <c r="D680" s="15"/>
    </row>
    <row r="681" spans="2:4" x14ac:dyDescent="0.25">
      <c r="B681" s="68"/>
      <c r="C681" s="50"/>
      <c r="D681" s="15"/>
    </row>
    <row r="682" spans="2:4" x14ac:dyDescent="0.25">
      <c r="B682" s="68"/>
      <c r="C682" s="50"/>
      <c r="D682" s="15"/>
    </row>
    <row r="683" spans="2:4" x14ac:dyDescent="0.25">
      <c r="B683" s="68"/>
      <c r="C683" s="50"/>
      <c r="D683" s="15"/>
    </row>
    <row r="684" spans="2:4" x14ac:dyDescent="0.25">
      <c r="B684" s="68"/>
      <c r="C684" s="50"/>
      <c r="D684" s="15"/>
    </row>
    <row r="685" spans="2:4" x14ac:dyDescent="0.25">
      <c r="B685" s="68"/>
      <c r="C685" s="50"/>
      <c r="D685" s="15"/>
    </row>
    <row r="686" spans="2:4" x14ac:dyDescent="0.25">
      <c r="B686" s="68"/>
      <c r="C686" s="50"/>
      <c r="D686" s="15"/>
    </row>
    <row r="687" spans="2:4" x14ac:dyDescent="0.25">
      <c r="B687" s="68"/>
      <c r="C687" s="50"/>
      <c r="D687" s="15"/>
    </row>
    <row r="688" spans="2:4" x14ac:dyDescent="0.25">
      <c r="B688" s="68"/>
      <c r="C688" s="50"/>
      <c r="D688" s="15"/>
    </row>
    <row r="689" spans="2:4" x14ac:dyDescent="0.25">
      <c r="B689" s="68"/>
      <c r="C689" s="50"/>
      <c r="D689" s="15"/>
    </row>
    <row r="690" spans="2:4" x14ac:dyDescent="0.25">
      <c r="B690" s="68"/>
      <c r="C690" s="50"/>
      <c r="D690" s="15"/>
    </row>
    <row r="691" spans="2:4" x14ac:dyDescent="0.25">
      <c r="B691" s="68"/>
      <c r="C691" s="50"/>
      <c r="D691" s="15"/>
    </row>
    <row r="692" spans="2:4" x14ac:dyDescent="0.25">
      <c r="B692" s="68"/>
      <c r="C692" s="50"/>
      <c r="D692" s="15"/>
    </row>
    <row r="693" spans="2:4" x14ac:dyDescent="0.25">
      <c r="B693" s="68"/>
      <c r="C693" s="50"/>
      <c r="D693" s="15"/>
    </row>
    <row r="694" spans="2:4" x14ac:dyDescent="0.25">
      <c r="B694" s="68"/>
      <c r="C694" s="50"/>
      <c r="D694" s="15"/>
    </row>
    <row r="695" spans="2:4" x14ac:dyDescent="0.25">
      <c r="B695" s="68"/>
      <c r="C695" s="50"/>
      <c r="D695" s="15"/>
    </row>
    <row r="696" spans="2:4" x14ac:dyDescent="0.25">
      <c r="B696" s="68"/>
      <c r="C696" s="50"/>
      <c r="D696" s="15"/>
    </row>
    <row r="697" spans="2:4" x14ac:dyDescent="0.25">
      <c r="B697" s="68"/>
      <c r="C697" s="50"/>
      <c r="D697" s="15"/>
    </row>
    <row r="698" spans="2:4" x14ac:dyDescent="0.25">
      <c r="B698" s="68"/>
      <c r="C698" s="50"/>
      <c r="D698" s="15"/>
    </row>
    <row r="699" spans="2:4" x14ac:dyDescent="0.25">
      <c r="B699" s="68"/>
      <c r="C699" s="50"/>
      <c r="D699" s="15"/>
    </row>
    <row r="700" spans="2:4" x14ac:dyDescent="0.25">
      <c r="B700" s="68"/>
      <c r="C700" s="50"/>
      <c r="D700" s="15"/>
    </row>
    <row r="701" spans="2:4" x14ac:dyDescent="0.25">
      <c r="B701" s="68"/>
      <c r="C701" s="50"/>
      <c r="D701" s="15"/>
    </row>
    <row r="702" spans="2:4" x14ac:dyDescent="0.25">
      <c r="B702" s="68"/>
      <c r="C702" s="50"/>
      <c r="D702" s="15"/>
    </row>
    <row r="703" spans="2:4" x14ac:dyDescent="0.25">
      <c r="B703" s="68"/>
      <c r="C703" s="50"/>
      <c r="D703" s="15"/>
    </row>
    <row r="704" spans="2:4" x14ac:dyDescent="0.25">
      <c r="B704" s="68"/>
      <c r="C704" s="50"/>
      <c r="D704" s="15"/>
    </row>
    <row r="705" spans="2:4" x14ac:dyDescent="0.25">
      <c r="B705" s="68"/>
      <c r="C705" s="50"/>
      <c r="D705" s="15"/>
    </row>
    <row r="706" spans="2:4" x14ac:dyDescent="0.25">
      <c r="B706" s="68"/>
      <c r="C706" s="50"/>
      <c r="D706" s="15"/>
    </row>
    <row r="707" spans="2:4" x14ac:dyDescent="0.25">
      <c r="B707" s="68"/>
      <c r="C707" s="50"/>
      <c r="D707" s="15"/>
    </row>
    <row r="708" spans="2:4" x14ac:dyDescent="0.25">
      <c r="B708" s="68"/>
      <c r="C708" s="50"/>
      <c r="D708" s="15"/>
    </row>
    <row r="709" spans="2:4" x14ac:dyDescent="0.25">
      <c r="B709" s="68"/>
      <c r="C709" s="50"/>
      <c r="D709" s="15"/>
    </row>
    <row r="710" spans="2:4" x14ac:dyDescent="0.25">
      <c r="B710" s="68"/>
      <c r="C710" s="50"/>
      <c r="D710" s="15"/>
    </row>
    <row r="711" spans="2:4" x14ac:dyDescent="0.25">
      <c r="B711" s="68"/>
      <c r="C711" s="50"/>
      <c r="D711" s="15"/>
    </row>
    <row r="712" spans="2:4" x14ac:dyDescent="0.25">
      <c r="B712" s="68"/>
      <c r="C712" s="50"/>
      <c r="D712" s="15"/>
    </row>
    <row r="713" spans="2:4" x14ac:dyDescent="0.25">
      <c r="B713" s="68"/>
      <c r="C713" s="50"/>
      <c r="D713" s="15"/>
    </row>
    <row r="714" spans="2:4" x14ac:dyDescent="0.25">
      <c r="B714" s="68"/>
      <c r="C714" s="50"/>
      <c r="D714" s="15"/>
    </row>
    <row r="715" spans="2:4" x14ac:dyDescent="0.25">
      <c r="B715" s="68"/>
      <c r="C715" s="50"/>
      <c r="D715" s="15"/>
    </row>
    <row r="716" spans="2:4" x14ac:dyDescent="0.25">
      <c r="B716" s="68"/>
      <c r="C716" s="50"/>
      <c r="D716" s="15"/>
    </row>
    <row r="717" spans="2:4" x14ac:dyDescent="0.25">
      <c r="B717" s="68"/>
      <c r="C717" s="50"/>
      <c r="D717" s="15"/>
    </row>
    <row r="718" spans="2:4" x14ac:dyDescent="0.25">
      <c r="B718" s="68"/>
      <c r="C718" s="50"/>
      <c r="D718" s="15"/>
    </row>
    <row r="719" spans="2:4" x14ac:dyDescent="0.25">
      <c r="B719" s="68"/>
      <c r="C719" s="50"/>
      <c r="D719" s="15"/>
    </row>
    <row r="720" spans="2:4" x14ac:dyDescent="0.25">
      <c r="B720" s="68"/>
      <c r="C720" s="50"/>
      <c r="D720" s="15"/>
    </row>
    <row r="721" spans="2:4" x14ac:dyDescent="0.25">
      <c r="B721" s="68"/>
      <c r="C721" s="50"/>
      <c r="D721" s="15"/>
    </row>
    <row r="722" spans="2:4" x14ac:dyDescent="0.25">
      <c r="B722" s="68"/>
      <c r="C722" s="50"/>
      <c r="D722" s="15"/>
    </row>
    <row r="723" spans="2:4" x14ac:dyDescent="0.25">
      <c r="B723" s="68"/>
      <c r="C723" s="50"/>
      <c r="D723" s="15"/>
    </row>
    <row r="724" spans="2:4" x14ac:dyDescent="0.25">
      <c r="B724" s="68"/>
      <c r="C724" s="50"/>
      <c r="D724" s="15"/>
    </row>
    <row r="725" spans="2:4" x14ac:dyDescent="0.25">
      <c r="B725" s="68"/>
      <c r="C725" s="50"/>
      <c r="D725" s="15"/>
    </row>
    <row r="726" spans="2:4" x14ac:dyDescent="0.25">
      <c r="B726" s="68"/>
      <c r="C726" s="50"/>
      <c r="D726" s="15"/>
    </row>
    <row r="727" spans="2:4" x14ac:dyDescent="0.25">
      <c r="B727" s="68"/>
      <c r="C727" s="50"/>
      <c r="D727" s="15"/>
    </row>
    <row r="728" spans="2:4" x14ac:dyDescent="0.25">
      <c r="B728" s="68"/>
      <c r="C728" s="50"/>
      <c r="D728" s="15"/>
    </row>
    <row r="729" spans="2:4" x14ac:dyDescent="0.25">
      <c r="B729" s="68"/>
      <c r="C729" s="50"/>
      <c r="D729" s="15"/>
    </row>
    <row r="730" spans="2:4" x14ac:dyDescent="0.25">
      <c r="B730" s="68"/>
      <c r="C730" s="50"/>
      <c r="D730" s="15"/>
    </row>
    <row r="731" spans="2:4" x14ac:dyDescent="0.25">
      <c r="B731" s="68"/>
      <c r="C731" s="50"/>
      <c r="D731" s="15"/>
    </row>
    <row r="732" spans="2:4" x14ac:dyDescent="0.25">
      <c r="B732" s="68"/>
      <c r="C732" s="50"/>
      <c r="D732" s="15"/>
    </row>
    <row r="733" spans="2:4" x14ac:dyDescent="0.25">
      <c r="B733" s="68"/>
      <c r="C733" s="50"/>
      <c r="D733" s="15"/>
    </row>
    <row r="734" spans="2:4" x14ac:dyDescent="0.25">
      <c r="B734" s="68"/>
      <c r="C734" s="50"/>
      <c r="D734" s="15"/>
    </row>
    <row r="735" spans="2:4" x14ac:dyDescent="0.25">
      <c r="B735" s="68"/>
      <c r="C735" s="50"/>
      <c r="D735" s="15"/>
    </row>
    <row r="736" spans="2:4" x14ac:dyDescent="0.25">
      <c r="B736" s="68"/>
      <c r="C736" s="50"/>
      <c r="D736" s="15"/>
    </row>
    <row r="737" spans="2:4" x14ac:dyDescent="0.25">
      <c r="B737" s="68"/>
      <c r="C737" s="50"/>
      <c r="D737" s="15"/>
    </row>
    <row r="738" spans="2:4" x14ac:dyDescent="0.25">
      <c r="B738" s="68"/>
      <c r="C738" s="50"/>
      <c r="D738" s="15"/>
    </row>
    <row r="739" spans="2:4" x14ac:dyDescent="0.25">
      <c r="B739" s="68"/>
      <c r="C739" s="50"/>
      <c r="D739" s="15"/>
    </row>
    <row r="740" spans="2:4" x14ac:dyDescent="0.25">
      <c r="B740" s="68"/>
      <c r="C740" s="50"/>
      <c r="D740" s="15"/>
    </row>
    <row r="741" spans="2:4" x14ac:dyDescent="0.25">
      <c r="B741" s="68"/>
      <c r="C741" s="50"/>
      <c r="D741" s="15"/>
    </row>
    <row r="742" spans="2:4" x14ac:dyDescent="0.25">
      <c r="B742" s="68"/>
      <c r="C742" s="50"/>
      <c r="D742" s="15"/>
    </row>
    <row r="743" spans="2:4" x14ac:dyDescent="0.25">
      <c r="B743" s="68"/>
      <c r="C743" s="50"/>
      <c r="D743" s="15"/>
    </row>
    <row r="744" spans="2:4" x14ac:dyDescent="0.25">
      <c r="B744" s="68"/>
      <c r="C744" s="50"/>
      <c r="D744" s="15"/>
    </row>
    <row r="745" spans="2:4" x14ac:dyDescent="0.25">
      <c r="B745" s="68"/>
      <c r="C745" s="50"/>
      <c r="D745" s="15"/>
    </row>
    <row r="746" spans="2:4" x14ac:dyDescent="0.25">
      <c r="B746" s="68"/>
      <c r="C746" s="50"/>
      <c r="D746" s="15"/>
    </row>
    <row r="747" spans="2:4" x14ac:dyDescent="0.25">
      <c r="B747" s="68"/>
      <c r="C747" s="50"/>
      <c r="D747" s="15"/>
    </row>
    <row r="748" spans="2:4" x14ac:dyDescent="0.25">
      <c r="B748" s="68"/>
      <c r="C748" s="50"/>
      <c r="D748" s="15"/>
    </row>
    <row r="749" spans="2:4" x14ac:dyDescent="0.25">
      <c r="B749" s="68"/>
      <c r="C749" s="50"/>
      <c r="D749" s="15"/>
    </row>
    <row r="750" spans="2:4" x14ac:dyDescent="0.25">
      <c r="B750" s="68"/>
      <c r="C750" s="50"/>
      <c r="D750" s="15"/>
    </row>
    <row r="751" spans="2:4" x14ac:dyDescent="0.25">
      <c r="B751" s="68"/>
      <c r="C751" s="50"/>
      <c r="D751" s="15"/>
    </row>
    <row r="752" spans="2:4" x14ac:dyDescent="0.25">
      <c r="B752" s="68"/>
      <c r="C752" s="50"/>
      <c r="D752" s="15"/>
    </row>
    <row r="753" spans="2:4" x14ac:dyDescent="0.25">
      <c r="B753" s="68"/>
      <c r="C753" s="50"/>
      <c r="D753" s="15"/>
    </row>
    <row r="754" spans="2:4" x14ac:dyDescent="0.25">
      <c r="B754" s="68"/>
      <c r="C754" s="50"/>
      <c r="D754" s="15"/>
    </row>
    <row r="755" spans="2:4" x14ac:dyDescent="0.25">
      <c r="B755" s="68"/>
      <c r="C755" s="50"/>
      <c r="D755" s="15"/>
    </row>
    <row r="756" spans="2:4" x14ac:dyDescent="0.25">
      <c r="B756" s="68"/>
      <c r="C756" s="50"/>
      <c r="D756" s="15"/>
    </row>
    <row r="757" spans="2:4" x14ac:dyDescent="0.25">
      <c r="B757" s="68"/>
      <c r="C757" s="50"/>
      <c r="D757" s="15"/>
    </row>
    <row r="758" spans="2:4" x14ac:dyDescent="0.25">
      <c r="B758" s="68"/>
      <c r="C758" s="50"/>
      <c r="D758" s="15"/>
    </row>
    <row r="759" spans="2:4" x14ac:dyDescent="0.25">
      <c r="B759" s="68"/>
      <c r="C759" s="50"/>
      <c r="D759" s="15"/>
    </row>
    <row r="760" spans="2:4" x14ac:dyDescent="0.25">
      <c r="B760" s="68"/>
      <c r="C760" s="50"/>
      <c r="D760" s="15"/>
    </row>
    <row r="761" spans="2:4" x14ac:dyDescent="0.25">
      <c r="B761" s="68"/>
      <c r="C761" s="50"/>
      <c r="D761" s="15"/>
    </row>
    <row r="762" spans="2:4" x14ac:dyDescent="0.25">
      <c r="B762" s="68"/>
      <c r="C762" s="50"/>
      <c r="D762" s="15"/>
    </row>
    <row r="763" spans="2:4" x14ac:dyDescent="0.25">
      <c r="B763" s="68"/>
      <c r="C763" s="50"/>
      <c r="D763" s="15"/>
    </row>
    <row r="764" spans="2:4" x14ac:dyDescent="0.25">
      <c r="B764" s="68"/>
      <c r="C764" s="50"/>
      <c r="D764" s="15"/>
    </row>
    <row r="765" spans="2:4" x14ac:dyDescent="0.25">
      <c r="B765" s="68"/>
      <c r="C765" s="50"/>
      <c r="D765" s="15"/>
    </row>
    <row r="766" spans="2:4" x14ac:dyDescent="0.25">
      <c r="B766" s="68"/>
      <c r="C766" s="50"/>
      <c r="D766" s="15"/>
    </row>
    <row r="767" spans="2:4" x14ac:dyDescent="0.25">
      <c r="B767" s="68"/>
      <c r="C767" s="50"/>
      <c r="D767" s="15"/>
    </row>
    <row r="768" spans="2:4" x14ac:dyDescent="0.25">
      <c r="B768" s="68"/>
      <c r="C768" s="50"/>
      <c r="D768" s="15"/>
    </row>
    <row r="769" spans="2:4" x14ac:dyDescent="0.25">
      <c r="B769" s="68"/>
      <c r="C769" s="50"/>
      <c r="D769" s="15"/>
    </row>
    <row r="770" spans="2:4" x14ac:dyDescent="0.25">
      <c r="B770" s="68"/>
      <c r="C770" s="50"/>
      <c r="D770" s="15"/>
    </row>
    <row r="771" spans="2:4" x14ac:dyDescent="0.25">
      <c r="B771" s="68"/>
      <c r="C771" s="50"/>
      <c r="D771" s="15"/>
    </row>
    <row r="772" spans="2:4" x14ac:dyDescent="0.25">
      <c r="B772" s="68"/>
      <c r="C772" s="50"/>
      <c r="D772" s="15"/>
    </row>
    <row r="773" spans="2:4" x14ac:dyDescent="0.25">
      <c r="B773" s="68"/>
      <c r="C773" s="50"/>
      <c r="D773" s="15"/>
    </row>
    <row r="774" spans="2:4" x14ac:dyDescent="0.25">
      <c r="B774" s="68"/>
      <c r="C774" s="50"/>
      <c r="D774" s="15"/>
    </row>
    <row r="775" spans="2:4" x14ac:dyDescent="0.25">
      <c r="B775" s="68"/>
      <c r="C775" s="50"/>
      <c r="D775" s="15"/>
    </row>
    <row r="776" spans="2:4" x14ac:dyDescent="0.25">
      <c r="B776" s="68"/>
      <c r="C776" s="50"/>
      <c r="D776" s="15"/>
    </row>
    <row r="777" spans="2:4" x14ac:dyDescent="0.25">
      <c r="B777" s="68"/>
      <c r="C777" s="50"/>
      <c r="D777" s="15"/>
    </row>
    <row r="778" spans="2:4" x14ac:dyDescent="0.25">
      <c r="B778" s="68"/>
      <c r="C778" s="50"/>
      <c r="D778" s="15"/>
    </row>
    <row r="779" spans="2:4" x14ac:dyDescent="0.25">
      <c r="B779" s="68"/>
      <c r="C779" s="50"/>
      <c r="D779" s="15"/>
    </row>
    <row r="780" spans="2:4" x14ac:dyDescent="0.25">
      <c r="B780" s="68"/>
      <c r="C780" s="50"/>
      <c r="D780" s="15"/>
    </row>
    <row r="781" spans="2:4" x14ac:dyDescent="0.25">
      <c r="B781" s="68"/>
      <c r="C781" s="50"/>
      <c r="D781" s="15"/>
    </row>
    <row r="782" spans="2:4" x14ac:dyDescent="0.25">
      <c r="B782" s="68"/>
      <c r="C782" s="50"/>
      <c r="D782" s="15"/>
    </row>
    <row r="783" spans="2:4" x14ac:dyDescent="0.25">
      <c r="B783" s="68"/>
      <c r="C783" s="50"/>
      <c r="D783" s="15"/>
    </row>
    <row r="784" spans="2:4" x14ac:dyDescent="0.25">
      <c r="B784" s="68"/>
      <c r="C784" s="50"/>
      <c r="D784" s="15"/>
    </row>
    <row r="785" spans="2:4" x14ac:dyDescent="0.25">
      <c r="B785" s="68"/>
      <c r="C785" s="50"/>
      <c r="D785" s="15"/>
    </row>
    <row r="786" spans="2:4" x14ac:dyDescent="0.25">
      <c r="B786" s="68"/>
      <c r="C786" s="50"/>
      <c r="D786" s="15"/>
    </row>
    <row r="787" spans="2:4" x14ac:dyDescent="0.25">
      <c r="B787" s="68"/>
      <c r="C787" s="50"/>
      <c r="D787" s="15"/>
    </row>
    <row r="788" spans="2:4" x14ac:dyDescent="0.25">
      <c r="B788" s="68"/>
      <c r="C788" s="50"/>
      <c r="D788" s="15"/>
    </row>
    <row r="789" spans="2:4" x14ac:dyDescent="0.25">
      <c r="B789" s="68"/>
      <c r="C789" s="50"/>
      <c r="D789" s="15"/>
    </row>
    <row r="790" spans="2:4" x14ac:dyDescent="0.25">
      <c r="B790" s="68"/>
      <c r="C790" s="50"/>
      <c r="D790" s="15"/>
    </row>
    <row r="791" spans="2:4" x14ac:dyDescent="0.25">
      <c r="B791" s="68"/>
      <c r="C791" s="50"/>
      <c r="D791" s="15"/>
    </row>
    <row r="792" spans="2:4" x14ac:dyDescent="0.25">
      <c r="B792" s="68"/>
      <c r="C792" s="50"/>
      <c r="D792" s="15"/>
    </row>
    <row r="793" spans="2:4" x14ac:dyDescent="0.25">
      <c r="B793" s="68"/>
      <c r="C793" s="50"/>
      <c r="D793" s="15"/>
    </row>
    <row r="794" spans="2:4" x14ac:dyDescent="0.25">
      <c r="B794" s="68"/>
      <c r="C794" s="50"/>
      <c r="D794" s="15"/>
    </row>
    <row r="795" spans="2:4" x14ac:dyDescent="0.25">
      <c r="B795" s="68"/>
      <c r="C795" s="50"/>
      <c r="D795" s="15"/>
    </row>
    <row r="796" spans="2:4" x14ac:dyDescent="0.25">
      <c r="B796" s="68"/>
      <c r="C796" s="50"/>
      <c r="D796" s="15"/>
    </row>
    <row r="797" spans="2:4" x14ac:dyDescent="0.25">
      <c r="B797" s="68"/>
      <c r="C797" s="50"/>
      <c r="D797" s="15"/>
    </row>
    <row r="798" spans="2:4" x14ac:dyDescent="0.25">
      <c r="B798" s="68"/>
      <c r="C798" s="50"/>
      <c r="D798" s="15"/>
    </row>
    <row r="799" spans="2:4" x14ac:dyDescent="0.25">
      <c r="B799" s="68"/>
      <c r="C799" s="50"/>
      <c r="D799" s="15"/>
    </row>
    <row r="800" spans="2:4" x14ac:dyDescent="0.25">
      <c r="B800" s="68"/>
      <c r="C800" s="50"/>
      <c r="D800" s="15"/>
    </row>
    <row r="801" spans="2:4" x14ac:dyDescent="0.25">
      <c r="B801" s="68"/>
      <c r="C801" s="50"/>
      <c r="D801" s="15"/>
    </row>
    <row r="802" spans="2:4" x14ac:dyDescent="0.25">
      <c r="B802" s="68"/>
      <c r="C802" s="50"/>
      <c r="D802" s="15"/>
    </row>
    <row r="803" spans="2:4" x14ac:dyDescent="0.25">
      <c r="B803" s="68"/>
      <c r="C803" s="50"/>
      <c r="D803" s="15"/>
    </row>
    <row r="804" spans="2:4" x14ac:dyDescent="0.25">
      <c r="B804" s="68"/>
      <c r="C804" s="50"/>
      <c r="D804" s="15"/>
    </row>
    <row r="805" spans="2:4" x14ac:dyDescent="0.25">
      <c r="B805" s="68"/>
      <c r="C805" s="50"/>
      <c r="D805" s="15"/>
    </row>
    <row r="806" spans="2:4" x14ac:dyDescent="0.25">
      <c r="B806" s="68"/>
      <c r="C806" s="50"/>
      <c r="D806" s="15"/>
    </row>
    <row r="807" spans="2:4" x14ac:dyDescent="0.25">
      <c r="B807" s="68"/>
      <c r="C807" s="50"/>
      <c r="D807" s="15"/>
    </row>
    <row r="808" spans="2:4" x14ac:dyDescent="0.25">
      <c r="B808" s="68"/>
      <c r="C808" s="50"/>
      <c r="D808" s="15"/>
    </row>
    <row r="809" spans="2:4" x14ac:dyDescent="0.25">
      <c r="B809" s="68"/>
      <c r="C809" s="50"/>
      <c r="D809" s="15"/>
    </row>
    <row r="810" spans="2:4" x14ac:dyDescent="0.25">
      <c r="B810" s="68"/>
      <c r="C810" s="50"/>
      <c r="D810" s="15"/>
    </row>
    <row r="811" spans="2:4" x14ac:dyDescent="0.25">
      <c r="B811" s="68"/>
      <c r="C811" s="50"/>
      <c r="D811" s="15"/>
    </row>
    <row r="812" spans="2:4" x14ac:dyDescent="0.25">
      <c r="B812" s="68"/>
      <c r="C812" s="50"/>
      <c r="D812" s="15"/>
    </row>
    <row r="813" spans="2:4" x14ac:dyDescent="0.25">
      <c r="B813" s="68"/>
      <c r="C813" s="50"/>
      <c r="D813" s="15"/>
    </row>
    <row r="814" spans="2:4" x14ac:dyDescent="0.25">
      <c r="B814" s="68"/>
      <c r="C814" s="50"/>
      <c r="D814" s="15"/>
    </row>
    <row r="815" spans="2:4" x14ac:dyDescent="0.25">
      <c r="B815" s="68"/>
      <c r="C815" s="50"/>
      <c r="D815" s="15"/>
    </row>
    <row r="816" spans="2:4" x14ac:dyDescent="0.25">
      <c r="B816" s="68"/>
      <c r="C816" s="50"/>
      <c r="D816" s="15"/>
    </row>
    <row r="817" spans="2:4" x14ac:dyDescent="0.25">
      <c r="B817" s="68"/>
      <c r="C817" s="50"/>
      <c r="D817" s="15"/>
    </row>
    <row r="818" spans="2:4" x14ac:dyDescent="0.25">
      <c r="B818" s="68"/>
      <c r="C818" s="50"/>
      <c r="D818" s="15"/>
    </row>
    <row r="819" spans="2:4" x14ac:dyDescent="0.25">
      <c r="B819" s="68"/>
      <c r="C819" s="50"/>
      <c r="D819" s="15"/>
    </row>
    <row r="820" spans="2:4" x14ac:dyDescent="0.25">
      <c r="B820" s="68"/>
      <c r="C820" s="50"/>
      <c r="D820" s="15"/>
    </row>
    <row r="821" spans="2:4" x14ac:dyDescent="0.25">
      <c r="B821" s="68"/>
      <c r="C821" s="50"/>
      <c r="D821" s="15"/>
    </row>
    <row r="822" spans="2:4" x14ac:dyDescent="0.25">
      <c r="B822" s="68"/>
      <c r="C822" s="50"/>
      <c r="D822" s="15"/>
    </row>
    <row r="823" spans="2:4" x14ac:dyDescent="0.25">
      <c r="B823" s="68"/>
      <c r="C823" s="50"/>
      <c r="D823" s="15"/>
    </row>
    <row r="824" spans="2:4" x14ac:dyDescent="0.25">
      <c r="B824" s="68"/>
      <c r="C824" s="50"/>
      <c r="D824" s="15"/>
    </row>
    <row r="825" spans="2:4" x14ac:dyDescent="0.25">
      <c r="B825" s="68"/>
      <c r="C825" s="50"/>
      <c r="D825" s="15"/>
    </row>
    <row r="826" spans="2:4" x14ac:dyDescent="0.25">
      <c r="B826" s="68"/>
      <c r="C826" s="50"/>
      <c r="D826" s="15"/>
    </row>
    <row r="827" spans="2:4" x14ac:dyDescent="0.25">
      <c r="B827" s="68"/>
      <c r="C827" s="50"/>
      <c r="D827" s="15"/>
    </row>
    <row r="828" spans="2:4" x14ac:dyDescent="0.25">
      <c r="B828" s="68"/>
      <c r="C828" s="50"/>
      <c r="D828" s="15"/>
    </row>
    <row r="829" spans="2:4" x14ac:dyDescent="0.25">
      <c r="B829" s="68"/>
      <c r="C829" s="50"/>
      <c r="D829" s="15"/>
    </row>
    <row r="830" spans="2:4" x14ac:dyDescent="0.25">
      <c r="B830" s="68"/>
      <c r="C830" s="50"/>
      <c r="D830" s="15"/>
    </row>
    <row r="831" spans="2:4" x14ac:dyDescent="0.25">
      <c r="B831" s="68"/>
      <c r="C831" s="50"/>
      <c r="D831" s="15"/>
    </row>
    <row r="832" spans="2:4" x14ac:dyDescent="0.25">
      <c r="B832" s="68"/>
      <c r="C832" s="50"/>
      <c r="D832" s="15"/>
    </row>
    <row r="833" spans="2:4" x14ac:dyDescent="0.25">
      <c r="B833" s="68"/>
      <c r="C833" s="50"/>
      <c r="D833" s="15"/>
    </row>
    <row r="834" spans="2:4" x14ac:dyDescent="0.25">
      <c r="B834" s="68"/>
      <c r="C834" s="50"/>
      <c r="D834" s="15"/>
    </row>
    <row r="835" spans="2:4" x14ac:dyDescent="0.25">
      <c r="B835" s="68"/>
      <c r="C835" s="50"/>
      <c r="D835" s="15"/>
    </row>
    <row r="836" spans="2:4" x14ac:dyDescent="0.25">
      <c r="B836" s="68"/>
      <c r="C836" s="50"/>
      <c r="D836" s="15"/>
    </row>
    <row r="837" spans="2:4" x14ac:dyDescent="0.25">
      <c r="B837" s="68"/>
      <c r="C837" s="50"/>
      <c r="D837" s="15"/>
    </row>
    <row r="838" spans="2:4" x14ac:dyDescent="0.25">
      <c r="B838" s="68"/>
      <c r="C838" s="50"/>
      <c r="D838" s="15"/>
    </row>
    <row r="839" spans="2:4" x14ac:dyDescent="0.25">
      <c r="B839" s="68"/>
      <c r="C839" s="50"/>
      <c r="D839" s="15"/>
    </row>
    <row r="840" spans="2:4" x14ac:dyDescent="0.25">
      <c r="B840" s="68"/>
      <c r="C840" s="50"/>
      <c r="D840" s="15"/>
    </row>
    <row r="841" spans="2:4" x14ac:dyDescent="0.25">
      <c r="B841" s="68"/>
      <c r="C841" s="50"/>
      <c r="D841" s="15"/>
    </row>
    <row r="842" spans="2:4" x14ac:dyDescent="0.25">
      <c r="B842" s="68"/>
      <c r="C842" s="50"/>
      <c r="D842" s="15"/>
    </row>
    <row r="843" spans="2:4" x14ac:dyDescent="0.25">
      <c r="B843" s="68"/>
      <c r="C843" s="50"/>
      <c r="D843" s="15"/>
    </row>
    <row r="844" spans="2:4" x14ac:dyDescent="0.25">
      <c r="B844" s="68"/>
      <c r="C844" s="50"/>
      <c r="D844" s="15"/>
    </row>
    <row r="845" spans="2:4" x14ac:dyDescent="0.25">
      <c r="B845" s="68"/>
      <c r="C845" s="50"/>
      <c r="D845" s="15"/>
    </row>
    <row r="846" spans="2:4" x14ac:dyDescent="0.25">
      <c r="B846" s="68"/>
      <c r="C846" s="50"/>
      <c r="D846" s="15"/>
    </row>
    <row r="847" spans="2:4" x14ac:dyDescent="0.25">
      <c r="B847" s="68"/>
      <c r="C847" s="50"/>
      <c r="D847" s="15"/>
    </row>
    <row r="848" spans="2:4" x14ac:dyDescent="0.25">
      <c r="B848" s="68"/>
      <c r="C848" s="50"/>
      <c r="D848" s="15"/>
    </row>
    <row r="849" spans="2:4" x14ac:dyDescent="0.25">
      <c r="B849" s="68"/>
      <c r="C849" s="50"/>
      <c r="D849" s="15"/>
    </row>
    <row r="850" spans="2:4" x14ac:dyDescent="0.25">
      <c r="B850" s="68"/>
      <c r="C850" s="50"/>
      <c r="D850" s="15"/>
    </row>
    <row r="851" spans="2:4" x14ac:dyDescent="0.25">
      <c r="B851" s="68"/>
      <c r="C851" s="50"/>
      <c r="D851" s="15"/>
    </row>
    <row r="852" spans="2:4" x14ac:dyDescent="0.25">
      <c r="B852" s="68"/>
      <c r="C852" s="50"/>
      <c r="D852" s="15"/>
    </row>
    <row r="853" spans="2:4" x14ac:dyDescent="0.25">
      <c r="B853" s="68"/>
      <c r="C853" s="50"/>
      <c r="D853" s="15"/>
    </row>
    <row r="854" spans="2:4" x14ac:dyDescent="0.25">
      <c r="B854" s="68"/>
      <c r="C854" s="50"/>
      <c r="D854" s="15"/>
    </row>
    <row r="855" spans="2:4" x14ac:dyDescent="0.25">
      <c r="B855" s="68"/>
      <c r="C855" s="50"/>
      <c r="D855" s="15"/>
    </row>
    <row r="856" spans="2:4" x14ac:dyDescent="0.25">
      <c r="B856" s="68"/>
      <c r="C856" s="50"/>
      <c r="D856" s="15"/>
    </row>
    <row r="857" spans="2:4" x14ac:dyDescent="0.25">
      <c r="B857" s="68"/>
      <c r="C857" s="50"/>
      <c r="D857" s="15"/>
    </row>
    <row r="858" spans="2:4" x14ac:dyDescent="0.25">
      <c r="B858" s="68"/>
      <c r="C858" s="50"/>
      <c r="D858" s="15"/>
    </row>
    <row r="859" spans="2:4" x14ac:dyDescent="0.25">
      <c r="B859" s="68"/>
      <c r="C859" s="50"/>
      <c r="D859" s="15"/>
    </row>
    <row r="860" spans="2:4" x14ac:dyDescent="0.25">
      <c r="B860" s="68"/>
      <c r="C860" s="50"/>
      <c r="D860" s="15"/>
    </row>
    <row r="861" spans="2:4" x14ac:dyDescent="0.25">
      <c r="B861" s="68"/>
      <c r="C861" s="50"/>
      <c r="D861" s="15"/>
    </row>
    <row r="862" spans="2:4" x14ac:dyDescent="0.25">
      <c r="B862" s="68"/>
      <c r="C862" s="50"/>
      <c r="D862" s="15"/>
    </row>
    <row r="863" spans="2:4" x14ac:dyDescent="0.25">
      <c r="B863" s="68"/>
      <c r="C863" s="50"/>
      <c r="D863" s="15"/>
    </row>
    <row r="864" spans="2:4" x14ac:dyDescent="0.25">
      <c r="B864" s="68"/>
      <c r="C864" s="50"/>
      <c r="D864" s="15"/>
    </row>
    <row r="865" spans="2:4" x14ac:dyDescent="0.25">
      <c r="B865" s="68"/>
      <c r="C865" s="50"/>
      <c r="D865" s="15"/>
    </row>
    <row r="866" spans="2:4" x14ac:dyDescent="0.25">
      <c r="B866" s="68"/>
      <c r="C866" s="50"/>
      <c r="D866" s="15"/>
    </row>
    <row r="867" spans="2:4" x14ac:dyDescent="0.25">
      <c r="B867" s="68"/>
      <c r="C867" s="50"/>
      <c r="D867" s="15"/>
    </row>
    <row r="868" spans="2:4" x14ac:dyDescent="0.25">
      <c r="B868" s="68"/>
      <c r="C868" s="50"/>
      <c r="D868" s="15"/>
    </row>
    <row r="869" spans="2:4" x14ac:dyDescent="0.25">
      <c r="B869" s="68"/>
      <c r="C869" s="50"/>
      <c r="D869" s="15"/>
    </row>
    <row r="870" spans="2:4" x14ac:dyDescent="0.25">
      <c r="B870" s="68"/>
      <c r="C870" s="50"/>
      <c r="D870" s="15"/>
    </row>
    <row r="871" spans="2:4" x14ac:dyDescent="0.25">
      <c r="B871" s="68"/>
      <c r="C871" s="50"/>
      <c r="D871" s="15"/>
    </row>
    <row r="872" spans="2:4" x14ac:dyDescent="0.25">
      <c r="B872" s="68"/>
      <c r="C872" s="50"/>
      <c r="D872" s="15"/>
    </row>
    <row r="873" spans="2:4" x14ac:dyDescent="0.25">
      <c r="B873" s="68"/>
      <c r="C873" s="50"/>
      <c r="D873" s="15"/>
    </row>
    <row r="874" spans="2:4" x14ac:dyDescent="0.25">
      <c r="B874" s="68"/>
      <c r="C874" s="50"/>
      <c r="D874" s="15"/>
    </row>
    <row r="875" spans="2:4" x14ac:dyDescent="0.25">
      <c r="B875" s="68"/>
      <c r="C875" s="50"/>
      <c r="D875" s="15"/>
    </row>
    <row r="876" spans="2:4" x14ac:dyDescent="0.25">
      <c r="B876" s="68"/>
      <c r="C876" s="50"/>
      <c r="D876" s="15"/>
    </row>
    <row r="877" spans="2:4" x14ac:dyDescent="0.25">
      <c r="B877" s="68"/>
      <c r="C877" s="50"/>
      <c r="D877" s="15"/>
    </row>
    <row r="878" spans="2:4" x14ac:dyDescent="0.25">
      <c r="B878" s="68"/>
      <c r="C878" s="50"/>
      <c r="D878" s="15"/>
    </row>
    <row r="879" spans="2:4" x14ac:dyDescent="0.25">
      <c r="B879" s="68"/>
      <c r="C879" s="50"/>
      <c r="D879" s="15"/>
    </row>
    <row r="880" spans="2:4" x14ac:dyDescent="0.25">
      <c r="B880" s="68"/>
      <c r="C880" s="50"/>
      <c r="D880" s="15"/>
    </row>
    <row r="881" spans="2:4" x14ac:dyDescent="0.25">
      <c r="B881" s="68"/>
      <c r="C881" s="50"/>
      <c r="D881" s="15"/>
    </row>
    <row r="882" spans="2:4" x14ac:dyDescent="0.25">
      <c r="B882" s="68"/>
      <c r="C882" s="50"/>
      <c r="D882" s="15"/>
    </row>
    <row r="883" spans="2:4" x14ac:dyDescent="0.25">
      <c r="B883" s="68"/>
      <c r="C883" s="50"/>
      <c r="D883" s="15"/>
    </row>
    <row r="884" spans="2:4" x14ac:dyDescent="0.25">
      <c r="B884" s="68"/>
      <c r="C884" s="50"/>
      <c r="D884" s="15"/>
    </row>
    <row r="885" spans="2:4" x14ac:dyDescent="0.25">
      <c r="B885" s="68"/>
      <c r="C885" s="50"/>
      <c r="D885" s="15"/>
    </row>
    <row r="886" spans="2:4" x14ac:dyDescent="0.25">
      <c r="B886" s="68"/>
      <c r="C886" s="50"/>
      <c r="D886" s="15"/>
    </row>
    <row r="887" spans="2:4" x14ac:dyDescent="0.25">
      <c r="B887" s="68"/>
      <c r="C887" s="50"/>
      <c r="D887" s="15"/>
    </row>
    <row r="888" spans="2:4" x14ac:dyDescent="0.25">
      <c r="B888" s="68"/>
      <c r="C888" s="50"/>
      <c r="D888" s="15"/>
    </row>
    <row r="889" spans="2:4" x14ac:dyDescent="0.25">
      <c r="B889" s="68"/>
      <c r="C889" s="50"/>
      <c r="D889" s="15"/>
    </row>
    <row r="890" spans="2:4" x14ac:dyDescent="0.25">
      <c r="B890" s="68"/>
      <c r="C890" s="50"/>
      <c r="D890" s="15"/>
    </row>
    <row r="891" spans="2:4" x14ac:dyDescent="0.25">
      <c r="B891" s="68"/>
      <c r="C891" s="50"/>
      <c r="D891" s="15"/>
    </row>
    <row r="892" spans="2:4" x14ac:dyDescent="0.25">
      <c r="B892" s="68"/>
      <c r="C892" s="50"/>
      <c r="D892" s="15"/>
    </row>
    <row r="893" spans="2:4" x14ac:dyDescent="0.25">
      <c r="B893" s="68"/>
      <c r="C893" s="50"/>
      <c r="D893" s="15"/>
    </row>
    <row r="894" spans="2:4" x14ac:dyDescent="0.25">
      <c r="B894" s="68"/>
      <c r="C894" s="50"/>
      <c r="D894" s="15"/>
    </row>
    <row r="895" spans="2:4" x14ac:dyDescent="0.25">
      <c r="B895" s="68"/>
      <c r="C895" s="50"/>
      <c r="D895" s="15"/>
    </row>
    <row r="896" spans="2:4" x14ac:dyDescent="0.25">
      <c r="B896" s="68"/>
      <c r="C896" s="50"/>
      <c r="D896" s="15"/>
    </row>
    <row r="897" spans="2:4" x14ac:dyDescent="0.25">
      <c r="B897" s="68"/>
      <c r="C897" s="50"/>
      <c r="D897" s="15"/>
    </row>
    <row r="898" spans="2:4" x14ac:dyDescent="0.25">
      <c r="B898" s="68"/>
      <c r="C898" s="50"/>
      <c r="D898" s="15"/>
    </row>
    <row r="899" spans="2:4" x14ac:dyDescent="0.25">
      <c r="B899" s="68"/>
      <c r="C899" s="50"/>
      <c r="D899" s="15"/>
    </row>
    <row r="900" spans="2:4" x14ac:dyDescent="0.25">
      <c r="B900" s="68"/>
      <c r="C900" s="50"/>
      <c r="D900" s="15"/>
    </row>
    <row r="901" spans="2:4" x14ac:dyDescent="0.25">
      <c r="B901" s="68"/>
      <c r="C901" s="50"/>
      <c r="D901" s="15"/>
    </row>
    <row r="902" spans="2:4" x14ac:dyDescent="0.25">
      <c r="B902" s="68"/>
      <c r="C902" s="50"/>
      <c r="D902" s="15"/>
    </row>
    <row r="903" spans="2:4" x14ac:dyDescent="0.25">
      <c r="B903" s="68"/>
      <c r="C903" s="50"/>
      <c r="D903" s="15"/>
    </row>
    <row r="904" spans="2:4" x14ac:dyDescent="0.25">
      <c r="B904" s="68"/>
      <c r="C904" s="50"/>
      <c r="D904" s="15"/>
    </row>
    <row r="905" spans="2:4" x14ac:dyDescent="0.25">
      <c r="B905" s="68"/>
      <c r="C905" s="50"/>
      <c r="D905" s="15"/>
    </row>
    <row r="906" spans="2:4" x14ac:dyDescent="0.25">
      <c r="B906" s="68"/>
      <c r="C906" s="50"/>
      <c r="D906" s="15"/>
    </row>
    <row r="907" spans="2:4" x14ac:dyDescent="0.25">
      <c r="B907" s="68"/>
      <c r="C907" s="50"/>
      <c r="D907" s="15"/>
    </row>
    <row r="908" spans="2:4" x14ac:dyDescent="0.25">
      <c r="B908" s="68"/>
      <c r="C908" s="50"/>
      <c r="D908" s="15"/>
    </row>
    <row r="909" spans="2:4" x14ac:dyDescent="0.25">
      <c r="B909" s="68"/>
      <c r="C909" s="50"/>
      <c r="D909" s="15"/>
    </row>
    <row r="910" spans="2:4" x14ac:dyDescent="0.25">
      <c r="B910" s="68"/>
      <c r="C910" s="50"/>
      <c r="D910" s="15"/>
    </row>
    <row r="911" spans="2:4" x14ac:dyDescent="0.25">
      <c r="B911" s="68"/>
      <c r="C911" s="50"/>
      <c r="D911" s="15"/>
    </row>
    <row r="912" spans="2:4" x14ac:dyDescent="0.25">
      <c r="B912" s="68"/>
      <c r="C912" s="50"/>
      <c r="D912" s="15"/>
    </row>
    <row r="913" spans="2:4" x14ac:dyDescent="0.25">
      <c r="B913" s="68"/>
      <c r="C913" s="50"/>
      <c r="D913" s="15"/>
    </row>
    <row r="914" spans="2:4" x14ac:dyDescent="0.25">
      <c r="B914" s="68"/>
      <c r="C914" s="50"/>
      <c r="D914" s="15"/>
    </row>
    <row r="915" spans="2:4" x14ac:dyDescent="0.25">
      <c r="B915" s="68"/>
      <c r="C915" s="50"/>
      <c r="D915" s="15"/>
    </row>
    <row r="916" spans="2:4" x14ac:dyDescent="0.25">
      <c r="B916" s="68"/>
      <c r="C916" s="50"/>
      <c r="D916" s="15"/>
    </row>
    <row r="917" spans="2:4" x14ac:dyDescent="0.25">
      <c r="B917" s="68"/>
      <c r="C917" s="50"/>
      <c r="D917" s="15"/>
    </row>
    <row r="918" spans="2:4" x14ac:dyDescent="0.25">
      <c r="B918" s="68"/>
      <c r="C918" s="50"/>
      <c r="D918" s="15"/>
    </row>
    <row r="919" spans="2:4" x14ac:dyDescent="0.25">
      <c r="B919" s="68"/>
      <c r="C919" s="50"/>
      <c r="D919" s="15"/>
    </row>
    <row r="920" spans="2:4" x14ac:dyDescent="0.25">
      <c r="B920" s="68"/>
      <c r="C920" s="50"/>
      <c r="D920" s="15"/>
    </row>
    <row r="921" spans="2:4" x14ac:dyDescent="0.25">
      <c r="B921" s="68"/>
      <c r="C921" s="50"/>
      <c r="D921" s="15"/>
    </row>
    <row r="922" spans="2:4" x14ac:dyDescent="0.25">
      <c r="B922" s="68"/>
      <c r="C922" s="50"/>
      <c r="D922" s="15"/>
    </row>
    <row r="923" spans="2:4" x14ac:dyDescent="0.25">
      <c r="B923" s="68"/>
      <c r="C923" s="50"/>
      <c r="D923" s="15"/>
    </row>
    <row r="924" spans="2:4" x14ac:dyDescent="0.25">
      <c r="B924" s="68"/>
      <c r="C924" s="50"/>
      <c r="D924" s="15"/>
    </row>
    <row r="925" spans="2:4" x14ac:dyDescent="0.25">
      <c r="B925" s="68"/>
      <c r="C925" s="50"/>
      <c r="D925" s="15"/>
    </row>
    <row r="926" spans="2:4" x14ac:dyDescent="0.25">
      <c r="B926" s="68"/>
      <c r="C926" s="50"/>
      <c r="D926" s="15"/>
    </row>
    <row r="927" spans="2:4" x14ac:dyDescent="0.25">
      <c r="B927" s="68"/>
      <c r="C927" s="50"/>
      <c r="D927" s="15"/>
    </row>
    <row r="928" spans="2:4" x14ac:dyDescent="0.25">
      <c r="B928" s="68"/>
      <c r="C928" s="50"/>
      <c r="D928" s="15"/>
    </row>
    <row r="929" spans="2:4" x14ac:dyDescent="0.25">
      <c r="B929" s="68"/>
      <c r="C929" s="50"/>
      <c r="D929" s="15"/>
    </row>
    <row r="930" spans="2:4" x14ac:dyDescent="0.25">
      <c r="B930" s="68"/>
      <c r="C930" s="50"/>
      <c r="D930" s="15"/>
    </row>
    <row r="931" spans="2:4" x14ac:dyDescent="0.25">
      <c r="B931" s="68"/>
      <c r="C931" s="50"/>
      <c r="D931" s="15"/>
    </row>
    <row r="932" spans="2:4" x14ac:dyDescent="0.25">
      <c r="B932" s="68"/>
      <c r="C932" s="50"/>
      <c r="D932" s="15"/>
    </row>
    <row r="933" spans="2:4" x14ac:dyDescent="0.25">
      <c r="B933" s="68"/>
      <c r="C933" s="50"/>
      <c r="D933" s="15"/>
    </row>
    <row r="934" spans="2:4" x14ac:dyDescent="0.25">
      <c r="B934" s="68"/>
      <c r="C934" s="50"/>
      <c r="D934" s="15"/>
    </row>
    <row r="935" spans="2:4" x14ac:dyDescent="0.25">
      <c r="B935" s="68"/>
      <c r="C935" s="50"/>
      <c r="D935" s="15"/>
    </row>
    <row r="936" spans="2:4" x14ac:dyDescent="0.25">
      <c r="B936" s="68"/>
      <c r="C936" s="50"/>
      <c r="D936" s="15"/>
    </row>
    <row r="937" spans="2:4" x14ac:dyDescent="0.25">
      <c r="B937" s="68"/>
      <c r="C937" s="50"/>
      <c r="D937" s="15"/>
    </row>
    <row r="938" spans="2:4" x14ac:dyDescent="0.25">
      <c r="B938" s="68"/>
      <c r="C938" s="50"/>
      <c r="D938" s="15"/>
    </row>
    <row r="939" spans="2:4" x14ac:dyDescent="0.25">
      <c r="B939" s="68"/>
      <c r="C939" s="50"/>
      <c r="D939" s="15"/>
    </row>
    <row r="940" spans="2:4" x14ac:dyDescent="0.25">
      <c r="B940" s="68"/>
      <c r="C940" s="50"/>
      <c r="D940" s="15"/>
    </row>
    <row r="941" spans="2:4" x14ac:dyDescent="0.25">
      <c r="B941" s="68"/>
      <c r="C941" s="50"/>
      <c r="D941" s="15"/>
    </row>
    <row r="942" spans="2:4" x14ac:dyDescent="0.25">
      <c r="B942" s="68"/>
      <c r="C942" s="50"/>
      <c r="D942" s="15"/>
    </row>
    <row r="943" spans="2:4" x14ac:dyDescent="0.25">
      <c r="B943" s="68"/>
      <c r="C943" s="50"/>
      <c r="D943" s="15"/>
    </row>
    <row r="944" spans="2:4" x14ac:dyDescent="0.25">
      <c r="B944" s="68"/>
      <c r="C944" s="50"/>
      <c r="D944" s="15"/>
    </row>
    <row r="945" spans="2:4" x14ac:dyDescent="0.25">
      <c r="B945" s="68"/>
      <c r="C945" s="50"/>
      <c r="D945" s="15"/>
    </row>
    <row r="946" spans="2:4" x14ac:dyDescent="0.25">
      <c r="B946" s="68"/>
      <c r="C946" s="50"/>
      <c r="D946" s="15"/>
    </row>
    <row r="947" spans="2:4" x14ac:dyDescent="0.25">
      <c r="B947" s="68"/>
      <c r="C947" s="50"/>
      <c r="D947" s="15"/>
    </row>
    <row r="948" spans="2:4" x14ac:dyDescent="0.25">
      <c r="B948" s="68"/>
      <c r="C948" s="50"/>
      <c r="D948" s="15"/>
    </row>
    <row r="949" spans="2:4" x14ac:dyDescent="0.25">
      <c r="B949" s="68"/>
      <c r="C949" s="50"/>
      <c r="D949" s="15"/>
    </row>
    <row r="950" spans="2:4" x14ac:dyDescent="0.25">
      <c r="B950" s="68"/>
      <c r="C950" s="50"/>
      <c r="D950" s="15"/>
    </row>
    <row r="951" spans="2:4" x14ac:dyDescent="0.25">
      <c r="B951" s="68"/>
      <c r="C951" s="50"/>
      <c r="D951" s="15"/>
    </row>
    <row r="952" spans="2:4" x14ac:dyDescent="0.25">
      <c r="B952" s="68"/>
      <c r="C952" s="50"/>
      <c r="D952" s="15"/>
    </row>
    <row r="953" spans="2:4" x14ac:dyDescent="0.25">
      <c r="B953" s="68"/>
      <c r="C953" s="50"/>
      <c r="D953" s="15"/>
    </row>
    <row r="954" spans="2:4" x14ac:dyDescent="0.25">
      <c r="B954" s="68"/>
      <c r="C954" s="50"/>
      <c r="D954" s="15"/>
    </row>
    <row r="955" spans="2:4" x14ac:dyDescent="0.25">
      <c r="B955" s="68"/>
      <c r="C955" s="50"/>
      <c r="D955" s="15"/>
    </row>
    <row r="956" spans="2:4" x14ac:dyDescent="0.25">
      <c r="B956" s="68"/>
      <c r="C956" s="50"/>
      <c r="D956" s="15"/>
    </row>
    <row r="957" spans="2:4" x14ac:dyDescent="0.25">
      <c r="B957" s="68"/>
      <c r="C957" s="50"/>
      <c r="D957" s="15"/>
    </row>
    <row r="958" spans="2:4" x14ac:dyDescent="0.25">
      <c r="B958" s="68"/>
      <c r="C958" s="50"/>
      <c r="D958" s="15"/>
    </row>
    <row r="959" spans="2:4" x14ac:dyDescent="0.25">
      <c r="B959" s="68"/>
      <c r="C959" s="50"/>
      <c r="D959" s="15"/>
    </row>
    <row r="960" spans="2:4" x14ac:dyDescent="0.25">
      <c r="B960" s="68"/>
      <c r="C960" s="50"/>
      <c r="D960" s="15"/>
    </row>
    <row r="961" spans="2:4" x14ac:dyDescent="0.25">
      <c r="B961" s="68"/>
      <c r="C961" s="50"/>
      <c r="D961" s="15"/>
    </row>
    <row r="962" spans="2:4" x14ac:dyDescent="0.25">
      <c r="B962" s="68"/>
      <c r="C962" s="50"/>
      <c r="D962" s="15"/>
    </row>
    <row r="963" spans="2:4" x14ac:dyDescent="0.25">
      <c r="B963" s="68"/>
      <c r="C963" s="50"/>
      <c r="D963" s="15"/>
    </row>
    <row r="964" spans="2:4" x14ac:dyDescent="0.25">
      <c r="B964" s="68"/>
      <c r="C964" s="50"/>
      <c r="D964" s="15"/>
    </row>
    <row r="965" spans="2:4" x14ac:dyDescent="0.25">
      <c r="B965" s="68"/>
      <c r="C965" s="50"/>
      <c r="D965" s="15"/>
    </row>
    <row r="966" spans="2:4" x14ac:dyDescent="0.25">
      <c r="B966" s="68"/>
      <c r="C966" s="50"/>
      <c r="D966" s="15"/>
    </row>
    <row r="967" spans="2:4" x14ac:dyDescent="0.25">
      <c r="B967" s="68"/>
      <c r="C967" s="50"/>
      <c r="D967" s="15"/>
    </row>
    <row r="968" spans="2:4" x14ac:dyDescent="0.25">
      <c r="B968" s="68"/>
      <c r="C968" s="50"/>
      <c r="D968" s="15"/>
    </row>
    <row r="969" spans="2:4" x14ac:dyDescent="0.25">
      <c r="B969" s="68"/>
      <c r="C969" s="50"/>
      <c r="D969" s="15"/>
    </row>
    <row r="970" spans="2:4" x14ac:dyDescent="0.25">
      <c r="B970" s="68"/>
      <c r="C970" s="50"/>
      <c r="D970" s="15"/>
    </row>
    <row r="971" spans="2:4" x14ac:dyDescent="0.25">
      <c r="B971" s="68"/>
      <c r="C971" s="50"/>
      <c r="D971" s="15"/>
    </row>
    <row r="972" spans="2:4" x14ac:dyDescent="0.25">
      <c r="B972" s="68"/>
      <c r="C972" s="50"/>
      <c r="D972" s="15"/>
    </row>
    <row r="973" spans="2:4" x14ac:dyDescent="0.25">
      <c r="B973" s="68"/>
      <c r="C973" s="50"/>
      <c r="D973" s="15"/>
    </row>
    <row r="974" spans="2:4" x14ac:dyDescent="0.25">
      <c r="B974" s="68"/>
      <c r="C974" s="50"/>
      <c r="D974" s="15"/>
    </row>
    <row r="975" spans="2:4" x14ac:dyDescent="0.25">
      <c r="B975" s="68"/>
      <c r="C975" s="50"/>
      <c r="D975" s="15"/>
    </row>
    <row r="976" spans="2:4" x14ac:dyDescent="0.25">
      <c r="B976" s="68"/>
      <c r="C976" s="50"/>
      <c r="D976" s="15"/>
    </row>
    <row r="977" spans="2:4" x14ac:dyDescent="0.25">
      <c r="B977" s="68"/>
      <c r="C977" s="50"/>
      <c r="D977" s="15"/>
    </row>
    <row r="978" spans="2:4" x14ac:dyDescent="0.25">
      <c r="B978" s="68"/>
      <c r="C978" s="50"/>
      <c r="D978" s="15"/>
    </row>
    <row r="979" spans="2:4" x14ac:dyDescent="0.25">
      <c r="B979" s="68"/>
      <c r="C979" s="50"/>
      <c r="D979" s="15"/>
    </row>
    <row r="980" spans="2:4" x14ac:dyDescent="0.25">
      <c r="B980" s="68"/>
      <c r="C980" s="50"/>
      <c r="D980" s="15"/>
    </row>
    <row r="981" spans="2:4" x14ac:dyDescent="0.25">
      <c r="B981" s="68"/>
      <c r="C981" s="50"/>
      <c r="D981" s="15"/>
    </row>
    <row r="982" spans="2:4" x14ac:dyDescent="0.25">
      <c r="B982" s="68"/>
      <c r="C982" s="50"/>
      <c r="D982" s="15"/>
    </row>
    <row r="983" spans="2:4" x14ac:dyDescent="0.25">
      <c r="B983" s="68"/>
      <c r="C983" s="50"/>
      <c r="D983" s="15"/>
    </row>
    <row r="984" spans="2:4" x14ac:dyDescent="0.25">
      <c r="B984" s="68"/>
      <c r="C984" s="50"/>
      <c r="D984" s="15"/>
    </row>
    <row r="985" spans="2:4" x14ac:dyDescent="0.25">
      <c r="B985" s="68"/>
      <c r="C985" s="50"/>
      <c r="D985" s="15"/>
    </row>
    <row r="986" spans="2:4" x14ac:dyDescent="0.25">
      <c r="B986" s="68"/>
      <c r="C986" s="50"/>
      <c r="D986" s="15"/>
    </row>
    <row r="987" spans="2:4" x14ac:dyDescent="0.25">
      <c r="B987" s="68"/>
      <c r="C987" s="50"/>
      <c r="D987" s="15"/>
    </row>
    <row r="988" spans="2:4" x14ac:dyDescent="0.25">
      <c r="B988" s="68"/>
      <c r="C988" s="50"/>
      <c r="D988" s="15"/>
    </row>
    <row r="989" spans="2:4" x14ac:dyDescent="0.25">
      <c r="B989" s="68"/>
      <c r="C989" s="50"/>
      <c r="D989" s="15"/>
    </row>
    <row r="990" spans="2:4" x14ac:dyDescent="0.25">
      <c r="B990" s="68"/>
      <c r="C990" s="50"/>
      <c r="D990" s="15"/>
    </row>
    <row r="991" spans="2:4" x14ac:dyDescent="0.25">
      <c r="B991" s="68"/>
      <c r="C991" s="50"/>
      <c r="D991" s="15"/>
    </row>
    <row r="992" spans="2:4" x14ac:dyDescent="0.25">
      <c r="B992" s="68"/>
      <c r="C992" s="50"/>
      <c r="D992" s="15"/>
    </row>
    <row r="993" spans="2:4" x14ac:dyDescent="0.25">
      <c r="B993" s="68"/>
      <c r="C993" s="50"/>
      <c r="D993" s="15"/>
    </row>
    <row r="994" spans="2:4" x14ac:dyDescent="0.25">
      <c r="B994" s="68"/>
      <c r="C994" s="50"/>
      <c r="D994" s="15"/>
    </row>
    <row r="995" spans="2:4" x14ac:dyDescent="0.25">
      <c r="B995" s="68"/>
      <c r="C995" s="50"/>
      <c r="D995" s="15"/>
    </row>
    <row r="996" spans="2:4" x14ac:dyDescent="0.25">
      <c r="B996" s="68"/>
      <c r="C996" s="50"/>
      <c r="D996" s="15"/>
    </row>
    <row r="997" spans="2:4" x14ac:dyDescent="0.25">
      <c r="B997" s="68"/>
      <c r="C997" s="50"/>
      <c r="D997" s="15"/>
    </row>
    <row r="998" spans="2:4" x14ac:dyDescent="0.25">
      <c r="B998" s="68"/>
      <c r="C998" s="50"/>
      <c r="D998" s="15"/>
    </row>
    <row r="999" spans="2:4" x14ac:dyDescent="0.25">
      <c r="B999" s="68"/>
      <c r="C999" s="50"/>
      <c r="D999" s="15"/>
    </row>
    <row r="1000" spans="2:4" x14ac:dyDescent="0.25">
      <c r="B1000" s="68"/>
      <c r="C1000" s="50"/>
      <c r="D1000" s="15"/>
    </row>
    <row r="1001" spans="2:4" x14ac:dyDescent="0.25">
      <c r="B1001" s="68"/>
      <c r="C1001" s="50"/>
      <c r="D1001" s="15"/>
    </row>
    <row r="1002" spans="2:4" x14ac:dyDescent="0.25">
      <c r="B1002" s="68"/>
      <c r="C1002" s="50"/>
      <c r="D1002" s="15"/>
    </row>
    <row r="1003" spans="2:4" x14ac:dyDescent="0.25">
      <c r="B1003" s="68"/>
      <c r="C1003" s="50"/>
      <c r="D1003" s="15"/>
    </row>
    <row r="1004" spans="2:4" x14ac:dyDescent="0.25">
      <c r="B1004" s="68"/>
      <c r="C1004" s="50"/>
      <c r="D1004" s="15"/>
    </row>
    <row r="1005" spans="2:4" x14ac:dyDescent="0.25">
      <c r="B1005" s="68"/>
      <c r="C1005" s="50"/>
      <c r="D1005" s="15"/>
    </row>
    <row r="1006" spans="2:4" x14ac:dyDescent="0.25">
      <c r="B1006" s="68"/>
      <c r="C1006" s="50"/>
      <c r="D1006" s="15"/>
    </row>
    <row r="1007" spans="2:4" x14ac:dyDescent="0.25">
      <c r="B1007" s="68"/>
      <c r="C1007" s="50"/>
      <c r="D1007" s="15"/>
    </row>
    <row r="1008" spans="2:4" x14ac:dyDescent="0.25">
      <c r="B1008" s="68"/>
      <c r="C1008" s="50"/>
      <c r="D1008" s="15"/>
    </row>
    <row r="1009" spans="2:4" x14ac:dyDescent="0.25">
      <c r="B1009" s="68"/>
      <c r="C1009" s="50"/>
      <c r="D1009" s="15"/>
    </row>
    <row r="1010" spans="2:4" x14ac:dyDescent="0.25">
      <c r="B1010" s="68"/>
      <c r="C1010" s="50"/>
      <c r="D1010" s="15"/>
    </row>
    <row r="1011" spans="2:4" x14ac:dyDescent="0.25">
      <c r="B1011" s="68"/>
      <c r="C1011" s="50"/>
      <c r="D1011" s="15"/>
    </row>
    <row r="1012" spans="2:4" x14ac:dyDescent="0.25">
      <c r="B1012" s="68"/>
      <c r="C1012" s="50"/>
      <c r="D1012" s="15"/>
    </row>
    <row r="1013" spans="2:4" x14ac:dyDescent="0.25">
      <c r="B1013" s="68"/>
      <c r="C1013" s="50"/>
      <c r="D1013" s="15"/>
    </row>
    <row r="1014" spans="2:4" x14ac:dyDescent="0.25">
      <c r="B1014" s="68"/>
      <c r="C1014" s="50"/>
      <c r="D1014" s="15"/>
    </row>
    <row r="1015" spans="2:4" x14ac:dyDescent="0.25">
      <c r="B1015" s="68"/>
      <c r="C1015" s="50"/>
      <c r="D1015" s="15"/>
    </row>
    <row r="1016" spans="2:4" x14ac:dyDescent="0.25">
      <c r="B1016" s="68"/>
      <c r="C1016" s="50"/>
      <c r="D1016" s="15"/>
    </row>
    <row r="1017" spans="2:4" x14ac:dyDescent="0.25">
      <c r="B1017" s="68"/>
      <c r="C1017" s="50"/>
      <c r="D1017" s="15"/>
    </row>
    <row r="1018" spans="2:4" x14ac:dyDescent="0.25">
      <c r="B1018" s="68"/>
      <c r="C1018" s="50"/>
      <c r="D1018" s="15"/>
    </row>
    <row r="1019" spans="2:4" x14ac:dyDescent="0.25">
      <c r="B1019" s="68"/>
      <c r="C1019" s="50"/>
      <c r="D1019" s="15"/>
    </row>
    <row r="1020" spans="2:4" x14ac:dyDescent="0.25">
      <c r="B1020" s="68"/>
      <c r="C1020" s="50"/>
      <c r="D1020" s="15"/>
    </row>
    <row r="1021" spans="2:4" x14ac:dyDescent="0.25">
      <c r="B1021" s="68"/>
      <c r="C1021" s="50"/>
      <c r="D1021" s="15"/>
    </row>
    <row r="1022" spans="2:4" x14ac:dyDescent="0.25">
      <c r="B1022" s="68"/>
      <c r="C1022" s="50"/>
      <c r="D1022" s="15"/>
    </row>
    <row r="1023" spans="2:4" x14ac:dyDescent="0.25">
      <c r="B1023" s="68"/>
      <c r="C1023" s="50"/>
      <c r="D1023" s="15"/>
    </row>
    <row r="1024" spans="2:4" x14ac:dyDescent="0.25">
      <c r="B1024" s="68"/>
      <c r="C1024" s="50"/>
      <c r="D1024" s="15"/>
    </row>
    <row r="1025" spans="2:4" x14ac:dyDescent="0.25">
      <c r="B1025" s="68"/>
      <c r="C1025" s="50"/>
      <c r="D1025" s="15"/>
    </row>
    <row r="1026" spans="2:4" x14ac:dyDescent="0.25">
      <c r="B1026" s="68"/>
      <c r="C1026" s="50"/>
      <c r="D1026" s="15"/>
    </row>
    <row r="1027" spans="2:4" x14ac:dyDescent="0.25">
      <c r="B1027" s="68"/>
      <c r="C1027" s="50"/>
      <c r="D1027" s="15"/>
    </row>
    <row r="1028" spans="2:4" x14ac:dyDescent="0.25">
      <c r="B1028" s="68"/>
      <c r="C1028" s="50"/>
      <c r="D1028" s="15"/>
    </row>
    <row r="1029" spans="2:4" x14ac:dyDescent="0.25">
      <c r="B1029" s="68"/>
      <c r="C1029" s="50"/>
      <c r="D1029" s="15"/>
    </row>
    <row r="1030" spans="2:4" x14ac:dyDescent="0.25">
      <c r="B1030" s="68"/>
      <c r="C1030" s="50"/>
      <c r="D1030" s="15"/>
    </row>
    <row r="1031" spans="2:4" x14ac:dyDescent="0.25">
      <c r="B1031" s="68"/>
      <c r="C1031" s="50"/>
      <c r="D1031" s="15"/>
    </row>
    <row r="1032" spans="2:4" x14ac:dyDescent="0.25">
      <c r="B1032" s="68"/>
      <c r="C1032" s="50"/>
      <c r="D1032" s="15"/>
    </row>
    <row r="1033" spans="2:4" x14ac:dyDescent="0.25">
      <c r="B1033" s="68"/>
      <c r="C1033" s="50"/>
      <c r="D1033" s="15"/>
    </row>
    <row r="1034" spans="2:4" x14ac:dyDescent="0.25">
      <c r="B1034" s="68"/>
      <c r="C1034" s="50"/>
      <c r="D1034" s="15"/>
    </row>
    <row r="1035" spans="2:4" x14ac:dyDescent="0.25">
      <c r="B1035" s="68"/>
      <c r="C1035" s="50"/>
      <c r="D1035" s="15"/>
    </row>
    <row r="1036" spans="2:4" x14ac:dyDescent="0.25">
      <c r="B1036" s="68"/>
      <c r="C1036" s="50"/>
      <c r="D1036" s="15"/>
    </row>
    <row r="1037" spans="2:4" x14ac:dyDescent="0.25">
      <c r="B1037" s="68"/>
      <c r="C1037" s="50"/>
      <c r="D1037" s="15"/>
    </row>
    <row r="1038" spans="2:4" x14ac:dyDescent="0.25">
      <c r="B1038" s="68"/>
      <c r="C1038" s="50"/>
      <c r="D1038" s="15"/>
    </row>
    <row r="1039" spans="2:4" x14ac:dyDescent="0.25">
      <c r="B1039" s="68"/>
      <c r="C1039" s="50"/>
      <c r="D1039" s="15"/>
    </row>
    <row r="1040" spans="2:4" x14ac:dyDescent="0.25">
      <c r="B1040" s="68"/>
      <c r="C1040" s="50"/>
      <c r="D1040" s="15"/>
    </row>
    <row r="1041" spans="2:4" x14ac:dyDescent="0.25">
      <c r="B1041" s="68"/>
      <c r="C1041" s="50"/>
      <c r="D1041" s="15"/>
    </row>
    <row r="1042" spans="2:4" x14ac:dyDescent="0.25">
      <c r="B1042" s="68"/>
      <c r="C1042" s="50"/>
      <c r="D1042" s="15"/>
    </row>
    <row r="1043" spans="2:4" x14ac:dyDescent="0.25">
      <c r="B1043" s="68"/>
      <c r="C1043" s="50"/>
      <c r="D1043" s="15"/>
    </row>
    <row r="1044" spans="2:4" x14ac:dyDescent="0.25">
      <c r="B1044" s="68"/>
      <c r="C1044" s="50"/>
      <c r="D1044" s="15"/>
    </row>
    <row r="1045" spans="2:4" x14ac:dyDescent="0.25">
      <c r="B1045" s="68"/>
      <c r="C1045" s="50"/>
      <c r="D1045" s="15"/>
    </row>
    <row r="1046" spans="2:4" x14ac:dyDescent="0.25">
      <c r="B1046" s="68"/>
      <c r="C1046" s="50"/>
      <c r="D1046" s="15"/>
    </row>
    <row r="1047" spans="2:4" x14ac:dyDescent="0.25">
      <c r="B1047" s="68"/>
      <c r="C1047" s="50"/>
      <c r="D1047" s="15"/>
    </row>
    <row r="1048" spans="2:4" x14ac:dyDescent="0.25">
      <c r="B1048" s="68"/>
      <c r="C1048" s="50"/>
      <c r="D1048" s="15"/>
    </row>
    <row r="1049" spans="2:4" x14ac:dyDescent="0.25">
      <c r="B1049" s="68"/>
      <c r="C1049" s="50"/>
      <c r="D1049" s="15"/>
    </row>
    <row r="1050" spans="2:4" x14ac:dyDescent="0.25">
      <c r="B1050" s="68"/>
      <c r="C1050" s="50"/>
      <c r="D1050" s="15"/>
    </row>
    <row r="1051" spans="2:4" x14ac:dyDescent="0.25">
      <c r="B1051" s="68"/>
      <c r="C1051" s="50"/>
      <c r="D1051" s="15"/>
    </row>
    <row r="1052" spans="2:4" x14ac:dyDescent="0.25">
      <c r="B1052" s="68"/>
      <c r="C1052" s="50"/>
      <c r="D1052" s="15"/>
    </row>
    <row r="1053" spans="2:4" x14ac:dyDescent="0.25">
      <c r="B1053" s="68"/>
      <c r="C1053" s="50"/>
      <c r="D1053" s="15"/>
    </row>
    <row r="1054" spans="2:4" x14ac:dyDescent="0.25">
      <c r="B1054" s="68"/>
      <c r="C1054" s="50"/>
      <c r="D1054" s="15"/>
    </row>
    <row r="1055" spans="2:4" x14ac:dyDescent="0.25">
      <c r="B1055" s="68"/>
      <c r="C1055" s="50"/>
      <c r="D1055" s="15"/>
    </row>
    <row r="1056" spans="2:4" x14ac:dyDescent="0.25">
      <c r="B1056" s="68"/>
      <c r="C1056" s="50"/>
      <c r="D1056" s="15"/>
    </row>
    <row r="1057" spans="2:4" x14ac:dyDescent="0.25">
      <c r="B1057" s="68"/>
      <c r="C1057" s="50"/>
      <c r="D1057" s="15"/>
    </row>
    <row r="1058" spans="2:4" x14ac:dyDescent="0.25">
      <c r="B1058" s="68"/>
      <c r="C1058" s="50"/>
      <c r="D1058" s="15"/>
    </row>
    <row r="1059" spans="2:4" x14ac:dyDescent="0.25">
      <c r="B1059" s="68"/>
      <c r="C1059" s="50"/>
      <c r="D1059" s="15"/>
    </row>
    <row r="1060" spans="2:4" x14ac:dyDescent="0.25">
      <c r="B1060" s="68"/>
      <c r="C1060" s="50"/>
      <c r="D1060" s="15"/>
    </row>
    <row r="1061" spans="2:4" x14ac:dyDescent="0.25">
      <c r="B1061" s="68"/>
      <c r="C1061" s="50"/>
      <c r="D1061" s="15"/>
    </row>
    <row r="1062" spans="2:4" x14ac:dyDescent="0.25">
      <c r="B1062" s="68"/>
      <c r="C1062" s="50"/>
      <c r="D1062" s="15"/>
    </row>
    <row r="1063" spans="2:4" x14ac:dyDescent="0.25">
      <c r="B1063" s="68"/>
      <c r="C1063" s="50"/>
      <c r="D1063" s="15"/>
    </row>
    <row r="1064" spans="2:4" x14ac:dyDescent="0.25">
      <c r="B1064" s="68"/>
      <c r="C1064" s="50"/>
      <c r="D1064" s="15"/>
    </row>
    <row r="1065" spans="2:4" x14ac:dyDescent="0.25">
      <c r="B1065" s="68"/>
      <c r="C1065" s="50"/>
      <c r="D1065" s="15"/>
    </row>
    <row r="1066" spans="2:4" x14ac:dyDescent="0.25">
      <c r="B1066" s="68"/>
      <c r="C1066" s="50"/>
      <c r="D1066" s="15"/>
    </row>
    <row r="1067" spans="2:4" x14ac:dyDescent="0.25">
      <c r="B1067" s="68"/>
      <c r="C1067" s="50"/>
      <c r="D1067" s="15"/>
    </row>
    <row r="1068" spans="2:4" x14ac:dyDescent="0.25">
      <c r="B1068" s="68"/>
      <c r="C1068" s="50"/>
      <c r="D1068" s="15"/>
    </row>
    <row r="1069" spans="2:4" x14ac:dyDescent="0.25">
      <c r="B1069" s="68"/>
      <c r="C1069" s="50"/>
      <c r="D1069" s="15"/>
    </row>
    <row r="1070" spans="2:4" x14ac:dyDescent="0.25">
      <c r="B1070" s="68"/>
      <c r="C1070" s="50"/>
      <c r="D1070" s="15"/>
    </row>
    <row r="1071" spans="2:4" x14ac:dyDescent="0.25">
      <c r="B1071" s="68"/>
      <c r="C1071" s="50"/>
      <c r="D1071" s="15"/>
    </row>
    <row r="1072" spans="2:4" x14ac:dyDescent="0.25">
      <c r="B1072" s="68"/>
      <c r="C1072" s="50"/>
      <c r="D1072" s="15"/>
    </row>
    <row r="1073" spans="2:4" x14ac:dyDescent="0.25">
      <c r="B1073" s="68"/>
      <c r="C1073" s="50"/>
      <c r="D1073" s="15"/>
    </row>
    <row r="1074" spans="2:4" x14ac:dyDescent="0.25">
      <c r="B1074" s="68"/>
      <c r="C1074" s="50"/>
      <c r="D1074" s="15"/>
    </row>
    <row r="1075" spans="2:4" x14ac:dyDescent="0.25">
      <c r="B1075" s="68"/>
      <c r="C1075" s="50"/>
      <c r="D1075" s="15"/>
    </row>
    <row r="1076" spans="2:4" x14ac:dyDescent="0.25">
      <c r="B1076" s="68"/>
      <c r="C1076" s="50"/>
      <c r="D1076" s="15"/>
    </row>
    <row r="1077" spans="2:4" x14ac:dyDescent="0.25">
      <c r="B1077" s="68"/>
      <c r="C1077" s="50"/>
      <c r="D1077" s="15"/>
    </row>
    <row r="1078" spans="2:4" x14ac:dyDescent="0.25">
      <c r="B1078" s="68"/>
      <c r="C1078" s="50"/>
      <c r="D1078" s="15"/>
    </row>
    <row r="1079" spans="2:4" x14ac:dyDescent="0.25">
      <c r="B1079" s="68"/>
      <c r="C1079" s="50"/>
      <c r="D1079" s="15"/>
    </row>
    <row r="1080" spans="2:4" x14ac:dyDescent="0.25">
      <c r="B1080" s="68"/>
      <c r="C1080" s="50"/>
      <c r="D1080" s="15"/>
    </row>
    <row r="1081" spans="2:4" x14ac:dyDescent="0.25">
      <c r="B1081" s="68"/>
      <c r="C1081" s="50"/>
      <c r="D1081" s="15"/>
    </row>
    <row r="1082" spans="2:4" x14ac:dyDescent="0.25">
      <c r="B1082" s="68"/>
      <c r="C1082" s="50"/>
      <c r="D1082" s="15"/>
    </row>
    <row r="1083" spans="2:4" x14ac:dyDescent="0.25">
      <c r="B1083" s="68"/>
      <c r="C1083" s="50"/>
      <c r="D1083" s="15"/>
    </row>
    <row r="1084" spans="2:4" x14ac:dyDescent="0.25">
      <c r="B1084" s="68"/>
      <c r="C1084" s="50"/>
      <c r="D1084" s="15"/>
    </row>
    <row r="1085" spans="2:4" x14ac:dyDescent="0.25">
      <c r="B1085" s="68"/>
      <c r="C1085" s="50"/>
      <c r="D1085" s="15"/>
    </row>
    <row r="1086" spans="2:4" x14ac:dyDescent="0.25">
      <c r="B1086" s="68"/>
      <c r="C1086" s="50"/>
      <c r="D1086" s="15"/>
    </row>
    <row r="1087" spans="2:4" x14ac:dyDescent="0.25">
      <c r="B1087" s="68"/>
      <c r="C1087" s="50"/>
      <c r="D1087" s="15"/>
    </row>
    <row r="1088" spans="2:4" x14ac:dyDescent="0.25">
      <c r="B1088" s="68"/>
      <c r="C1088" s="50"/>
      <c r="D1088" s="15"/>
    </row>
    <row r="1089" spans="2:4" x14ac:dyDescent="0.25">
      <c r="B1089" s="68"/>
      <c r="C1089" s="50"/>
      <c r="D1089" s="15"/>
    </row>
    <row r="1090" spans="2:4" x14ac:dyDescent="0.25">
      <c r="B1090" s="68"/>
      <c r="C1090" s="50"/>
      <c r="D1090" s="15"/>
    </row>
    <row r="1091" spans="2:4" x14ac:dyDescent="0.25">
      <c r="B1091" s="68"/>
      <c r="C1091" s="50"/>
      <c r="D1091" s="15"/>
    </row>
    <row r="1092" spans="2:4" x14ac:dyDescent="0.25">
      <c r="B1092" s="68"/>
      <c r="C1092" s="50"/>
      <c r="D1092" s="15"/>
    </row>
    <row r="1093" spans="2:4" x14ac:dyDescent="0.25">
      <c r="B1093" s="68"/>
      <c r="C1093" s="50"/>
      <c r="D1093" s="15"/>
    </row>
    <row r="1094" spans="2:4" x14ac:dyDescent="0.25">
      <c r="B1094" s="68"/>
      <c r="C1094" s="50"/>
      <c r="D1094" s="15"/>
    </row>
    <row r="1095" spans="2:4" x14ac:dyDescent="0.25">
      <c r="B1095" s="68"/>
      <c r="C1095" s="50"/>
      <c r="D1095" s="15"/>
    </row>
    <row r="1096" spans="2:4" x14ac:dyDescent="0.25">
      <c r="B1096" s="68"/>
      <c r="C1096" s="50"/>
      <c r="D1096" s="15"/>
    </row>
    <row r="1097" spans="2:4" x14ac:dyDescent="0.25">
      <c r="B1097" s="68"/>
      <c r="C1097" s="50"/>
      <c r="D1097" s="15"/>
    </row>
    <row r="1098" spans="2:4" x14ac:dyDescent="0.25">
      <c r="B1098" s="68"/>
      <c r="C1098" s="50"/>
      <c r="D1098" s="15"/>
    </row>
    <row r="1099" spans="2:4" x14ac:dyDescent="0.25">
      <c r="B1099" s="68"/>
      <c r="C1099" s="50"/>
      <c r="D1099" s="15"/>
    </row>
    <row r="1100" spans="2:4" x14ac:dyDescent="0.25">
      <c r="B1100" s="68"/>
      <c r="C1100" s="50"/>
      <c r="D1100" s="15"/>
    </row>
    <row r="1101" spans="2:4" x14ac:dyDescent="0.25">
      <c r="B1101" s="68"/>
      <c r="C1101" s="50"/>
      <c r="D1101" s="15"/>
    </row>
    <row r="1102" spans="2:4" x14ac:dyDescent="0.25">
      <c r="B1102" s="68"/>
      <c r="C1102" s="50"/>
      <c r="D1102" s="15"/>
    </row>
    <row r="1103" spans="2:4" x14ac:dyDescent="0.25">
      <c r="B1103" s="68"/>
      <c r="C1103" s="50"/>
      <c r="D1103" s="15"/>
    </row>
    <row r="1104" spans="2:4" x14ac:dyDescent="0.25">
      <c r="B1104" s="68"/>
      <c r="C1104" s="50"/>
      <c r="D1104" s="15"/>
    </row>
    <row r="1105" spans="2:4" x14ac:dyDescent="0.25">
      <c r="B1105" s="68"/>
      <c r="C1105" s="50"/>
      <c r="D1105" s="15"/>
    </row>
    <row r="1106" spans="2:4" x14ac:dyDescent="0.25">
      <c r="B1106" s="68"/>
      <c r="C1106" s="50"/>
      <c r="D1106" s="15"/>
    </row>
    <row r="1107" spans="2:4" x14ac:dyDescent="0.25">
      <c r="B1107" s="68"/>
      <c r="C1107" s="50"/>
      <c r="D1107" s="15"/>
    </row>
    <row r="1108" spans="2:4" x14ac:dyDescent="0.25">
      <c r="B1108" s="68"/>
      <c r="C1108" s="50"/>
      <c r="D1108" s="15"/>
    </row>
    <row r="1109" spans="2:4" x14ac:dyDescent="0.25">
      <c r="B1109" s="68"/>
      <c r="C1109" s="50"/>
      <c r="D1109" s="15"/>
    </row>
    <row r="1110" spans="2:4" x14ac:dyDescent="0.25">
      <c r="B1110" s="68"/>
      <c r="C1110" s="50"/>
      <c r="D1110" s="15"/>
    </row>
    <row r="1111" spans="2:4" x14ac:dyDescent="0.25">
      <c r="B1111" s="68"/>
      <c r="C1111" s="50"/>
      <c r="D1111" s="15"/>
    </row>
    <row r="1112" spans="2:4" x14ac:dyDescent="0.25">
      <c r="B1112" s="68"/>
      <c r="C1112" s="50"/>
      <c r="D1112" s="15"/>
    </row>
    <row r="1113" spans="2:4" x14ac:dyDescent="0.25">
      <c r="B1113" s="68"/>
      <c r="C1113" s="50"/>
      <c r="D1113" s="15"/>
    </row>
    <row r="1114" spans="2:4" x14ac:dyDescent="0.25">
      <c r="B1114" s="68"/>
      <c r="C1114" s="50"/>
      <c r="D1114" s="15"/>
    </row>
    <row r="1115" spans="2:4" x14ac:dyDescent="0.25">
      <c r="B1115" s="68"/>
      <c r="C1115" s="50"/>
      <c r="D1115" s="15"/>
    </row>
    <row r="1116" spans="2:4" x14ac:dyDescent="0.25">
      <c r="B1116" s="68"/>
      <c r="C1116" s="50"/>
      <c r="D1116" s="15"/>
    </row>
    <row r="1117" spans="2:4" x14ac:dyDescent="0.25">
      <c r="B1117" s="68"/>
      <c r="C1117" s="50"/>
      <c r="D1117" s="15"/>
    </row>
    <row r="1118" spans="2:4" x14ac:dyDescent="0.25">
      <c r="B1118" s="68"/>
      <c r="C1118" s="50"/>
      <c r="D1118" s="15"/>
    </row>
    <row r="1119" spans="2:4" x14ac:dyDescent="0.25">
      <c r="B1119" s="68"/>
      <c r="C1119" s="50"/>
      <c r="D1119" s="15"/>
    </row>
    <row r="1120" spans="2:4" x14ac:dyDescent="0.25">
      <c r="B1120" s="68"/>
      <c r="C1120" s="50"/>
      <c r="D1120" s="15"/>
    </row>
    <row r="1121" spans="2:4" x14ac:dyDescent="0.25">
      <c r="B1121" s="68"/>
      <c r="C1121" s="50"/>
      <c r="D1121" s="15"/>
    </row>
    <row r="1122" spans="2:4" x14ac:dyDescent="0.25">
      <c r="B1122" s="68"/>
      <c r="C1122" s="50"/>
      <c r="D1122" s="15"/>
    </row>
    <row r="1123" spans="2:4" x14ac:dyDescent="0.25">
      <c r="B1123" s="68"/>
      <c r="C1123" s="50"/>
      <c r="D1123" s="15"/>
    </row>
    <row r="1124" spans="2:4" x14ac:dyDescent="0.25">
      <c r="B1124" s="68"/>
      <c r="C1124" s="50"/>
      <c r="D1124" s="15"/>
    </row>
    <row r="1125" spans="2:4" x14ac:dyDescent="0.25">
      <c r="B1125" s="68"/>
      <c r="C1125" s="50"/>
      <c r="D1125" s="15"/>
    </row>
    <row r="1126" spans="2:4" x14ac:dyDescent="0.25">
      <c r="B1126" s="68"/>
      <c r="C1126" s="50"/>
      <c r="D1126" s="15"/>
    </row>
    <row r="1127" spans="2:4" x14ac:dyDescent="0.25">
      <c r="B1127" s="68"/>
      <c r="C1127" s="50"/>
      <c r="D1127" s="15"/>
    </row>
    <row r="1128" spans="2:4" x14ac:dyDescent="0.25">
      <c r="B1128" s="68"/>
      <c r="C1128" s="50"/>
      <c r="D1128" s="15"/>
    </row>
    <row r="1129" spans="2:4" x14ac:dyDescent="0.25">
      <c r="B1129" s="68"/>
      <c r="C1129" s="50"/>
      <c r="D1129" s="15"/>
    </row>
    <row r="1130" spans="2:4" x14ac:dyDescent="0.25">
      <c r="B1130" s="68"/>
      <c r="C1130" s="50"/>
      <c r="D1130" s="15"/>
    </row>
    <row r="1131" spans="2:4" x14ac:dyDescent="0.25">
      <c r="B1131" s="68"/>
      <c r="C1131" s="50"/>
      <c r="D1131" s="15"/>
    </row>
    <row r="1132" spans="2:4" x14ac:dyDescent="0.25">
      <c r="B1132" s="68"/>
      <c r="C1132" s="50"/>
      <c r="D1132" s="15"/>
    </row>
    <row r="1133" spans="2:4" x14ac:dyDescent="0.25">
      <c r="B1133" s="68"/>
      <c r="C1133" s="50"/>
      <c r="D1133" s="15"/>
    </row>
    <row r="1134" spans="2:4" x14ac:dyDescent="0.25">
      <c r="B1134" s="68"/>
      <c r="C1134" s="50"/>
      <c r="D1134" s="15"/>
    </row>
    <row r="1135" spans="2:4" x14ac:dyDescent="0.25">
      <c r="B1135" s="68"/>
      <c r="C1135" s="50"/>
      <c r="D1135" s="15"/>
    </row>
    <row r="1136" spans="2:4" x14ac:dyDescent="0.25">
      <c r="B1136" s="68"/>
      <c r="C1136" s="50"/>
      <c r="D1136" s="15"/>
    </row>
    <row r="1137" spans="2:4" x14ac:dyDescent="0.25">
      <c r="B1137" s="68"/>
      <c r="C1137" s="50"/>
      <c r="D1137" s="15"/>
    </row>
    <row r="1138" spans="2:4" x14ac:dyDescent="0.25">
      <c r="B1138" s="68"/>
      <c r="C1138" s="50"/>
      <c r="D1138" s="15"/>
    </row>
    <row r="1139" spans="2:4" x14ac:dyDescent="0.25">
      <c r="B1139" s="68"/>
      <c r="C1139" s="50"/>
      <c r="D1139" s="15"/>
    </row>
    <row r="1140" spans="2:4" x14ac:dyDescent="0.25">
      <c r="B1140" s="68"/>
      <c r="C1140" s="50"/>
      <c r="D1140" s="15"/>
    </row>
    <row r="1141" spans="2:4" x14ac:dyDescent="0.25">
      <c r="B1141" s="68"/>
      <c r="C1141" s="50"/>
      <c r="D1141" s="15"/>
    </row>
    <row r="1142" spans="2:4" x14ac:dyDescent="0.25">
      <c r="B1142" s="68"/>
      <c r="C1142" s="50"/>
      <c r="D1142" s="15"/>
    </row>
    <row r="1143" spans="2:4" x14ac:dyDescent="0.25">
      <c r="B1143" s="68"/>
      <c r="C1143" s="50"/>
      <c r="D1143" s="15"/>
    </row>
    <row r="1144" spans="2:4" x14ac:dyDescent="0.25">
      <c r="B1144" s="68"/>
      <c r="C1144" s="50"/>
      <c r="D1144" s="15"/>
    </row>
    <row r="1145" spans="2:4" x14ac:dyDescent="0.25">
      <c r="B1145" s="68"/>
      <c r="C1145" s="50"/>
      <c r="D1145" s="15"/>
    </row>
    <row r="1146" spans="2:4" x14ac:dyDescent="0.25">
      <c r="B1146" s="68"/>
      <c r="C1146" s="50"/>
      <c r="D1146" s="15"/>
    </row>
    <row r="1147" spans="2:4" x14ac:dyDescent="0.25">
      <c r="B1147" s="68"/>
      <c r="C1147" s="50"/>
      <c r="D1147" s="15"/>
    </row>
    <row r="1148" spans="2:4" x14ac:dyDescent="0.25">
      <c r="B1148" s="68"/>
      <c r="C1148" s="50"/>
      <c r="D1148" s="15"/>
    </row>
    <row r="1149" spans="2:4" x14ac:dyDescent="0.25">
      <c r="B1149" s="68"/>
      <c r="C1149" s="50"/>
      <c r="D1149" s="15"/>
    </row>
    <row r="1150" spans="2:4" x14ac:dyDescent="0.25">
      <c r="B1150" s="68"/>
      <c r="C1150" s="50"/>
      <c r="D1150" s="15"/>
    </row>
    <row r="1151" spans="2:4" x14ac:dyDescent="0.25">
      <c r="B1151" s="68"/>
      <c r="C1151" s="50"/>
      <c r="D1151" s="15"/>
    </row>
    <row r="1152" spans="2:4" x14ac:dyDescent="0.25">
      <c r="B1152" s="68"/>
      <c r="C1152" s="50"/>
      <c r="D1152" s="15"/>
    </row>
    <row r="1153" spans="2:4" x14ac:dyDescent="0.25">
      <c r="B1153" s="68"/>
      <c r="C1153" s="50"/>
      <c r="D1153" s="15"/>
    </row>
    <row r="1154" spans="2:4" x14ac:dyDescent="0.25">
      <c r="B1154" s="68"/>
      <c r="C1154" s="50"/>
      <c r="D1154" s="15"/>
    </row>
    <row r="1155" spans="2:4" x14ac:dyDescent="0.25">
      <c r="B1155" s="68"/>
      <c r="C1155" s="50"/>
      <c r="D1155" s="15"/>
    </row>
    <row r="1156" spans="2:4" x14ac:dyDescent="0.25">
      <c r="B1156" s="68"/>
      <c r="C1156" s="50"/>
      <c r="D1156" s="15"/>
    </row>
    <row r="1157" spans="2:4" x14ac:dyDescent="0.25">
      <c r="B1157" s="68"/>
      <c r="C1157" s="50"/>
      <c r="D1157" s="15"/>
    </row>
    <row r="1158" spans="2:4" x14ac:dyDescent="0.25">
      <c r="B1158" s="68"/>
      <c r="C1158" s="50"/>
      <c r="D1158" s="15"/>
    </row>
    <row r="1159" spans="2:4" x14ac:dyDescent="0.25">
      <c r="B1159" s="68"/>
      <c r="C1159" s="50"/>
      <c r="D1159" s="15"/>
    </row>
    <row r="1160" spans="2:4" x14ac:dyDescent="0.25">
      <c r="B1160" s="68"/>
      <c r="C1160" s="50"/>
      <c r="D1160" s="15"/>
    </row>
    <row r="1161" spans="2:4" x14ac:dyDescent="0.25">
      <c r="B1161" s="68"/>
      <c r="C1161" s="50"/>
      <c r="D1161" s="15"/>
    </row>
    <row r="1162" spans="2:4" x14ac:dyDescent="0.25">
      <c r="B1162" s="68"/>
      <c r="C1162" s="50"/>
      <c r="D1162" s="15"/>
    </row>
    <row r="1163" spans="2:4" x14ac:dyDescent="0.25">
      <c r="B1163" s="68"/>
      <c r="C1163" s="50"/>
      <c r="D1163" s="15"/>
    </row>
    <row r="1164" spans="2:4" x14ac:dyDescent="0.25">
      <c r="B1164" s="68"/>
      <c r="C1164" s="50"/>
      <c r="D1164" s="15"/>
    </row>
    <row r="1165" spans="2:4" x14ac:dyDescent="0.25">
      <c r="B1165" s="68"/>
      <c r="C1165" s="50"/>
      <c r="D1165" s="15"/>
    </row>
    <row r="1166" spans="2:4" x14ac:dyDescent="0.25">
      <c r="B1166" s="68"/>
      <c r="C1166" s="50"/>
      <c r="D1166" s="15"/>
    </row>
    <row r="1167" spans="2:4" x14ac:dyDescent="0.25">
      <c r="B1167" s="68"/>
      <c r="C1167" s="50"/>
      <c r="D1167" s="15"/>
    </row>
    <row r="1168" spans="2:4" x14ac:dyDescent="0.25">
      <c r="B1168" s="68"/>
      <c r="C1168" s="50"/>
      <c r="D1168" s="15"/>
    </row>
    <row r="1169" spans="2:4" x14ac:dyDescent="0.25">
      <c r="B1169" s="68"/>
      <c r="C1169" s="50"/>
      <c r="D1169" s="15"/>
    </row>
    <row r="1170" spans="2:4" x14ac:dyDescent="0.25">
      <c r="B1170" s="68"/>
      <c r="C1170" s="50"/>
      <c r="D1170" s="15"/>
    </row>
    <row r="1171" spans="2:4" x14ac:dyDescent="0.25">
      <c r="B1171" s="68"/>
      <c r="C1171" s="50"/>
      <c r="D1171" s="15"/>
    </row>
    <row r="1172" spans="2:4" x14ac:dyDescent="0.25">
      <c r="B1172" s="68"/>
      <c r="C1172" s="50"/>
      <c r="D1172" s="15"/>
    </row>
    <row r="1173" spans="2:4" x14ac:dyDescent="0.25">
      <c r="B1173" s="68"/>
      <c r="C1173" s="50"/>
      <c r="D1173" s="15"/>
    </row>
    <row r="1174" spans="2:4" x14ac:dyDescent="0.25">
      <c r="B1174" s="68"/>
      <c r="C1174" s="50"/>
      <c r="D1174" s="15"/>
    </row>
    <row r="1175" spans="2:4" x14ac:dyDescent="0.25">
      <c r="B1175" s="68"/>
      <c r="C1175" s="50"/>
      <c r="D1175" s="15"/>
    </row>
    <row r="1176" spans="2:4" x14ac:dyDescent="0.25">
      <c r="B1176" s="68"/>
      <c r="C1176" s="50"/>
      <c r="D1176" s="15"/>
    </row>
    <row r="1177" spans="2:4" x14ac:dyDescent="0.25">
      <c r="B1177" s="68"/>
      <c r="C1177" s="50"/>
      <c r="D1177" s="15"/>
    </row>
    <row r="1178" spans="2:4" x14ac:dyDescent="0.25">
      <c r="B1178" s="68"/>
      <c r="C1178" s="50"/>
      <c r="D1178" s="15"/>
    </row>
    <row r="1179" spans="2:4" x14ac:dyDescent="0.25">
      <c r="B1179" s="68"/>
      <c r="C1179" s="50"/>
      <c r="D1179" s="15"/>
    </row>
    <row r="1180" spans="2:4" x14ac:dyDescent="0.25">
      <c r="B1180" s="68"/>
      <c r="C1180" s="50"/>
      <c r="D1180" s="15"/>
    </row>
    <row r="1181" spans="2:4" x14ac:dyDescent="0.25">
      <c r="B1181" s="68"/>
      <c r="C1181" s="50"/>
      <c r="D1181" s="15"/>
    </row>
    <row r="1182" spans="2:4" x14ac:dyDescent="0.25">
      <c r="B1182" s="68"/>
      <c r="C1182" s="50"/>
      <c r="D1182" s="15"/>
    </row>
    <row r="1183" spans="2:4" x14ac:dyDescent="0.25">
      <c r="B1183" s="68"/>
      <c r="C1183" s="50"/>
      <c r="D1183" s="15"/>
    </row>
    <row r="1184" spans="2:4" x14ac:dyDescent="0.25">
      <c r="B1184" s="68"/>
      <c r="C1184" s="50"/>
      <c r="D1184" s="15"/>
    </row>
    <row r="1185" spans="2:4" x14ac:dyDescent="0.25">
      <c r="B1185" s="68"/>
      <c r="C1185" s="50"/>
      <c r="D1185" s="15"/>
    </row>
    <row r="1186" spans="2:4" x14ac:dyDescent="0.25">
      <c r="B1186" s="68"/>
      <c r="C1186" s="50"/>
      <c r="D1186" s="15"/>
    </row>
    <row r="1187" spans="2:4" x14ac:dyDescent="0.25">
      <c r="B1187" s="68"/>
      <c r="C1187" s="50"/>
      <c r="D1187" s="15"/>
    </row>
    <row r="1188" spans="2:4" x14ac:dyDescent="0.25">
      <c r="B1188" s="68"/>
      <c r="C1188" s="50"/>
      <c r="D1188" s="15"/>
    </row>
    <row r="1189" spans="2:4" x14ac:dyDescent="0.25">
      <c r="B1189" s="68"/>
      <c r="C1189" s="50"/>
      <c r="D1189" s="15"/>
    </row>
    <row r="1190" spans="2:4" x14ac:dyDescent="0.25">
      <c r="B1190" s="68"/>
      <c r="C1190" s="50"/>
      <c r="D1190" s="15"/>
    </row>
    <row r="1191" spans="2:4" x14ac:dyDescent="0.25">
      <c r="B1191" s="68"/>
      <c r="C1191" s="50"/>
      <c r="D1191" s="15"/>
    </row>
    <row r="1192" spans="2:4" x14ac:dyDescent="0.25">
      <c r="B1192" s="68"/>
      <c r="C1192" s="50"/>
      <c r="D1192" s="15"/>
    </row>
    <row r="1193" spans="2:4" x14ac:dyDescent="0.25">
      <c r="B1193" s="68"/>
      <c r="C1193" s="50"/>
      <c r="D1193" s="15"/>
    </row>
    <row r="1194" spans="2:4" x14ac:dyDescent="0.25">
      <c r="B1194" s="68"/>
      <c r="C1194" s="50"/>
      <c r="D1194" s="15"/>
    </row>
    <row r="1195" spans="2:4" x14ac:dyDescent="0.25">
      <c r="B1195" s="68"/>
      <c r="C1195" s="50"/>
      <c r="D1195" s="15"/>
    </row>
    <row r="1196" spans="2:4" x14ac:dyDescent="0.25">
      <c r="B1196" s="68"/>
      <c r="C1196" s="50"/>
      <c r="D1196" s="15"/>
    </row>
    <row r="1197" spans="2:4" x14ac:dyDescent="0.25">
      <c r="B1197" s="68"/>
      <c r="C1197" s="50"/>
      <c r="D1197" s="15"/>
    </row>
    <row r="1198" spans="2:4" x14ac:dyDescent="0.25">
      <c r="B1198" s="68"/>
      <c r="C1198" s="50"/>
      <c r="D1198" s="15"/>
    </row>
    <row r="1199" spans="2:4" x14ac:dyDescent="0.25">
      <c r="B1199" s="68"/>
      <c r="C1199" s="50"/>
      <c r="D1199" s="15"/>
    </row>
    <row r="1200" spans="2:4" x14ac:dyDescent="0.25">
      <c r="B1200" s="68"/>
      <c r="C1200" s="50"/>
      <c r="D1200" s="15"/>
    </row>
    <row r="1201" spans="2:4" x14ac:dyDescent="0.25">
      <c r="B1201" s="68"/>
      <c r="C1201" s="50"/>
      <c r="D1201" s="15"/>
    </row>
    <row r="1202" spans="2:4" x14ac:dyDescent="0.25">
      <c r="B1202" s="68"/>
      <c r="C1202" s="50"/>
      <c r="D1202" s="15"/>
    </row>
    <row r="1203" spans="2:4" x14ac:dyDescent="0.25">
      <c r="B1203" s="68"/>
      <c r="C1203" s="50"/>
      <c r="D1203" s="15"/>
    </row>
    <row r="1204" spans="2:4" x14ac:dyDescent="0.25">
      <c r="B1204" s="68"/>
      <c r="C1204" s="50"/>
      <c r="D1204" s="15"/>
    </row>
    <row r="1205" spans="2:4" x14ac:dyDescent="0.25">
      <c r="B1205" s="68"/>
      <c r="C1205" s="50"/>
      <c r="D1205" s="15"/>
    </row>
    <row r="1206" spans="2:4" x14ac:dyDescent="0.25">
      <c r="B1206" s="68"/>
      <c r="C1206" s="50"/>
      <c r="D1206" s="15"/>
    </row>
    <row r="1207" spans="2:4" x14ac:dyDescent="0.25">
      <c r="B1207" s="68"/>
      <c r="C1207" s="50"/>
      <c r="D1207" s="15"/>
    </row>
    <row r="1208" spans="2:4" x14ac:dyDescent="0.25">
      <c r="B1208" s="68"/>
      <c r="C1208" s="50"/>
      <c r="D1208" s="15"/>
    </row>
    <row r="1209" spans="2:4" x14ac:dyDescent="0.25">
      <c r="B1209" s="68"/>
      <c r="C1209" s="50"/>
      <c r="D1209" s="15"/>
    </row>
    <row r="1210" spans="2:4" x14ac:dyDescent="0.25">
      <c r="B1210" s="68"/>
      <c r="C1210" s="50"/>
      <c r="D1210" s="15"/>
    </row>
    <row r="1211" spans="2:4" x14ac:dyDescent="0.25">
      <c r="B1211" s="68"/>
      <c r="C1211" s="50"/>
      <c r="D1211" s="15"/>
    </row>
    <row r="1212" spans="2:4" x14ac:dyDescent="0.25">
      <c r="B1212" s="68"/>
      <c r="C1212" s="50"/>
      <c r="D1212" s="15"/>
    </row>
    <row r="1213" spans="2:4" x14ac:dyDescent="0.25">
      <c r="B1213" s="68"/>
      <c r="C1213" s="50"/>
      <c r="D1213" s="15"/>
    </row>
    <row r="1214" spans="2:4" x14ac:dyDescent="0.25">
      <c r="B1214" s="68"/>
      <c r="C1214" s="50"/>
      <c r="D1214" s="15"/>
    </row>
    <row r="1215" spans="2:4" x14ac:dyDescent="0.25">
      <c r="B1215" s="68"/>
      <c r="C1215" s="50"/>
      <c r="D1215" s="15"/>
    </row>
    <row r="1216" spans="2:4" x14ac:dyDescent="0.25">
      <c r="B1216" s="68"/>
      <c r="C1216" s="50"/>
      <c r="D1216" s="15"/>
    </row>
    <row r="1217" spans="2:4" x14ac:dyDescent="0.25">
      <c r="B1217" s="68"/>
      <c r="C1217" s="50"/>
      <c r="D1217" s="15"/>
    </row>
    <row r="1218" spans="2:4" x14ac:dyDescent="0.25">
      <c r="B1218" s="68"/>
      <c r="C1218" s="50"/>
      <c r="D1218" s="15"/>
    </row>
    <row r="1219" spans="2:4" x14ac:dyDescent="0.25">
      <c r="B1219" s="68"/>
      <c r="C1219" s="50"/>
      <c r="D1219" s="15"/>
    </row>
    <row r="1220" spans="2:4" x14ac:dyDescent="0.25">
      <c r="B1220" s="68"/>
      <c r="C1220" s="50"/>
      <c r="D1220" s="15"/>
    </row>
    <row r="1221" spans="2:4" x14ac:dyDescent="0.25">
      <c r="B1221" s="68"/>
      <c r="C1221" s="50"/>
      <c r="D1221" s="15"/>
    </row>
    <row r="1222" spans="2:4" x14ac:dyDescent="0.25">
      <c r="B1222" s="68"/>
      <c r="C1222" s="50"/>
      <c r="D1222" s="15"/>
    </row>
    <row r="1223" spans="2:4" x14ac:dyDescent="0.25">
      <c r="B1223" s="68"/>
      <c r="C1223" s="50"/>
      <c r="D1223" s="15"/>
    </row>
    <row r="1224" spans="2:4" x14ac:dyDescent="0.25">
      <c r="B1224" s="68"/>
      <c r="C1224" s="50"/>
      <c r="D1224" s="15"/>
    </row>
    <row r="1225" spans="2:4" x14ac:dyDescent="0.25">
      <c r="B1225" s="68"/>
      <c r="C1225" s="50"/>
      <c r="D1225" s="15"/>
    </row>
    <row r="1226" spans="2:4" x14ac:dyDescent="0.25">
      <c r="B1226" s="68"/>
      <c r="C1226" s="50"/>
      <c r="D1226" s="15"/>
    </row>
    <row r="1227" spans="2:4" x14ac:dyDescent="0.25">
      <c r="B1227" s="68"/>
      <c r="C1227" s="50"/>
      <c r="D1227" s="15"/>
    </row>
    <row r="1228" spans="2:4" x14ac:dyDescent="0.25">
      <c r="B1228" s="68"/>
      <c r="C1228" s="50"/>
      <c r="D1228" s="15"/>
    </row>
    <row r="1229" spans="2:4" x14ac:dyDescent="0.25">
      <c r="B1229" s="68"/>
      <c r="C1229" s="50"/>
      <c r="D1229" s="15"/>
    </row>
    <row r="1230" spans="2:4" x14ac:dyDescent="0.25">
      <c r="B1230" s="68"/>
      <c r="C1230" s="50"/>
      <c r="D1230" s="15"/>
    </row>
    <row r="1231" spans="2:4" x14ac:dyDescent="0.25">
      <c r="B1231" s="68"/>
      <c r="C1231" s="50"/>
      <c r="D1231" s="15"/>
    </row>
    <row r="1232" spans="2:4" x14ac:dyDescent="0.25">
      <c r="B1232" s="68"/>
      <c r="C1232" s="50"/>
      <c r="D1232" s="15"/>
    </row>
    <row r="1233" spans="2:4" x14ac:dyDescent="0.25">
      <c r="B1233" s="68"/>
      <c r="C1233" s="50"/>
      <c r="D1233" s="15"/>
    </row>
    <row r="1234" spans="2:4" x14ac:dyDescent="0.25">
      <c r="B1234" s="68"/>
      <c r="C1234" s="50"/>
      <c r="D1234" s="15"/>
    </row>
    <row r="1235" spans="2:4" x14ac:dyDescent="0.25">
      <c r="B1235" s="68"/>
      <c r="C1235" s="50"/>
      <c r="D1235" s="15"/>
    </row>
    <row r="1236" spans="2:4" x14ac:dyDescent="0.25">
      <c r="B1236" s="68"/>
      <c r="C1236" s="50"/>
      <c r="D1236" s="15"/>
    </row>
    <row r="1237" spans="2:4" x14ac:dyDescent="0.25">
      <c r="B1237" s="68"/>
      <c r="C1237" s="50"/>
      <c r="D1237" s="15"/>
    </row>
    <row r="1238" spans="2:4" x14ac:dyDescent="0.25">
      <c r="B1238" s="68"/>
      <c r="C1238" s="50"/>
      <c r="D1238" s="15"/>
    </row>
    <row r="1239" spans="2:4" x14ac:dyDescent="0.25">
      <c r="B1239" s="68"/>
      <c r="C1239" s="50"/>
      <c r="D1239" s="15"/>
    </row>
    <row r="1240" spans="2:4" x14ac:dyDescent="0.25">
      <c r="B1240" s="68"/>
      <c r="C1240" s="50"/>
      <c r="D1240" s="15"/>
    </row>
    <row r="1241" spans="2:4" x14ac:dyDescent="0.25">
      <c r="B1241" s="68"/>
      <c r="C1241" s="50"/>
      <c r="D1241" s="15"/>
    </row>
    <row r="1242" spans="2:4" x14ac:dyDescent="0.25">
      <c r="B1242" s="68"/>
      <c r="C1242" s="50"/>
      <c r="D1242" s="15"/>
    </row>
    <row r="1243" spans="2:4" x14ac:dyDescent="0.25">
      <c r="B1243" s="68"/>
      <c r="C1243" s="50"/>
      <c r="D1243" s="15"/>
    </row>
    <row r="1244" spans="2:4" x14ac:dyDescent="0.25">
      <c r="B1244" s="68"/>
      <c r="C1244" s="50"/>
      <c r="D1244" s="15"/>
    </row>
    <row r="1245" spans="2:4" x14ac:dyDescent="0.25">
      <c r="B1245" s="68"/>
      <c r="C1245" s="50"/>
      <c r="D1245" s="15"/>
    </row>
    <row r="1246" spans="2:4" x14ac:dyDescent="0.25">
      <c r="B1246" s="68"/>
      <c r="C1246" s="50"/>
      <c r="D1246" s="15"/>
    </row>
    <row r="1247" spans="2:4" x14ac:dyDescent="0.25">
      <c r="B1247" s="68"/>
      <c r="C1247" s="50"/>
      <c r="D1247" s="15"/>
    </row>
    <row r="1248" spans="2:4" x14ac:dyDescent="0.25">
      <c r="B1248" s="68"/>
      <c r="C1248" s="50"/>
      <c r="D1248" s="15"/>
    </row>
    <row r="1249" spans="2:4" x14ac:dyDescent="0.25">
      <c r="B1249" s="68"/>
      <c r="C1249" s="50"/>
      <c r="D1249" s="15"/>
    </row>
    <row r="1250" spans="2:4" x14ac:dyDescent="0.25">
      <c r="B1250" s="68"/>
      <c r="C1250" s="50"/>
      <c r="D1250" s="15"/>
    </row>
    <row r="1251" spans="2:4" x14ac:dyDescent="0.25">
      <c r="B1251" s="68"/>
      <c r="C1251" s="50"/>
      <c r="D1251" s="15"/>
    </row>
    <row r="1252" spans="2:4" x14ac:dyDescent="0.25">
      <c r="B1252" s="68"/>
      <c r="C1252" s="50"/>
      <c r="D1252" s="15"/>
    </row>
    <row r="1253" spans="2:4" x14ac:dyDescent="0.25">
      <c r="B1253" s="68"/>
      <c r="C1253" s="50"/>
      <c r="D1253" s="15"/>
    </row>
    <row r="1254" spans="2:4" x14ac:dyDescent="0.25">
      <c r="B1254" s="68"/>
      <c r="C1254" s="50"/>
      <c r="D1254" s="15"/>
    </row>
    <row r="1255" spans="2:4" x14ac:dyDescent="0.25">
      <c r="B1255" s="68"/>
      <c r="C1255" s="50"/>
      <c r="D1255" s="15"/>
    </row>
    <row r="1256" spans="2:4" x14ac:dyDescent="0.25">
      <c r="B1256" s="68"/>
      <c r="C1256" s="50"/>
      <c r="D1256" s="15"/>
    </row>
    <row r="1257" spans="2:4" x14ac:dyDescent="0.25">
      <c r="B1257" s="68"/>
      <c r="C1257" s="50"/>
      <c r="D1257" s="15"/>
    </row>
    <row r="1258" spans="2:4" x14ac:dyDescent="0.25">
      <c r="B1258" s="68"/>
      <c r="C1258" s="50"/>
      <c r="D1258" s="15"/>
    </row>
    <row r="1259" spans="2:4" x14ac:dyDescent="0.25">
      <c r="B1259" s="68"/>
      <c r="C1259" s="50"/>
      <c r="D1259" s="15"/>
    </row>
    <row r="1260" spans="2:4" x14ac:dyDescent="0.25">
      <c r="B1260" s="68"/>
      <c r="C1260" s="50"/>
      <c r="D1260" s="15"/>
    </row>
    <row r="1261" spans="2:4" x14ac:dyDescent="0.25">
      <c r="B1261" s="68"/>
      <c r="C1261" s="50"/>
      <c r="D1261" s="15"/>
    </row>
    <row r="1262" spans="2:4" x14ac:dyDescent="0.25">
      <c r="B1262" s="68"/>
      <c r="C1262" s="50"/>
      <c r="D1262" s="15"/>
    </row>
    <row r="1263" spans="2:4" x14ac:dyDescent="0.25">
      <c r="B1263" s="68"/>
      <c r="C1263" s="50"/>
      <c r="D1263" s="15"/>
    </row>
    <row r="1264" spans="2:4" x14ac:dyDescent="0.25">
      <c r="B1264" s="68"/>
      <c r="C1264" s="50"/>
      <c r="D1264" s="15"/>
    </row>
    <row r="1265" spans="2:4" x14ac:dyDescent="0.25">
      <c r="B1265" s="68"/>
      <c r="C1265" s="50"/>
      <c r="D1265" s="15"/>
    </row>
    <row r="1266" spans="2:4" x14ac:dyDescent="0.25">
      <c r="B1266" s="68"/>
      <c r="C1266" s="50"/>
      <c r="D1266" s="15"/>
    </row>
    <row r="1267" spans="2:4" x14ac:dyDescent="0.25">
      <c r="B1267" s="68"/>
      <c r="C1267" s="50"/>
      <c r="D1267" s="15"/>
    </row>
    <row r="1268" spans="2:4" x14ac:dyDescent="0.25">
      <c r="B1268" s="68"/>
      <c r="C1268" s="50"/>
      <c r="D1268" s="15"/>
    </row>
    <row r="1269" spans="2:4" x14ac:dyDescent="0.25">
      <c r="B1269" s="68"/>
      <c r="C1269" s="50"/>
      <c r="D1269" s="15"/>
    </row>
    <row r="1270" spans="2:4" x14ac:dyDescent="0.25">
      <c r="B1270" s="68"/>
      <c r="C1270" s="50"/>
      <c r="D1270" s="15"/>
    </row>
    <row r="1271" spans="2:4" x14ac:dyDescent="0.25">
      <c r="B1271" s="68"/>
      <c r="C1271" s="50"/>
      <c r="D1271" s="15"/>
    </row>
    <row r="1272" spans="2:4" x14ac:dyDescent="0.25">
      <c r="B1272" s="68"/>
      <c r="C1272" s="50"/>
      <c r="D1272" s="15"/>
    </row>
    <row r="1273" spans="2:4" x14ac:dyDescent="0.25">
      <c r="B1273" s="68"/>
      <c r="C1273" s="50"/>
      <c r="D1273" s="15"/>
    </row>
    <row r="1274" spans="2:4" x14ac:dyDescent="0.25">
      <c r="B1274" s="68"/>
      <c r="C1274" s="50"/>
      <c r="D1274" s="15"/>
    </row>
    <row r="1275" spans="2:4" x14ac:dyDescent="0.25">
      <c r="B1275" s="68"/>
      <c r="C1275" s="50"/>
      <c r="D1275" s="15"/>
    </row>
    <row r="1276" spans="2:4" x14ac:dyDescent="0.25">
      <c r="B1276" s="68"/>
      <c r="C1276" s="50"/>
      <c r="D1276" s="15"/>
    </row>
    <row r="1277" spans="2:4" x14ac:dyDescent="0.25">
      <c r="B1277" s="68"/>
      <c r="C1277" s="50"/>
      <c r="D1277" s="15"/>
    </row>
    <row r="1278" spans="2:4" x14ac:dyDescent="0.25">
      <c r="B1278" s="68"/>
      <c r="C1278" s="50"/>
      <c r="D1278" s="15"/>
    </row>
    <row r="1279" spans="2:4" x14ac:dyDescent="0.25">
      <c r="B1279" s="68"/>
      <c r="C1279" s="50"/>
      <c r="D1279" s="15"/>
    </row>
    <row r="1280" spans="2:4" x14ac:dyDescent="0.25">
      <c r="B1280" s="68"/>
      <c r="C1280" s="50"/>
      <c r="D1280" s="15"/>
    </row>
    <row r="1281" spans="2:4" x14ac:dyDescent="0.25">
      <c r="B1281" s="68"/>
      <c r="C1281" s="50"/>
      <c r="D1281" s="15"/>
    </row>
    <row r="1282" spans="2:4" x14ac:dyDescent="0.25">
      <c r="B1282" s="68"/>
      <c r="C1282" s="50"/>
      <c r="D1282" s="15"/>
    </row>
    <row r="1283" spans="2:4" x14ac:dyDescent="0.25">
      <c r="B1283" s="68"/>
      <c r="C1283" s="50"/>
      <c r="D1283" s="15"/>
    </row>
    <row r="1284" spans="2:4" x14ac:dyDescent="0.25">
      <c r="B1284" s="68"/>
      <c r="C1284" s="50"/>
      <c r="D1284" s="15"/>
    </row>
    <row r="1285" spans="2:4" x14ac:dyDescent="0.25">
      <c r="B1285" s="68"/>
      <c r="C1285" s="50"/>
      <c r="D1285" s="15"/>
    </row>
    <row r="1286" spans="2:4" x14ac:dyDescent="0.25">
      <c r="B1286" s="68"/>
      <c r="C1286" s="50"/>
      <c r="D1286" s="15"/>
    </row>
    <row r="1287" spans="2:4" x14ac:dyDescent="0.25">
      <c r="B1287" s="68"/>
      <c r="C1287" s="50"/>
      <c r="D1287" s="15"/>
    </row>
    <row r="1288" spans="2:4" x14ac:dyDescent="0.25">
      <c r="B1288" s="68"/>
      <c r="C1288" s="50"/>
      <c r="D1288" s="15"/>
    </row>
    <row r="1289" spans="2:4" x14ac:dyDescent="0.25">
      <c r="B1289" s="68"/>
      <c r="C1289" s="50"/>
      <c r="D1289" s="15"/>
    </row>
    <row r="1290" spans="2:4" x14ac:dyDescent="0.25">
      <c r="B1290" s="68"/>
      <c r="C1290" s="50"/>
      <c r="D1290" s="15"/>
    </row>
    <row r="1291" spans="2:4" x14ac:dyDescent="0.25">
      <c r="B1291" s="68"/>
      <c r="C1291" s="50"/>
      <c r="D1291" s="15"/>
    </row>
    <row r="1292" spans="2:4" x14ac:dyDescent="0.25">
      <c r="B1292" s="68"/>
      <c r="C1292" s="50"/>
      <c r="D1292" s="15"/>
    </row>
    <row r="1293" spans="2:4" x14ac:dyDescent="0.25">
      <c r="B1293" s="68"/>
      <c r="C1293" s="50"/>
      <c r="D1293" s="15"/>
    </row>
    <row r="1294" spans="2:4" x14ac:dyDescent="0.25">
      <c r="B1294" s="68"/>
      <c r="C1294" s="50"/>
      <c r="D1294" s="15"/>
    </row>
    <row r="1295" spans="2:4" x14ac:dyDescent="0.25">
      <c r="B1295" s="68"/>
      <c r="C1295" s="50"/>
      <c r="D1295" s="15"/>
    </row>
    <row r="1296" spans="2:4" x14ac:dyDescent="0.25">
      <c r="B1296" s="68"/>
      <c r="C1296" s="50"/>
      <c r="D1296" s="15"/>
    </row>
    <row r="1297" spans="2:4" x14ac:dyDescent="0.25">
      <c r="B1297" s="68"/>
      <c r="C1297" s="50"/>
      <c r="D1297" s="15"/>
    </row>
    <row r="1298" spans="2:4" x14ac:dyDescent="0.25">
      <c r="B1298" s="68"/>
      <c r="C1298" s="50"/>
      <c r="D1298" s="15"/>
    </row>
    <row r="1299" spans="2:4" x14ac:dyDescent="0.25">
      <c r="B1299" s="68"/>
      <c r="C1299" s="50"/>
      <c r="D1299" s="15"/>
    </row>
    <row r="1300" spans="2:4" x14ac:dyDescent="0.25">
      <c r="B1300" s="68"/>
      <c r="C1300" s="50"/>
      <c r="D1300" s="15"/>
    </row>
    <row r="1301" spans="2:4" x14ac:dyDescent="0.25">
      <c r="B1301" s="68"/>
      <c r="C1301" s="50"/>
      <c r="D1301" s="15"/>
    </row>
    <row r="1302" spans="2:4" x14ac:dyDescent="0.25">
      <c r="B1302" s="68"/>
      <c r="C1302" s="50"/>
      <c r="D1302" s="15"/>
    </row>
    <row r="1303" spans="2:4" x14ac:dyDescent="0.25">
      <c r="B1303" s="68"/>
      <c r="C1303" s="50"/>
      <c r="D1303" s="15"/>
    </row>
    <row r="1304" spans="2:4" x14ac:dyDescent="0.25">
      <c r="B1304" s="68"/>
      <c r="C1304" s="50"/>
      <c r="D1304" s="15"/>
    </row>
    <row r="1305" spans="2:4" x14ac:dyDescent="0.25">
      <c r="B1305" s="68"/>
      <c r="C1305" s="50"/>
      <c r="D1305" s="15"/>
    </row>
    <row r="1306" spans="2:4" x14ac:dyDescent="0.25">
      <c r="B1306" s="68"/>
      <c r="C1306" s="50"/>
      <c r="D1306" s="15"/>
    </row>
    <row r="1307" spans="2:4" x14ac:dyDescent="0.25">
      <c r="B1307" s="68"/>
      <c r="C1307" s="50"/>
      <c r="D1307" s="15"/>
    </row>
    <row r="1308" spans="2:4" x14ac:dyDescent="0.25">
      <c r="B1308" s="68"/>
      <c r="C1308" s="50"/>
      <c r="D1308" s="15"/>
    </row>
    <row r="1309" spans="2:4" x14ac:dyDescent="0.25">
      <c r="B1309" s="68"/>
      <c r="C1309" s="50"/>
      <c r="D1309" s="15"/>
    </row>
    <row r="1310" spans="2:4" x14ac:dyDescent="0.25">
      <c r="B1310" s="68"/>
      <c r="C1310" s="50"/>
      <c r="D1310" s="15"/>
    </row>
    <row r="1311" spans="2:4" x14ac:dyDescent="0.25">
      <c r="B1311" s="68"/>
      <c r="C1311" s="50"/>
      <c r="D1311" s="15"/>
    </row>
    <row r="1312" spans="2:4" x14ac:dyDescent="0.25">
      <c r="B1312" s="68"/>
      <c r="C1312" s="50"/>
      <c r="D1312" s="15"/>
    </row>
    <row r="1313" spans="2:4" x14ac:dyDescent="0.25">
      <c r="B1313" s="68"/>
      <c r="C1313" s="50"/>
      <c r="D1313" s="15"/>
    </row>
    <row r="1314" spans="2:4" x14ac:dyDescent="0.25">
      <c r="B1314" s="68"/>
      <c r="C1314" s="50"/>
      <c r="D1314" s="15"/>
    </row>
    <row r="1315" spans="2:4" x14ac:dyDescent="0.25">
      <c r="B1315" s="68"/>
      <c r="C1315" s="50"/>
      <c r="D1315" s="15"/>
    </row>
    <row r="1316" spans="2:4" x14ac:dyDescent="0.25">
      <c r="B1316" s="68"/>
      <c r="C1316" s="50"/>
      <c r="D1316" s="15"/>
    </row>
    <row r="1317" spans="2:4" x14ac:dyDescent="0.25">
      <c r="B1317" s="68"/>
      <c r="C1317" s="50"/>
      <c r="D1317" s="15"/>
    </row>
    <row r="1318" spans="2:4" x14ac:dyDescent="0.25">
      <c r="B1318" s="68"/>
      <c r="C1318" s="50"/>
      <c r="D1318" s="15"/>
    </row>
    <row r="1319" spans="2:4" x14ac:dyDescent="0.25">
      <c r="B1319" s="68"/>
      <c r="C1319" s="50"/>
      <c r="D1319" s="15"/>
    </row>
    <row r="1320" spans="2:4" x14ac:dyDescent="0.25">
      <c r="B1320" s="68"/>
      <c r="C1320" s="50"/>
      <c r="D1320" s="15"/>
    </row>
    <row r="1321" spans="2:4" x14ac:dyDescent="0.25">
      <c r="B1321" s="68"/>
      <c r="C1321" s="50"/>
      <c r="D1321" s="15"/>
    </row>
    <row r="1322" spans="2:4" x14ac:dyDescent="0.25">
      <c r="B1322" s="68"/>
      <c r="C1322" s="50"/>
      <c r="D1322" s="15"/>
    </row>
    <row r="1323" spans="2:4" x14ac:dyDescent="0.25">
      <c r="B1323" s="68"/>
      <c r="C1323" s="50"/>
      <c r="D1323" s="15"/>
    </row>
    <row r="1324" spans="2:4" x14ac:dyDescent="0.25">
      <c r="B1324" s="68"/>
      <c r="C1324" s="50"/>
      <c r="D1324" s="15"/>
    </row>
    <row r="1325" spans="2:4" x14ac:dyDescent="0.25">
      <c r="B1325" s="68"/>
      <c r="C1325" s="50"/>
      <c r="D1325" s="15"/>
    </row>
    <row r="1326" spans="2:4" x14ac:dyDescent="0.25">
      <c r="B1326" s="68"/>
      <c r="C1326" s="50"/>
      <c r="D1326" s="15"/>
    </row>
    <row r="1327" spans="2:4" x14ac:dyDescent="0.25">
      <c r="B1327" s="68"/>
      <c r="C1327" s="50"/>
      <c r="D1327" s="15"/>
    </row>
    <row r="1328" spans="2:4" x14ac:dyDescent="0.25">
      <c r="B1328" s="68"/>
      <c r="C1328" s="50"/>
      <c r="D1328" s="15"/>
    </row>
    <row r="1329" spans="2:4" x14ac:dyDescent="0.25">
      <c r="B1329" s="68"/>
      <c r="C1329" s="50"/>
      <c r="D1329" s="15"/>
    </row>
    <row r="1330" spans="2:4" x14ac:dyDescent="0.25">
      <c r="B1330" s="68"/>
      <c r="C1330" s="50"/>
      <c r="D1330" s="15"/>
    </row>
    <row r="1331" spans="2:4" x14ac:dyDescent="0.25">
      <c r="B1331" s="68"/>
      <c r="C1331" s="50"/>
      <c r="D1331" s="15"/>
    </row>
    <row r="1332" spans="2:4" x14ac:dyDescent="0.25">
      <c r="B1332" s="68"/>
      <c r="C1332" s="50"/>
      <c r="D1332" s="15"/>
    </row>
    <row r="1333" spans="2:4" x14ac:dyDescent="0.25">
      <c r="B1333" s="68"/>
      <c r="C1333" s="50"/>
      <c r="D1333" s="15"/>
    </row>
    <row r="1334" spans="2:4" x14ac:dyDescent="0.25">
      <c r="B1334" s="68"/>
      <c r="C1334" s="50"/>
      <c r="D1334" s="15"/>
    </row>
    <row r="1335" spans="2:4" x14ac:dyDescent="0.25">
      <c r="B1335" s="68"/>
      <c r="C1335" s="50"/>
      <c r="D1335" s="15"/>
    </row>
    <row r="1336" spans="2:4" x14ac:dyDescent="0.25">
      <c r="B1336" s="68"/>
      <c r="C1336" s="50"/>
      <c r="D1336" s="15"/>
    </row>
    <row r="1337" spans="2:4" x14ac:dyDescent="0.25">
      <c r="B1337" s="68"/>
      <c r="C1337" s="50"/>
      <c r="D1337" s="15"/>
    </row>
    <row r="1338" spans="2:4" x14ac:dyDescent="0.25">
      <c r="B1338" s="68"/>
      <c r="C1338" s="50"/>
      <c r="D1338" s="15"/>
    </row>
    <row r="1339" spans="2:4" x14ac:dyDescent="0.25">
      <c r="B1339" s="68"/>
      <c r="C1339" s="50"/>
      <c r="D1339" s="15"/>
    </row>
    <row r="1340" spans="2:4" x14ac:dyDescent="0.25">
      <c r="B1340" s="68"/>
      <c r="C1340" s="50"/>
      <c r="D1340" s="15"/>
    </row>
    <row r="1341" spans="2:4" x14ac:dyDescent="0.25">
      <c r="B1341" s="68"/>
      <c r="C1341" s="50"/>
      <c r="D1341" s="15"/>
    </row>
    <row r="1342" spans="2:4" x14ac:dyDescent="0.25">
      <c r="B1342" s="68"/>
      <c r="C1342" s="50"/>
      <c r="D1342" s="15"/>
    </row>
    <row r="1343" spans="2:4" x14ac:dyDescent="0.25">
      <c r="B1343" s="68"/>
      <c r="C1343" s="50"/>
      <c r="D1343" s="15"/>
    </row>
    <row r="1344" spans="2:4" x14ac:dyDescent="0.25">
      <c r="B1344" s="68"/>
      <c r="C1344" s="50"/>
      <c r="D1344" s="15"/>
    </row>
    <row r="1345" spans="2:4" x14ac:dyDescent="0.25">
      <c r="B1345" s="68"/>
      <c r="C1345" s="50"/>
      <c r="D1345" s="15"/>
    </row>
    <row r="1346" spans="2:4" x14ac:dyDescent="0.25">
      <c r="B1346" s="68"/>
      <c r="C1346" s="50"/>
      <c r="D1346" s="15"/>
    </row>
    <row r="1347" spans="2:4" x14ac:dyDescent="0.25">
      <c r="B1347" s="68"/>
      <c r="C1347" s="50"/>
      <c r="D1347" s="15"/>
    </row>
    <row r="1348" spans="2:4" x14ac:dyDescent="0.25">
      <c r="B1348" s="68"/>
      <c r="C1348" s="50"/>
      <c r="D1348" s="15"/>
    </row>
    <row r="1349" spans="2:4" x14ac:dyDescent="0.25">
      <c r="B1349" s="68"/>
      <c r="C1349" s="50"/>
      <c r="D1349" s="15"/>
    </row>
    <row r="1350" spans="2:4" x14ac:dyDescent="0.25">
      <c r="B1350" s="68"/>
      <c r="C1350" s="50"/>
      <c r="D1350" s="15"/>
    </row>
    <row r="1351" spans="2:4" x14ac:dyDescent="0.25">
      <c r="B1351" s="68"/>
      <c r="C1351" s="50"/>
      <c r="D1351" s="15"/>
    </row>
    <row r="1352" spans="2:4" x14ac:dyDescent="0.25">
      <c r="B1352" s="68"/>
      <c r="C1352" s="50"/>
      <c r="D1352" s="15"/>
    </row>
    <row r="1353" spans="2:4" x14ac:dyDescent="0.25">
      <c r="B1353" s="68"/>
      <c r="C1353" s="50"/>
      <c r="D1353" s="15"/>
    </row>
    <row r="1354" spans="2:4" x14ac:dyDescent="0.25">
      <c r="B1354" s="68"/>
      <c r="C1354" s="50"/>
      <c r="D1354" s="15"/>
    </row>
    <row r="1355" spans="2:4" x14ac:dyDescent="0.25">
      <c r="B1355" s="68"/>
      <c r="C1355" s="50"/>
      <c r="D1355" s="15"/>
    </row>
    <row r="1356" spans="2:4" x14ac:dyDescent="0.25">
      <c r="B1356" s="68"/>
      <c r="C1356" s="50"/>
      <c r="D1356" s="15"/>
    </row>
    <row r="1357" spans="2:4" x14ac:dyDescent="0.25">
      <c r="B1357" s="68"/>
      <c r="C1357" s="50"/>
      <c r="D1357" s="15"/>
    </row>
    <row r="1358" spans="2:4" x14ac:dyDescent="0.25">
      <c r="B1358" s="68"/>
      <c r="C1358" s="50"/>
      <c r="D1358" s="15"/>
    </row>
    <row r="1359" spans="2:4" x14ac:dyDescent="0.25">
      <c r="B1359" s="68"/>
      <c r="C1359" s="50"/>
      <c r="D1359" s="15"/>
    </row>
    <row r="1360" spans="2:4" x14ac:dyDescent="0.25">
      <c r="B1360" s="68"/>
      <c r="C1360" s="50"/>
      <c r="D1360" s="15"/>
    </row>
    <row r="1361" spans="2:4" x14ac:dyDescent="0.25">
      <c r="B1361" s="68"/>
      <c r="C1361" s="50"/>
      <c r="D1361" s="15"/>
    </row>
    <row r="1362" spans="2:4" x14ac:dyDescent="0.25">
      <c r="B1362" s="68"/>
      <c r="C1362" s="50"/>
      <c r="D1362" s="15"/>
    </row>
    <row r="1363" spans="2:4" x14ac:dyDescent="0.25">
      <c r="B1363" s="68"/>
      <c r="C1363" s="50"/>
      <c r="D1363" s="15"/>
    </row>
    <row r="1364" spans="2:4" x14ac:dyDescent="0.25">
      <c r="B1364" s="68"/>
      <c r="C1364" s="50"/>
      <c r="D1364" s="15"/>
    </row>
    <row r="1365" spans="2:4" x14ac:dyDescent="0.25">
      <c r="B1365" s="68"/>
      <c r="C1365" s="50"/>
      <c r="D1365" s="15"/>
    </row>
    <row r="1366" spans="2:4" x14ac:dyDescent="0.25">
      <c r="B1366" s="68"/>
      <c r="C1366" s="50"/>
      <c r="D1366" s="15"/>
    </row>
    <row r="1367" spans="2:4" x14ac:dyDescent="0.25">
      <c r="B1367" s="68"/>
      <c r="C1367" s="50"/>
      <c r="D1367" s="15"/>
    </row>
    <row r="1368" spans="2:4" x14ac:dyDescent="0.25">
      <c r="B1368" s="68"/>
      <c r="C1368" s="50"/>
      <c r="D1368" s="15"/>
    </row>
    <row r="1369" spans="2:4" x14ac:dyDescent="0.25">
      <c r="B1369" s="68"/>
      <c r="C1369" s="50"/>
      <c r="D1369" s="15"/>
    </row>
    <row r="1370" spans="2:4" x14ac:dyDescent="0.25">
      <c r="B1370" s="68"/>
      <c r="C1370" s="50"/>
      <c r="D1370" s="15"/>
    </row>
    <row r="1371" spans="2:4" x14ac:dyDescent="0.25">
      <c r="B1371" s="68"/>
      <c r="C1371" s="50"/>
      <c r="D1371" s="15"/>
    </row>
    <row r="1372" spans="2:4" x14ac:dyDescent="0.25">
      <c r="B1372" s="68"/>
      <c r="C1372" s="50"/>
      <c r="D1372" s="15"/>
    </row>
    <row r="1373" spans="2:4" x14ac:dyDescent="0.25">
      <c r="B1373" s="68"/>
      <c r="C1373" s="50"/>
      <c r="D1373" s="15"/>
    </row>
    <row r="1374" spans="2:4" x14ac:dyDescent="0.25">
      <c r="B1374" s="68"/>
      <c r="C1374" s="50"/>
      <c r="D1374" s="15"/>
    </row>
    <row r="1375" spans="2:4" x14ac:dyDescent="0.25">
      <c r="B1375" s="68"/>
      <c r="C1375" s="50"/>
      <c r="D1375" s="15"/>
    </row>
    <row r="1376" spans="2:4" x14ac:dyDescent="0.25">
      <c r="B1376" s="68"/>
      <c r="C1376" s="50"/>
      <c r="D1376" s="15"/>
    </row>
    <row r="1377" spans="2:4" x14ac:dyDescent="0.25">
      <c r="B1377" s="68"/>
      <c r="C1377" s="50"/>
      <c r="D1377" s="15"/>
    </row>
    <row r="1378" spans="2:4" x14ac:dyDescent="0.25">
      <c r="B1378" s="68"/>
      <c r="C1378" s="50"/>
      <c r="D1378" s="15"/>
    </row>
    <row r="1379" spans="2:4" x14ac:dyDescent="0.25">
      <c r="B1379" s="68"/>
      <c r="C1379" s="50"/>
      <c r="D1379" s="15"/>
    </row>
    <row r="1380" spans="2:4" x14ac:dyDescent="0.25">
      <c r="B1380" s="68"/>
      <c r="C1380" s="50"/>
      <c r="D1380" s="15"/>
    </row>
    <row r="1381" spans="2:4" x14ac:dyDescent="0.25">
      <c r="B1381" s="68"/>
      <c r="C1381" s="50"/>
      <c r="D1381" s="15"/>
    </row>
    <row r="1382" spans="2:4" x14ac:dyDescent="0.25">
      <c r="B1382" s="68"/>
      <c r="C1382" s="50"/>
      <c r="D1382" s="15"/>
    </row>
    <row r="1383" spans="2:4" x14ac:dyDescent="0.25">
      <c r="B1383" s="68"/>
      <c r="C1383" s="50"/>
      <c r="D1383" s="15"/>
    </row>
    <row r="1384" spans="2:4" x14ac:dyDescent="0.25">
      <c r="B1384" s="68"/>
      <c r="C1384" s="50"/>
      <c r="D1384" s="15"/>
    </row>
    <row r="1385" spans="2:4" x14ac:dyDescent="0.25">
      <c r="B1385" s="68"/>
      <c r="C1385" s="50"/>
      <c r="D1385" s="15"/>
    </row>
    <row r="1386" spans="2:4" x14ac:dyDescent="0.25">
      <c r="B1386" s="68"/>
      <c r="C1386" s="50"/>
      <c r="D1386" s="15"/>
    </row>
    <row r="1387" spans="2:4" x14ac:dyDescent="0.25">
      <c r="B1387" s="68"/>
      <c r="C1387" s="50"/>
      <c r="D1387" s="15"/>
    </row>
    <row r="1388" spans="2:4" x14ac:dyDescent="0.25">
      <c r="B1388" s="68"/>
      <c r="C1388" s="50"/>
      <c r="D1388" s="15"/>
    </row>
    <row r="1389" spans="2:4" x14ac:dyDescent="0.25">
      <c r="B1389" s="68"/>
      <c r="C1389" s="50"/>
      <c r="D1389" s="15"/>
    </row>
    <row r="1390" spans="2:4" x14ac:dyDescent="0.25">
      <c r="B1390" s="68"/>
      <c r="C1390" s="50"/>
      <c r="D1390" s="15"/>
    </row>
    <row r="1391" spans="2:4" x14ac:dyDescent="0.25">
      <c r="B1391" s="68"/>
      <c r="C1391" s="50"/>
      <c r="D1391" s="15"/>
    </row>
    <row r="1392" spans="2:4" x14ac:dyDescent="0.25">
      <c r="B1392" s="68"/>
      <c r="C1392" s="50"/>
      <c r="D1392" s="15"/>
    </row>
    <row r="1393" spans="2:4" x14ac:dyDescent="0.25">
      <c r="B1393" s="68"/>
      <c r="C1393" s="50"/>
      <c r="D1393" s="15"/>
    </row>
    <row r="1394" spans="2:4" x14ac:dyDescent="0.25">
      <c r="B1394" s="68"/>
      <c r="C1394" s="50"/>
      <c r="D1394" s="15"/>
    </row>
    <row r="1395" spans="2:4" x14ac:dyDescent="0.25">
      <c r="B1395" s="68"/>
      <c r="C1395" s="50"/>
      <c r="D1395" s="15"/>
    </row>
    <row r="1396" spans="2:4" x14ac:dyDescent="0.25">
      <c r="B1396" s="68"/>
      <c r="C1396" s="50"/>
      <c r="D1396" s="15"/>
    </row>
    <row r="1397" spans="2:4" x14ac:dyDescent="0.25">
      <c r="B1397" s="68"/>
      <c r="C1397" s="50"/>
      <c r="D1397" s="15"/>
    </row>
    <row r="1398" spans="2:4" x14ac:dyDescent="0.25">
      <c r="B1398" s="68"/>
      <c r="C1398" s="50"/>
      <c r="D1398" s="15"/>
    </row>
    <row r="1399" spans="2:4" x14ac:dyDescent="0.25">
      <c r="B1399" s="68"/>
      <c r="C1399" s="50"/>
      <c r="D1399" s="15"/>
    </row>
    <row r="1400" spans="2:4" x14ac:dyDescent="0.25">
      <c r="B1400" s="68"/>
      <c r="C1400" s="50"/>
      <c r="D1400" s="15"/>
    </row>
    <row r="1401" spans="2:4" x14ac:dyDescent="0.25">
      <c r="B1401" s="68"/>
      <c r="C1401" s="50"/>
      <c r="D1401" s="15"/>
    </row>
    <row r="1402" spans="2:4" x14ac:dyDescent="0.25">
      <c r="B1402" s="68"/>
      <c r="C1402" s="50"/>
      <c r="D1402" s="15"/>
    </row>
    <row r="1403" spans="2:4" x14ac:dyDescent="0.25">
      <c r="B1403" s="68"/>
      <c r="C1403" s="50"/>
      <c r="D1403" s="15"/>
    </row>
    <row r="1404" spans="2:4" x14ac:dyDescent="0.25">
      <c r="B1404" s="68"/>
      <c r="C1404" s="50"/>
      <c r="D1404" s="15"/>
    </row>
    <row r="1405" spans="2:4" x14ac:dyDescent="0.25">
      <c r="B1405" s="68"/>
      <c r="C1405" s="50"/>
      <c r="D1405" s="15"/>
    </row>
    <row r="1406" spans="2:4" x14ac:dyDescent="0.25">
      <c r="B1406" s="68"/>
      <c r="C1406" s="50"/>
      <c r="D1406" s="15"/>
    </row>
    <row r="1407" spans="2:4" x14ac:dyDescent="0.25">
      <c r="B1407" s="68"/>
      <c r="C1407" s="50"/>
      <c r="D1407" s="15"/>
    </row>
    <row r="1408" spans="2:4" x14ac:dyDescent="0.25">
      <c r="B1408" s="68"/>
      <c r="C1408" s="50"/>
      <c r="D1408" s="15"/>
    </row>
    <row r="1409" spans="2:4" x14ac:dyDescent="0.25">
      <c r="B1409" s="68"/>
      <c r="C1409" s="50"/>
      <c r="D1409" s="15"/>
    </row>
    <row r="1410" spans="2:4" x14ac:dyDescent="0.25">
      <c r="B1410" s="68"/>
      <c r="C1410" s="50"/>
      <c r="D1410" s="15"/>
    </row>
    <row r="1411" spans="2:4" x14ac:dyDescent="0.25">
      <c r="B1411" s="68"/>
      <c r="C1411" s="50"/>
      <c r="D1411" s="15"/>
    </row>
    <row r="1412" spans="2:4" x14ac:dyDescent="0.25">
      <c r="B1412" s="68"/>
      <c r="C1412" s="50"/>
      <c r="D1412" s="15"/>
    </row>
    <row r="1413" spans="2:4" x14ac:dyDescent="0.25">
      <c r="B1413" s="68"/>
      <c r="C1413" s="50"/>
      <c r="D1413" s="15"/>
    </row>
    <row r="1414" spans="2:4" x14ac:dyDescent="0.25">
      <c r="B1414" s="68"/>
      <c r="C1414" s="50"/>
      <c r="D1414" s="15"/>
    </row>
    <row r="1415" spans="2:4" x14ac:dyDescent="0.25">
      <c r="B1415" s="68"/>
      <c r="C1415" s="50"/>
      <c r="D1415" s="15"/>
    </row>
    <row r="1416" spans="2:4" x14ac:dyDescent="0.25">
      <c r="B1416" s="68"/>
      <c r="C1416" s="50"/>
      <c r="D1416" s="15"/>
    </row>
    <row r="1417" spans="2:4" x14ac:dyDescent="0.25">
      <c r="B1417" s="68"/>
      <c r="C1417" s="50"/>
      <c r="D1417" s="15"/>
    </row>
    <row r="1418" spans="2:4" x14ac:dyDescent="0.25">
      <c r="B1418" s="68"/>
      <c r="C1418" s="50"/>
      <c r="D1418" s="15"/>
    </row>
    <row r="1419" spans="2:4" x14ac:dyDescent="0.25">
      <c r="B1419" s="68"/>
      <c r="C1419" s="50"/>
      <c r="D1419" s="15"/>
    </row>
    <row r="1420" spans="2:4" x14ac:dyDescent="0.25">
      <c r="B1420" s="68"/>
      <c r="C1420" s="50"/>
      <c r="D1420" s="15"/>
    </row>
    <row r="1421" spans="2:4" x14ac:dyDescent="0.25">
      <c r="B1421" s="68"/>
      <c r="C1421" s="50"/>
      <c r="D1421" s="15"/>
    </row>
    <row r="1422" spans="2:4" x14ac:dyDescent="0.25">
      <c r="B1422" s="68"/>
      <c r="C1422" s="50"/>
      <c r="D1422" s="15"/>
    </row>
    <row r="1423" spans="2:4" x14ac:dyDescent="0.25">
      <c r="B1423" s="68"/>
      <c r="C1423" s="50"/>
      <c r="D1423" s="15"/>
    </row>
    <row r="1424" spans="2:4" x14ac:dyDescent="0.25">
      <c r="B1424" s="68"/>
      <c r="C1424" s="50"/>
      <c r="D1424" s="15"/>
    </row>
    <row r="1425" spans="2:4" x14ac:dyDescent="0.25">
      <c r="B1425" s="68"/>
      <c r="C1425" s="50"/>
      <c r="D1425" s="15"/>
    </row>
    <row r="1426" spans="2:4" x14ac:dyDescent="0.25">
      <c r="B1426" s="68"/>
      <c r="C1426" s="50"/>
      <c r="D1426" s="15"/>
    </row>
    <row r="1427" spans="2:4" x14ac:dyDescent="0.25">
      <c r="B1427" s="68"/>
      <c r="C1427" s="50"/>
      <c r="D1427" s="15"/>
    </row>
    <row r="1428" spans="2:4" x14ac:dyDescent="0.25">
      <c r="B1428" s="68"/>
      <c r="C1428" s="50"/>
      <c r="D1428" s="15"/>
    </row>
    <row r="1429" spans="2:4" x14ac:dyDescent="0.25">
      <c r="B1429" s="68"/>
      <c r="C1429" s="50"/>
      <c r="D1429" s="15"/>
    </row>
    <row r="1430" spans="2:4" x14ac:dyDescent="0.25">
      <c r="B1430" s="68"/>
      <c r="C1430" s="50"/>
      <c r="D1430" s="15"/>
    </row>
    <row r="1431" spans="2:4" x14ac:dyDescent="0.25">
      <c r="B1431" s="68"/>
      <c r="C1431" s="50"/>
      <c r="D1431" s="15"/>
    </row>
    <row r="1432" spans="2:4" x14ac:dyDescent="0.25">
      <c r="B1432" s="68"/>
      <c r="C1432" s="50"/>
      <c r="D1432" s="15"/>
    </row>
    <row r="1433" spans="2:4" x14ac:dyDescent="0.25">
      <c r="B1433" s="68"/>
      <c r="C1433" s="50"/>
      <c r="D1433" s="15"/>
    </row>
    <row r="1434" spans="2:4" x14ac:dyDescent="0.25">
      <c r="B1434" s="68"/>
      <c r="C1434" s="50"/>
      <c r="D1434" s="15"/>
    </row>
    <row r="1435" spans="2:4" x14ac:dyDescent="0.25">
      <c r="B1435" s="68"/>
      <c r="C1435" s="50"/>
      <c r="D1435" s="15"/>
    </row>
    <row r="1436" spans="2:4" x14ac:dyDescent="0.25">
      <c r="B1436" s="68"/>
      <c r="C1436" s="50"/>
      <c r="D1436" s="15"/>
    </row>
    <row r="1437" spans="2:4" x14ac:dyDescent="0.25">
      <c r="B1437" s="68"/>
      <c r="C1437" s="50"/>
      <c r="D1437" s="15"/>
    </row>
    <row r="1438" spans="2:4" x14ac:dyDescent="0.25">
      <c r="B1438" s="68"/>
      <c r="C1438" s="50"/>
      <c r="D1438" s="15"/>
    </row>
    <row r="1439" spans="2:4" x14ac:dyDescent="0.25">
      <c r="B1439" s="68"/>
      <c r="C1439" s="50"/>
      <c r="D1439" s="15"/>
    </row>
    <row r="1440" spans="2:4" x14ac:dyDescent="0.25">
      <c r="B1440" s="68"/>
      <c r="C1440" s="50"/>
      <c r="D1440" s="15"/>
    </row>
    <row r="1441" spans="2:4" x14ac:dyDescent="0.25">
      <c r="B1441" s="68"/>
      <c r="C1441" s="50"/>
      <c r="D1441" s="15"/>
    </row>
    <row r="1442" spans="2:4" x14ac:dyDescent="0.25">
      <c r="B1442" s="68"/>
      <c r="C1442" s="50"/>
      <c r="D1442" s="15"/>
    </row>
    <row r="1443" spans="2:4" x14ac:dyDescent="0.25">
      <c r="B1443" s="68"/>
      <c r="C1443" s="50"/>
      <c r="D1443" s="15"/>
    </row>
    <row r="1444" spans="2:4" x14ac:dyDescent="0.25">
      <c r="B1444" s="68"/>
      <c r="C1444" s="50"/>
      <c r="D1444" s="15"/>
    </row>
    <row r="1445" spans="2:4" x14ac:dyDescent="0.25">
      <c r="B1445" s="68"/>
      <c r="C1445" s="50"/>
      <c r="D1445" s="15"/>
    </row>
    <row r="1446" spans="2:4" x14ac:dyDescent="0.25">
      <c r="B1446" s="68"/>
      <c r="C1446" s="50"/>
      <c r="D1446" s="15"/>
    </row>
    <row r="1447" spans="2:4" x14ac:dyDescent="0.25">
      <c r="B1447" s="68"/>
      <c r="C1447" s="50"/>
      <c r="D1447" s="15"/>
    </row>
    <row r="1448" spans="2:4" x14ac:dyDescent="0.25">
      <c r="B1448" s="68"/>
      <c r="C1448" s="50"/>
      <c r="D1448" s="15"/>
    </row>
    <row r="1449" spans="2:4" x14ac:dyDescent="0.25">
      <c r="B1449" s="68"/>
      <c r="C1449" s="50"/>
      <c r="D1449" s="15"/>
    </row>
    <row r="1450" spans="2:4" x14ac:dyDescent="0.25">
      <c r="B1450" s="68"/>
      <c r="C1450" s="50"/>
      <c r="D1450" s="15"/>
    </row>
    <row r="1451" spans="2:4" x14ac:dyDescent="0.25">
      <c r="B1451" s="68"/>
      <c r="C1451" s="50"/>
      <c r="D1451" s="15"/>
    </row>
    <row r="1452" spans="2:4" x14ac:dyDescent="0.25">
      <c r="B1452" s="68"/>
      <c r="C1452" s="50"/>
      <c r="D1452" s="15"/>
    </row>
    <row r="1453" spans="2:4" x14ac:dyDescent="0.25">
      <c r="B1453" s="68"/>
      <c r="C1453" s="50"/>
      <c r="D1453" s="15"/>
    </row>
    <row r="1454" spans="2:4" x14ac:dyDescent="0.25">
      <c r="B1454" s="68"/>
      <c r="C1454" s="50"/>
      <c r="D1454" s="15"/>
    </row>
    <row r="1455" spans="2:4" x14ac:dyDescent="0.25">
      <c r="B1455" s="68"/>
      <c r="C1455" s="50"/>
      <c r="D1455" s="15"/>
    </row>
    <row r="1456" spans="2:4" x14ac:dyDescent="0.25">
      <c r="B1456" s="68"/>
      <c r="C1456" s="50"/>
      <c r="D1456" s="15"/>
    </row>
    <row r="1457" spans="2:4" x14ac:dyDescent="0.25">
      <c r="B1457" s="68"/>
      <c r="C1457" s="50"/>
      <c r="D1457" s="15"/>
    </row>
    <row r="1458" spans="2:4" x14ac:dyDescent="0.25">
      <c r="B1458" s="68"/>
      <c r="C1458" s="50"/>
      <c r="D1458" s="15"/>
    </row>
    <row r="1459" spans="2:4" x14ac:dyDescent="0.25">
      <c r="B1459" s="68"/>
      <c r="C1459" s="50"/>
      <c r="D1459" s="15"/>
    </row>
    <row r="1460" spans="2:4" x14ac:dyDescent="0.25">
      <c r="B1460" s="68"/>
      <c r="C1460" s="50"/>
      <c r="D1460" s="15"/>
    </row>
    <row r="1461" spans="2:4" x14ac:dyDescent="0.25">
      <c r="B1461" s="68"/>
      <c r="C1461" s="50"/>
      <c r="D1461" s="15"/>
    </row>
    <row r="1462" spans="2:4" x14ac:dyDescent="0.25">
      <c r="B1462" s="68"/>
      <c r="C1462" s="50"/>
      <c r="D1462" s="15"/>
    </row>
    <row r="1463" spans="2:4" x14ac:dyDescent="0.25">
      <c r="B1463" s="68"/>
      <c r="C1463" s="50"/>
      <c r="D1463" s="15"/>
    </row>
    <row r="1464" spans="2:4" x14ac:dyDescent="0.25">
      <c r="B1464" s="68"/>
      <c r="C1464" s="50"/>
      <c r="D1464" s="15"/>
    </row>
    <row r="1465" spans="2:4" x14ac:dyDescent="0.25">
      <c r="B1465" s="68"/>
      <c r="C1465" s="50"/>
      <c r="D1465" s="15"/>
    </row>
    <row r="1466" spans="2:4" x14ac:dyDescent="0.25">
      <c r="B1466" s="68"/>
      <c r="C1466" s="50"/>
      <c r="D1466" s="15"/>
    </row>
    <row r="1467" spans="2:4" x14ac:dyDescent="0.25">
      <c r="B1467" s="68"/>
      <c r="C1467" s="50"/>
      <c r="D1467" s="15"/>
    </row>
    <row r="1468" spans="2:4" x14ac:dyDescent="0.25">
      <c r="B1468" s="68"/>
      <c r="C1468" s="50"/>
      <c r="D1468" s="15"/>
    </row>
    <row r="1469" spans="2:4" x14ac:dyDescent="0.25">
      <c r="B1469" s="68"/>
      <c r="C1469" s="50"/>
      <c r="D1469" s="15"/>
    </row>
    <row r="1470" spans="2:4" x14ac:dyDescent="0.25">
      <c r="B1470" s="68"/>
      <c r="C1470" s="50"/>
      <c r="D1470" s="15"/>
    </row>
    <row r="1471" spans="2:4" x14ac:dyDescent="0.25">
      <c r="B1471" s="68"/>
      <c r="C1471" s="50"/>
      <c r="D1471" s="15"/>
    </row>
    <row r="1472" spans="2:4" x14ac:dyDescent="0.25">
      <c r="B1472" s="68"/>
      <c r="C1472" s="50"/>
      <c r="D1472" s="15"/>
    </row>
    <row r="1473" spans="2:4" x14ac:dyDescent="0.25">
      <c r="B1473" s="68"/>
      <c r="C1473" s="50"/>
      <c r="D1473" s="15"/>
    </row>
    <row r="1474" spans="2:4" x14ac:dyDescent="0.25">
      <c r="B1474" s="68"/>
      <c r="C1474" s="50"/>
      <c r="D1474" s="15"/>
    </row>
    <row r="1475" spans="2:4" x14ac:dyDescent="0.25">
      <c r="B1475" s="68"/>
      <c r="C1475" s="50"/>
      <c r="D1475" s="15"/>
    </row>
    <row r="1476" spans="2:4" x14ac:dyDescent="0.25">
      <c r="B1476" s="68"/>
      <c r="C1476" s="50"/>
      <c r="D1476" s="15"/>
    </row>
    <row r="1477" spans="2:4" x14ac:dyDescent="0.25">
      <c r="B1477" s="68"/>
      <c r="C1477" s="50"/>
      <c r="D1477" s="15"/>
    </row>
    <row r="1478" spans="2:4" x14ac:dyDescent="0.25">
      <c r="B1478" s="68"/>
      <c r="C1478" s="50"/>
      <c r="D1478" s="15"/>
    </row>
    <row r="1479" spans="2:4" x14ac:dyDescent="0.25">
      <c r="B1479" s="68"/>
      <c r="C1479" s="50"/>
      <c r="D1479" s="15"/>
    </row>
    <row r="1480" spans="2:4" x14ac:dyDescent="0.25">
      <c r="B1480" s="68"/>
      <c r="C1480" s="50"/>
      <c r="D1480" s="15"/>
    </row>
    <row r="1481" spans="2:4" x14ac:dyDescent="0.25">
      <c r="B1481" s="68"/>
      <c r="C1481" s="50"/>
      <c r="D1481" s="15"/>
    </row>
    <row r="1482" spans="2:4" x14ac:dyDescent="0.25">
      <c r="B1482" s="68"/>
      <c r="C1482" s="50"/>
      <c r="D1482" s="15"/>
    </row>
    <row r="1483" spans="2:4" x14ac:dyDescent="0.25">
      <c r="B1483" s="68"/>
      <c r="C1483" s="50"/>
      <c r="D1483" s="15"/>
    </row>
    <row r="1484" spans="2:4" x14ac:dyDescent="0.25">
      <c r="B1484" s="68"/>
      <c r="C1484" s="50"/>
      <c r="D1484" s="15"/>
    </row>
    <row r="1485" spans="2:4" x14ac:dyDescent="0.25">
      <c r="B1485" s="68"/>
      <c r="C1485" s="50"/>
      <c r="D1485" s="15"/>
    </row>
    <row r="1486" spans="2:4" x14ac:dyDescent="0.25">
      <c r="B1486" s="68"/>
      <c r="C1486" s="50"/>
      <c r="D1486" s="15"/>
    </row>
    <row r="1487" spans="2:4" x14ac:dyDescent="0.25">
      <c r="B1487" s="68"/>
      <c r="C1487" s="50"/>
      <c r="D1487" s="15"/>
    </row>
    <row r="1488" spans="2:4" x14ac:dyDescent="0.25">
      <c r="B1488" s="68"/>
      <c r="C1488" s="50"/>
      <c r="D1488" s="15"/>
    </row>
    <row r="1489" spans="2:4" x14ac:dyDescent="0.25">
      <c r="B1489" s="68"/>
      <c r="C1489" s="50"/>
      <c r="D1489" s="15"/>
    </row>
    <row r="1490" spans="2:4" x14ac:dyDescent="0.25">
      <c r="B1490" s="68"/>
      <c r="C1490" s="50"/>
      <c r="D1490" s="15"/>
    </row>
    <row r="1491" spans="2:4" x14ac:dyDescent="0.25">
      <c r="B1491" s="68"/>
      <c r="C1491" s="50"/>
      <c r="D1491" s="15"/>
    </row>
    <row r="1492" spans="2:4" x14ac:dyDescent="0.25">
      <c r="B1492" s="68"/>
      <c r="C1492" s="50"/>
      <c r="D1492" s="15"/>
    </row>
    <row r="1493" spans="2:4" x14ac:dyDescent="0.25">
      <c r="B1493" s="68"/>
      <c r="C1493" s="50"/>
      <c r="D1493" s="15"/>
    </row>
    <row r="1494" spans="2:4" x14ac:dyDescent="0.25">
      <c r="B1494" s="68"/>
      <c r="C1494" s="50"/>
      <c r="D1494" s="15"/>
    </row>
    <row r="1495" spans="2:4" x14ac:dyDescent="0.25">
      <c r="B1495" s="68"/>
      <c r="C1495" s="50"/>
      <c r="D1495" s="15"/>
    </row>
    <row r="1496" spans="2:4" x14ac:dyDescent="0.25">
      <c r="B1496" s="68"/>
      <c r="C1496" s="50"/>
      <c r="D1496" s="15"/>
    </row>
    <row r="1497" spans="2:4" x14ac:dyDescent="0.25">
      <c r="B1497" s="68"/>
      <c r="C1497" s="50"/>
      <c r="D1497" s="15"/>
    </row>
    <row r="1498" spans="2:4" x14ac:dyDescent="0.25">
      <c r="B1498" s="68"/>
      <c r="C1498" s="50"/>
      <c r="D1498" s="15"/>
    </row>
    <row r="1499" spans="2:4" x14ac:dyDescent="0.25">
      <c r="B1499" s="68"/>
      <c r="C1499" s="50"/>
      <c r="D1499" s="15"/>
    </row>
    <row r="1500" spans="2:4" x14ac:dyDescent="0.25">
      <c r="B1500" s="68"/>
      <c r="C1500" s="50"/>
      <c r="D1500" s="15"/>
    </row>
    <row r="1501" spans="2:4" x14ac:dyDescent="0.25">
      <c r="B1501" s="68"/>
      <c r="C1501" s="50"/>
      <c r="D1501" s="15"/>
    </row>
    <row r="1502" spans="2:4" x14ac:dyDescent="0.25">
      <c r="B1502" s="68"/>
      <c r="C1502" s="50"/>
      <c r="D1502" s="15"/>
    </row>
    <row r="1503" spans="2:4" x14ac:dyDescent="0.25">
      <c r="B1503" s="68"/>
      <c r="C1503" s="50"/>
      <c r="D1503" s="15"/>
    </row>
    <row r="1504" spans="2:4" x14ac:dyDescent="0.25">
      <c r="B1504" s="68"/>
      <c r="C1504" s="50"/>
      <c r="D1504" s="15"/>
    </row>
    <row r="1505" spans="2:4" x14ac:dyDescent="0.25">
      <c r="B1505" s="68"/>
      <c r="C1505" s="50"/>
      <c r="D1505" s="15"/>
    </row>
    <row r="1506" spans="2:4" x14ac:dyDescent="0.25">
      <c r="B1506" s="68"/>
      <c r="C1506" s="50"/>
      <c r="D1506" s="15"/>
    </row>
    <row r="1507" spans="2:4" x14ac:dyDescent="0.25">
      <c r="B1507" s="68"/>
      <c r="C1507" s="50"/>
      <c r="D1507" s="15"/>
    </row>
    <row r="1508" spans="2:4" x14ac:dyDescent="0.25">
      <c r="B1508" s="68"/>
      <c r="C1508" s="50"/>
      <c r="D1508" s="15"/>
    </row>
    <row r="1509" spans="2:4" x14ac:dyDescent="0.25">
      <c r="B1509" s="68"/>
      <c r="C1509" s="50"/>
      <c r="D1509" s="15"/>
    </row>
    <row r="1510" spans="2:4" x14ac:dyDescent="0.25">
      <c r="B1510" s="68"/>
      <c r="C1510" s="50"/>
      <c r="D1510" s="15"/>
    </row>
    <row r="1511" spans="2:4" x14ac:dyDescent="0.25">
      <c r="B1511" s="68"/>
      <c r="C1511" s="50"/>
      <c r="D1511" s="15"/>
    </row>
    <row r="1512" spans="2:4" x14ac:dyDescent="0.25">
      <c r="B1512" s="68"/>
      <c r="C1512" s="50"/>
      <c r="D1512" s="15"/>
    </row>
    <row r="1513" spans="2:4" x14ac:dyDescent="0.25">
      <c r="B1513" s="68"/>
      <c r="C1513" s="50"/>
      <c r="D1513" s="15"/>
    </row>
    <row r="1514" spans="2:4" x14ac:dyDescent="0.25">
      <c r="B1514" s="68"/>
      <c r="C1514" s="50"/>
      <c r="D1514" s="15"/>
    </row>
    <row r="1515" spans="2:4" x14ac:dyDescent="0.25">
      <c r="B1515" s="68"/>
      <c r="C1515" s="50"/>
      <c r="D1515" s="15"/>
    </row>
    <row r="1516" spans="2:4" x14ac:dyDescent="0.25">
      <c r="B1516" s="68"/>
      <c r="C1516" s="50"/>
      <c r="D1516" s="15"/>
    </row>
    <row r="1517" spans="2:4" x14ac:dyDescent="0.25">
      <c r="B1517" s="68"/>
      <c r="C1517" s="50"/>
      <c r="D1517" s="15"/>
    </row>
    <row r="1518" spans="2:4" x14ac:dyDescent="0.25">
      <c r="B1518" s="68"/>
      <c r="C1518" s="50"/>
      <c r="D1518" s="15"/>
    </row>
    <row r="1519" spans="2:4" x14ac:dyDescent="0.25">
      <c r="B1519" s="68"/>
      <c r="C1519" s="50"/>
      <c r="D1519" s="15"/>
    </row>
    <row r="1520" spans="2:4" x14ac:dyDescent="0.25">
      <c r="B1520" s="68"/>
      <c r="C1520" s="50"/>
      <c r="D1520" s="15"/>
    </row>
    <row r="1521" spans="2:4" x14ac:dyDescent="0.25">
      <c r="B1521" s="68"/>
      <c r="C1521" s="50"/>
      <c r="D1521" s="15"/>
    </row>
    <row r="1522" spans="2:4" x14ac:dyDescent="0.25">
      <c r="B1522" s="68"/>
      <c r="C1522" s="50"/>
      <c r="D1522" s="15"/>
    </row>
    <row r="1523" spans="2:4" x14ac:dyDescent="0.25">
      <c r="B1523" s="68"/>
      <c r="C1523" s="50"/>
      <c r="D1523" s="15"/>
    </row>
    <row r="1524" spans="2:4" x14ac:dyDescent="0.25">
      <c r="B1524" s="68"/>
      <c r="C1524" s="50"/>
      <c r="D1524" s="15"/>
    </row>
    <row r="1525" spans="2:4" x14ac:dyDescent="0.25">
      <c r="B1525" s="68"/>
      <c r="C1525" s="50"/>
      <c r="D1525" s="15"/>
    </row>
    <row r="1526" spans="2:4" x14ac:dyDescent="0.25">
      <c r="B1526" s="68"/>
      <c r="C1526" s="50"/>
      <c r="D1526" s="15"/>
    </row>
    <row r="1527" spans="2:4" x14ac:dyDescent="0.25">
      <c r="B1527" s="68"/>
      <c r="C1527" s="50"/>
      <c r="D1527" s="15"/>
    </row>
    <row r="1528" spans="2:4" x14ac:dyDescent="0.25">
      <c r="B1528" s="68"/>
      <c r="C1528" s="50"/>
      <c r="D1528" s="15"/>
    </row>
    <row r="1529" spans="2:4" x14ac:dyDescent="0.25">
      <c r="B1529" s="68"/>
      <c r="C1529" s="50"/>
      <c r="D1529" s="15"/>
    </row>
    <row r="1530" spans="2:4" x14ac:dyDescent="0.25">
      <c r="B1530" s="68"/>
      <c r="C1530" s="50"/>
      <c r="D1530" s="15"/>
    </row>
    <row r="1531" spans="2:4" x14ac:dyDescent="0.25">
      <c r="B1531" s="68"/>
      <c r="C1531" s="50"/>
      <c r="D1531" s="15"/>
    </row>
    <row r="1532" spans="2:4" x14ac:dyDescent="0.25">
      <c r="B1532" s="68"/>
      <c r="C1532" s="50"/>
      <c r="D1532" s="15"/>
    </row>
    <row r="1533" spans="2:4" x14ac:dyDescent="0.25">
      <c r="B1533" s="68"/>
      <c r="C1533" s="50"/>
      <c r="D1533" s="15"/>
    </row>
    <row r="1534" spans="2:4" x14ac:dyDescent="0.25">
      <c r="B1534" s="68"/>
      <c r="C1534" s="50"/>
      <c r="D1534" s="15"/>
    </row>
    <row r="1535" spans="2:4" x14ac:dyDescent="0.25">
      <c r="B1535" s="68"/>
      <c r="C1535" s="50"/>
      <c r="D1535" s="15"/>
    </row>
    <row r="1536" spans="2:4" x14ac:dyDescent="0.25">
      <c r="B1536" s="68"/>
      <c r="C1536" s="50"/>
      <c r="D1536" s="15"/>
    </row>
    <row r="1537" spans="2:4" x14ac:dyDescent="0.25">
      <c r="B1537" s="68"/>
      <c r="C1537" s="50"/>
      <c r="D1537" s="15"/>
    </row>
    <row r="1538" spans="2:4" x14ac:dyDescent="0.25">
      <c r="B1538" s="68"/>
      <c r="C1538" s="50"/>
      <c r="D1538" s="15"/>
    </row>
    <row r="1539" spans="2:4" x14ac:dyDescent="0.25">
      <c r="B1539" s="68"/>
      <c r="C1539" s="50"/>
      <c r="D1539" s="15"/>
    </row>
    <row r="1540" spans="2:4" x14ac:dyDescent="0.25">
      <c r="B1540" s="68"/>
      <c r="C1540" s="50"/>
      <c r="D1540" s="15"/>
    </row>
    <row r="1541" spans="2:4" x14ac:dyDescent="0.25">
      <c r="B1541" s="68"/>
      <c r="C1541" s="50"/>
      <c r="D1541" s="15"/>
    </row>
    <row r="1542" spans="2:4" x14ac:dyDescent="0.25">
      <c r="B1542" s="68"/>
      <c r="C1542" s="50"/>
      <c r="D1542" s="15"/>
    </row>
    <row r="1543" spans="2:4" x14ac:dyDescent="0.25">
      <c r="B1543" s="68"/>
      <c r="C1543" s="50"/>
      <c r="D1543" s="15"/>
    </row>
    <row r="1544" spans="2:4" x14ac:dyDescent="0.25">
      <c r="B1544" s="68"/>
      <c r="C1544" s="50"/>
      <c r="D1544" s="15"/>
    </row>
    <row r="1545" spans="2:4" x14ac:dyDescent="0.25">
      <c r="B1545" s="68"/>
      <c r="C1545" s="50"/>
      <c r="D1545" s="15"/>
    </row>
    <row r="1546" spans="2:4" x14ac:dyDescent="0.25">
      <c r="B1546" s="68"/>
      <c r="C1546" s="50"/>
      <c r="D1546" s="15"/>
    </row>
    <row r="1547" spans="2:4" x14ac:dyDescent="0.25">
      <c r="B1547" s="68"/>
      <c r="C1547" s="50"/>
      <c r="D1547" s="15"/>
    </row>
    <row r="1548" spans="2:4" x14ac:dyDescent="0.25">
      <c r="B1548" s="68"/>
      <c r="C1548" s="50"/>
      <c r="D1548" s="15"/>
    </row>
    <row r="1549" spans="2:4" x14ac:dyDescent="0.25">
      <c r="B1549" s="68"/>
      <c r="C1549" s="50"/>
      <c r="D1549" s="15"/>
    </row>
    <row r="1550" spans="2:4" x14ac:dyDescent="0.25">
      <c r="B1550" s="68"/>
      <c r="C1550" s="50"/>
      <c r="D1550" s="15"/>
    </row>
    <row r="1551" spans="2:4" x14ac:dyDescent="0.25">
      <c r="B1551" s="68"/>
      <c r="C1551" s="50"/>
      <c r="D1551" s="15"/>
    </row>
    <row r="1552" spans="2:4" x14ac:dyDescent="0.25">
      <c r="B1552" s="68"/>
      <c r="C1552" s="50"/>
      <c r="D1552" s="15"/>
    </row>
    <row r="1553" spans="2:4" x14ac:dyDescent="0.25">
      <c r="B1553" s="68"/>
      <c r="C1553" s="50"/>
      <c r="D1553" s="15"/>
    </row>
    <row r="1554" spans="2:4" x14ac:dyDescent="0.25">
      <c r="B1554" s="68"/>
      <c r="C1554" s="50"/>
      <c r="D1554" s="15"/>
    </row>
    <row r="1555" spans="2:4" x14ac:dyDescent="0.25">
      <c r="B1555" s="68"/>
      <c r="C1555" s="50"/>
      <c r="D1555" s="15"/>
    </row>
    <row r="1556" spans="2:4" x14ac:dyDescent="0.25">
      <c r="B1556" s="68"/>
      <c r="C1556" s="50"/>
      <c r="D1556" s="15"/>
    </row>
    <row r="1557" spans="2:4" x14ac:dyDescent="0.25">
      <c r="B1557" s="68"/>
      <c r="C1557" s="50"/>
      <c r="D1557" s="15"/>
    </row>
    <row r="1558" spans="2:4" x14ac:dyDescent="0.25">
      <c r="B1558" s="68"/>
      <c r="C1558" s="50"/>
      <c r="D1558" s="15"/>
    </row>
    <row r="1559" spans="2:4" x14ac:dyDescent="0.25">
      <c r="B1559" s="68"/>
      <c r="C1559" s="50"/>
      <c r="D1559" s="15"/>
    </row>
    <row r="1560" spans="2:4" x14ac:dyDescent="0.25">
      <c r="B1560" s="68"/>
      <c r="C1560" s="50"/>
      <c r="D1560" s="15"/>
    </row>
    <row r="1561" spans="2:4" x14ac:dyDescent="0.25">
      <c r="B1561" s="68"/>
      <c r="C1561" s="50"/>
      <c r="D1561" s="15"/>
    </row>
    <row r="1562" spans="2:4" x14ac:dyDescent="0.25">
      <c r="B1562" s="68"/>
      <c r="C1562" s="50"/>
      <c r="D1562" s="15"/>
    </row>
    <row r="1563" spans="2:4" x14ac:dyDescent="0.25">
      <c r="B1563" s="68"/>
      <c r="C1563" s="50"/>
      <c r="D1563" s="15"/>
    </row>
    <row r="1564" spans="2:4" x14ac:dyDescent="0.25">
      <c r="B1564" s="68"/>
      <c r="C1564" s="50"/>
      <c r="D1564" s="15"/>
    </row>
    <row r="1565" spans="2:4" x14ac:dyDescent="0.25">
      <c r="B1565" s="68"/>
      <c r="C1565" s="50"/>
      <c r="D1565" s="15"/>
    </row>
    <row r="1566" spans="2:4" x14ac:dyDescent="0.25">
      <c r="B1566" s="68"/>
      <c r="C1566" s="50"/>
      <c r="D1566" s="15"/>
    </row>
    <row r="1567" spans="2:4" x14ac:dyDescent="0.25">
      <c r="B1567" s="68"/>
      <c r="C1567" s="50"/>
      <c r="D1567" s="15"/>
    </row>
    <row r="1568" spans="2:4" x14ac:dyDescent="0.25">
      <c r="B1568" s="68"/>
      <c r="C1568" s="50"/>
      <c r="D1568" s="15"/>
    </row>
    <row r="1569" spans="2:4" x14ac:dyDescent="0.25">
      <c r="B1569" s="68"/>
      <c r="C1569" s="50"/>
      <c r="D1569" s="15"/>
    </row>
    <row r="1570" spans="2:4" x14ac:dyDescent="0.25">
      <c r="B1570" s="68"/>
      <c r="C1570" s="50"/>
      <c r="D1570" s="15"/>
    </row>
    <row r="1571" spans="2:4" x14ac:dyDescent="0.25">
      <c r="B1571" s="68"/>
      <c r="C1571" s="50"/>
      <c r="D1571" s="15"/>
    </row>
    <row r="1572" spans="2:4" x14ac:dyDescent="0.25">
      <c r="B1572" s="68"/>
      <c r="C1572" s="50"/>
      <c r="D1572" s="15"/>
    </row>
    <row r="1573" spans="2:4" x14ac:dyDescent="0.25">
      <c r="B1573" s="68"/>
      <c r="C1573" s="50"/>
      <c r="D1573" s="15"/>
    </row>
    <row r="1574" spans="2:4" x14ac:dyDescent="0.25">
      <c r="B1574" s="68"/>
      <c r="C1574" s="50"/>
      <c r="D1574" s="15"/>
    </row>
    <row r="1575" spans="2:4" x14ac:dyDescent="0.25">
      <c r="B1575" s="68"/>
      <c r="C1575" s="50"/>
      <c r="D1575" s="15"/>
    </row>
    <row r="1576" spans="2:4" x14ac:dyDescent="0.25">
      <c r="B1576" s="68"/>
      <c r="C1576" s="50"/>
      <c r="D1576" s="15"/>
    </row>
    <row r="1577" spans="2:4" x14ac:dyDescent="0.25">
      <c r="B1577" s="68"/>
      <c r="C1577" s="50"/>
      <c r="D1577" s="15"/>
    </row>
    <row r="1578" spans="2:4" x14ac:dyDescent="0.25">
      <c r="B1578" s="68"/>
      <c r="C1578" s="50"/>
      <c r="D1578" s="15"/>
    </row>
    <row r="1579" spans="2:4" x14ac:dyDescent="0.25">
      <c r="B1579" s="68"/>
      <c r="C1579" s="50"/>
      <c r="D1579" s="15"/>
    </row>
    <row r="1580" spans="2:4" x14ac:dyDescent="0.25">
      <c r="B1580" s="68"/>
      <c r="C1580" s="50"/>
      <c r="D1580" s="15"/>
    </row>
    <row r="1581" spans="2:4" x14ac:dyDescent="0.25">
      <c r="B1581" s="68"/>
      <c r="C1581" s="50"/>
      <c r="D1581" s="15"/>
    </row>
    <row r="1582" spans="2:4" x14ac:dyDescent="0.25">
      <c r="B1582" s="68"/>
      <c r="C1582" s="50"/>
      <c r="D1582" s="15"/>
    </row>
    <row r="1583" spans="2:4" x14ac:dyDescent="0.25">
      <c r="B1583" s="68"/>
      <c r="C1583" s="50"/>
      <c r="D1583" s="15"/>
    </row>
    <row r="1584" spans="2:4" x14ac:dyDescent="0.25">
      <c r="B1584" s="68"/>
      <c r="C1584" s="50"/>
      <c r="D1584" s="15"/>
    </row>
    <row r="1585" spans="2:4" x14ac:dyDescent="0.25">
      <c r="B1585" s="68"/>
      <c r="C1585" s="50"/>
      <c r="D1585" s="15"/>
    </row>
    <row r="1586" spans="2:4" x14ac:dyDescent="0.25">
      <c r="B1586" s="68"/>
      <c r="C1586" s="50"/>
      <c r="D1586" s="15"/>
    </row>
    <row r="1587" spans="2:4" x14ac:dyDescent="0.25">
      <c r="B1587" s="68"/>
      <c r="C1587" s="50"/>
      <c r="D1587" s="15"/>
    </row>
    <row r="1588" spans="2:4" x14ac:dyDescent="0.25">
      <c r="B1588" s="68"/>
      <c r="C1588" s="50"/>
      <c r="D1588" s="15"/>
    </row>
    <row r="1589" spans="2:4" x14ac:dyDescent="0.25">
      <c r="B1589" s="68"/>
      <c r="C1589" s="50"/>
      <c r="D1589" s="15"/>
    </row>
    <row r="1590" spans="2:4" x14ac:dyDescent="0.25">
      <c r="B1590" s="68"/>
      <c r="C1590" s="50"/>
      <c r="D1590" s="15"/>
    </row>
    <row r="1591" spans="2:4" x14ac:dyDescent="0.25">
      <c r="B1591" s="68"/>
      <c r="C1591" s="50"/>
      <c r="D1591" s="15"/>
    </row>
    <row r="1592" spans="2:4" x14ac:dyDescent="0.25">
      <c r="B1592" s="68"/>
      <c r="C1592" s="50"/>
      <c r="D1592" s="15"/>
    </row>
    <row r="1593" spans="2:4" x14ac:dyDescent="0.25">
      <c r="B1593" s="68"/>
      <c r="C1593" s="50"/>
      <c r="D1593" s="15"/>
    </row>
    <row r="1594" spans="2:4" x14ac:dyDescent="0.25">
      <c r="B1594" s="68"/>
      <c r="C1594" s="50"/>
      <c r="D1594" s="15"/>
    </row>
    <row r="1595" spans="2:4" x14ac:dyDescent="0.25">
      <c r="B1595" s="68"/>
      <c r="C1595" s="50"/>
      <c r="D1595" s="15"/>
    </row>
    <row r="1596" spans="2:4" x14ac:dyDescent="0.25">
      <c r="B1596" s="68"/>
      <c r="C1596" s="50"/>
      <c r="D1596" s="15"/>
    </row>
    <row r="1597" spans="2:4" x14ac:dyDescent="0.25">
      <c r="B1597" s="68"/>
      <c r="C1597" s="50"/>
      <c r="D1597" s="15"/>
    </row>
    <row r="1598" spans="2:4" x14ac:dyDescent="0.25">
      <c r="B1598" s="68"/>
      <c r="C1598" s="50"/>
      <c r="D1598" s="15"/>
    </row>
    <row r="1599" spans="2:4" x14ac:dyDescent="0.25">
      <c r="B1599" s="68"/>
      <c r="C1599" s="50"/>
      <c r="D1599" s="15"/>
    </row>
    <row r="1600" spans="2:4" x14ac:dyDescent="0.25">
      <c r="B1600" s="68"/>
      <c r="C1600" s="50"/>
      <c r="D1600" s="15"/>
    </row>
    <row r="1601" spans="2:4" x14ac:dyDescent="0.25">
      <c r="B1601" s="68"/>
      <c r="C1601" s="50"/>
      <c r="D1601" s="15"/>
    </row>
    <row r="1602" spans="2:4" x14ac:dyDescent="0.25">
      <c r="B1602" s="68"/>
      <c r="C1602" s="50"/>
      <c r="D1602" s="15"/>
    </row>
    <row r="1603" spans="2:4" x14ac:dyDescent="0.25">
      <c r="B1603" s="68"/>
      <c r="C1603" s="50"/>
      <c r="D1603" s="15"/>
    </row>
    <row r="1604" spans="2:4" x14ac:dyDescent="0.25">
      <c r="B1604" s="68"/>
      <c r="C1604" s="50"/>
      <c r="D1604" s="15"/>
    </row>
    <row r="1605" spans="2:4" x14ac:dyDescent="0.25">
      <c r="B1605" s="68"/>
      <c r="C1605" s="50"/>
      <c r="D1605" s="15"/>
    </row>
    <row r="1606" spans="2:4" x14ac:dyDescent="0.25">
      <c r="B1606" s="68"/>
      <c r="C1606" s="50"/>
      <c r="D1606" s="15"/>
    </row>
    <row r="1607" spans="2:4" x14ac:dyDescent="0.25">
      <c r="B1607" s="68"/>
      <c r="C1607" s="50"/>
      <c r="D1607" s="15"/>
    </row>
    <row r="1608" spans="2:4" x14ac:dyDescent="0.25">
      <c r="B1608" s="68"/>
      <c r="C1608" s="50"/>
      <c r="D1608" s="15"/>
    </row>
    <row r="1609" spans="2:4" x14ac:dyDescent="0.25">
      <c r="B1609" s="68"/>
      <c r="C1609" s="50"/>
      <c r="D1609" s="15"/>
    </row>
    <row r="1610" spans="2:4" x14ac:dyDescent="0.25">
      <c r="B1610" s="68"/>
      <c r="C1610" s="50"/>
      <c r="D1610" s="15"/>
    </row>
    <row r="1611" spans="2:4" x14ac:dyDescent="0.25">
      <c r="B1611" s="68"/>
      <c r="C1611" s="50"/>
      <c r="D1611" s="15"/>
    </row>
    <row r="1612" spans="2:4" x14ac:dyDescent="0.25">
      <c r="B1612" s="68"/>
      <c r="C1612" s="50"/>
      <c r="D1612" s="15"/>
    </row>
    <row r="1613" spans="2:4" x14ac:dyDescent="0.25">
      <c r="B1613" s="68"/>
      <c r="C1613" s="50"/>
      <c r="D1613" s="15"/>
    </row>
    <row r="1614" spans="2:4" x14ac:dyDescent="0.25">
      <c r="B1614" s="68"/>
      <c r="C1614" s="50"/>
      <c r="D1614" s="15"/>
    </row>
    <row r="1615" spans="2:4" x14ac:dyDescent="0.25">
      <c r="B1615" s="68"/>
      <c r="C1615" s="50"/>
      <c r="D1615" s="15"/>
    </row>
    <row r="1616" spans="2:4" x14ac:dyDescent="0.25">
      <c r="B1616" s="68"/>
      <c r="C1616" s="50"/>
      <c r="D1616" s="15"/>
    </row>
    <row r="1617" spans="2:4" x14ac:dyDescent="0.25">
      <c r="B1617" s="68"/>
      <c r="C1617" s="50"/>
      <c r="D1617" s="15"/>
    </row>
    <row r="1618" spans="2:4" x14ac:dyDescent="0.25">
      <c r="B1618" s="68"/>
      <c r="C1618" s="50"/>
      <c r="D1618" s="15"/>
    </row>
    <row r="1619" spans="2:4" x14ac:dyDescent="0.25">
      <c r="B1619" s="68"/>
      <c r="C1619" s="50"/>
      <c r="D1619" s="15"/>
    </row>
    <row r="1620" spans="2:4" x14ac:dyDescent="0.25">
      <c r="B1620" s="68"/>
      <c r="C1620" s="50"/>
      <c r="D1620" s="15"/>
    </row>
    <row r="1621" spans="2:4" x14ac:dyDescent="0.25">
      <c r="B1621" s="68"/>
      <c r="C1621" s="50"/>
      <c r="D1621" s="15"/>
    </row>
    <row r="1622" spans="2:4" x14ac:dyDescent="0.25">
      <c r="B1622" s="68"/>
      <c r="C1622" s="50"/>
      <c r="D1622" s="15"/>
    </row>
    <row r="1623" spans="2:4" x14ac:dyDescent="0.25">
      <c r="B1623" s="68"/>
      <c r="C1623" s="50"/>
      <c r="D1623" s="15"/>
    </row>
    <row r="1624" spans="2:4" x14ac:dyDescent="0.25">
      <c r="B1624" s="68"/>
      <c r="C1624" s="50"/>
      <c r="D1624" s="15"/>
    </row>
    <row r="1625" spans="2:4" x14ac:dyDescent="0.25">
      <c r="B1625" s="68"/>
      <c r="C1625" s="50"/>
      <c r="D1625" s="15"/>
    </row>
    <row r="1626" spans="2:4" x14ac:dyDescent="0.25">
      <c r="B1626" s="68"/>
      <c r="C1626" s="50"/>
      <c r="D1626" s="15"/>
    </row>
    <row r="1627" spans="2:4" x14ac:dyDescent="0.25">
      <c r="B1627" s="68"/>
      <c r="C1627" s="50"/>
      <c r="D1627" s="15"/>
    </row>
    <row r="1628" spans="2:4" x14ac:dyDescent="0.25">
      <c r="B1628" s="68"/>
      <c r="C1628" s="50"/>
      <c r="D1628" s="15"/>
    </row>
    <row r="1629" spans="2:4" x14ac:dyDescent="0.25">
      <c r="B1629" s="68"/>
      <c r="C1629" s="50"/>
      <c r="D1629" s="15"/>
    </row>
    <row r="1630" spans="2:4" x14ac:dyDescent="0.25">
      <c r="B1630" s="68"/>
      <c r="C1630" s="50"/>
      <c r="D1630" s="15"/>
    </row>
    <row r="1631" spans="2:4" x14ac:dyDescent="0.25">
      <c r="B1631" s="68"/>
      <c r="C1631" s="50"/>
      <c r="D1631" s="15"/>
    </row>
    <row r="1632" spans="2:4" x14ac:dyDescent="0.25">
      <c r="B1632" s="68"/>
      <c r="C1632" s="50"/>
      <c r="D1632" s="15"/>
    </row>
    <row r="1633" spans="2:4" x14ac:dyDescent="0.25">
      <c r="B1633" s="68"/>
      <c r="C1633" s="50"/>
      <c r="D1633" s="15"/>
    </row>
    <row r="1634" spans="2:4" x14ac:dyDescent="0.25">
      <c r="B1634" s="68"/>
      <c r="C1634" s="50"/>
      <c r="D1634" s="15"/>
    </row>
    <row r="1635" spans="2:4" x14ac:dyDescent="0.25">
      <c r="B1635" s="68"/>
      <c r="C1635" s="50"/>
      <c r="D1635" s="15"/>
    </row>
    <row r="1636" spans="2:4" x14ac:dyDescent="0.25">
      <c r="B1636" s="68"/>
      <c r="C1636" s="50"/>
      <c r="D1636" s="15"/>
    </row>
    <row r="1637" spans="2:4" x14ac:dyDescent="0.25">
      <c r="B1637" s="68"/>
      <c r="C1637" s="50"/>
      <c r="D1637" s="15"/>
    </row>
    <row r="1638" spans="2:4" x14ac:dyDescent="0.25">
      <c r="B1638" s="68"/>
      <c r="C1638" s="50"/>
      <c r="D1638" s="15"/>
    </row>
    <row r="1639" spans="2:4" x14ac:dyDescent="0.25">
      <c r="B1639" s="68"/>
      <c r="C1639" s="50"/>
      <c r="D1639" s="15"/>
    </row>
    <row r="1640" spans="2:4" x14ac:dyDescent="0.25">
      <c r="B1640" s="68"/>
      <c r="C1640" s="50"/>
      <c r="D1640" s="15"/>
    </row>
    <row r="1641" spans="2:4" x14ac:dyDescent="0.25">
      <c r="B1641" s="68"/>
      <c r="C1641" s="50"/>
      <c r="D1641" s="15"/>
    </row>
    <row r="1642" spans="2:4" x14ac:dyDescent="0.25">
      <c r="B1642" s="68"/>
      <c r="C1642" s="50"/>
      <c r="D1642" s="15"/>
    </row>
    <row r="1643" spans="2:4" x14ac:dyDescent="0.25">
      <c r="B1643" s="68"/>
      <c r="C1643" s="50"/>
      <c r="D1643" s="15"/>
    </row>
    <row r="1644" spans="2:4" x14ac:dyDescent="0.25">
      <c r="B1644" s="68"/>
      <c r="C1644" s="50"/>
      <c r="D1644" s="15"/>
    </row>
    <row r="1645" spans="2:4" x14ac:dyDescent="0.25">
      <c r="B1645" s="68"/>
      <c r="C1645" s="50"/>
      <c r="D1645" s="15"/>
    </row>
    <row r="1646" spans="2:4" x14ac:dyDescent="0.25">
      <c r="B1646" s="68"/>
      <c r="C1646" s="50"/>
      <c r="D1646" s="15"/>
    </row>
    <row r="1647" spans="2:4" x14ac:dyDescent="0.25">
      <c r="B1647" s="68"/>
      <c r="C1647" s="50"/>
      <c r="D1647" s="15"/>
    </row>
    <row r="1648" spans="2:4" x14ac:dyDescent="0.25">
      <c r="B1648" s="68"/>
      <c r="C1648" s="50"/>
      <c r="D1648" s="15"/>
    </row>
    <row r="1649" spans="2:4" x14ac:dyDescent="0.25">
      <c r="B1649" s="68"/>
      <c r="C1649" s="50"/>
      <c r="D1649" s="15"/>
    </row>
    <row r="1650" spans="2:4" x14ac:dyDescent="0.25">
      <c r="B1650" s="68"/>
      <c r="C1650" s="50"/>
      <c r="D1650" s="15"/>
    </row>
    <row r="1651" spans="2:4" x14ac:dyDescent="0.25">
      <c r="B1651" s="68"/>
      <c r="C1651" s="50"/>
      <c r="D1651" s="15"/>
    </row>
    <row r="1652" spans="2:4" x14ac:dyDescent="0.25">
      <c r="B1652" s="68"/>
      <c r="C1652" s="50"/>
      <c r="D1652" s="15"/>
    </row>
    <row r="1653" spans="2:4" x14ac:dyDescent="0.25">
      <c r="B1653" s="68"/>
      <c r="C1653" s="50"/>
      <c r="D1653" s="15"/>
    </row>
    <row r="1654" spans="2:4" x14ac:dyDescent="0.25">
      <c r="B1654" s="68"/>
      <c r="C1654" s="50"/>
      <c r="D1654" s="15"/>
    </row>
    <row r="1655" spans="2:4" x14ac:dyDescent="0.25">
      <c r="B1655" s="68"/>
      <c r="C1655" s="50"/>
      <c r="D1655" s="15"/>
    </row>
    <row r="1656" spans="2:4" x14ac:dyDescent="0.25">
      <c r="B1656" s="68"/>
      <c r="C1656" s="50"/>
      <c r="D1656" s="15"/>
    </row>
    <row r="1657" spans="2:4" x14ac:dyDescent="0.25">
      <c r="B1657" s="68"/>
      <c r="C1657" s="50"/>
      <c r="D1657" s="15"/>
    </row>
    <row r="1658" spans="2:4" x14ac:dyDescent="0.25">
      <c r="B1658" s="68"/>
      <c r="C1658" s="50"/>
      <c r="D1658" s="15"/>
    </row>
    <row r="1659" spans="2:4" x14ac:dyDescent="0.25">
      <c r="B1659" s="68"/>
      <c r="C1659" s="50"/>
      <c r="D1659" s="15"/>
    </row>
    <row r="1660" spans="2:4" x14ac:dyDescent="0.25">
      <c r="B1660" s="68"/>
      <c r="C1660" s="50"/>
      <c r="D1660" s="15"/>
    </row>
    <row r="1661" spans="2:4" x14ac:dyDescent="0.25">
      <c r="B1661" s="68"/>
      <c r="C1661" s="50"/>
      <c r="D1661" s="15"/>
    </row>
    <row r="1662" spans="2:4" x14ac:dyDescent="0.25">
      <c r="B1662" s="68"/>
      <c r="C1662" s="50"/>
      <c r="D1662" s="15"/>
    </row>
    <row r="1663" spans="2:4" x14ac:dyDescent="0.25">
      <c r="B1663" s="68"/>
      <c r="C1663" s="50"/>
      <c r="D1663" s="15"/>
    </row>
    <row r="1664" spans="2:4" x14ac:dyDescent="0.25">
      <c r="B1664" s="68"/>
      <c r="C1664" s="50"/>
      <c r="D1664" s="15"/>
    </row>
    <row r="1665" spans="2:4" x14ac:dyDescent="0.25">
      <c r="B1665" s="68"/>
      <c r="C1665" s="50"/>
      <c r="D1665" s="15"/>
    </row>
    <row r="1666" spans="2:4" x14ac:dyDescent="0.25">
      <c r="B1666" s="68"/>
      <c r="C1666" s="50"/>
      <c r="D1666" s="15"/>
    </row>
    <row r="1667" spans="2:4" x14ac:dyDescent="0.25">
      <c r="B1667" s="68"/>
      <c r="C1667" s="50"/>
      <c r="D1667" s="15"/>
    </row>
    <row r="1668" spans="2:4" x14ac:dyDescent="0.25">
      <c r="B1668" s="68"/>
      <c r="C1668" s="50"/>
      <c r="D1668" s="15"/>
    </row>
    <row r="1669" spans="2:4" x14ac:dyDescent="0.25">
      <c r="B1669" s="68"/>
      <c r="C1669" s="50"/>
      <c r="D1669" s="15"/>
    </row>
    <row r="1670" spans="2:4" x14ac:dyDescent="0.25">
      <c r="B1670" s="68"/>
      <c r="C1670" s="50"/>
      <c r="D1670" s="15"/>
    </row>
    <row r="1671" spans="2:4" x14ac:dyDescent="0.25">
      <c r="B1671" s="68"/>
      <c r="C1671" s="50"/>
      <c r="D1671" s="15"/>
    </row>
    <row r="1672" spans="2:4" x14ac:dyDescent="0.25">
      <c r="B1672" s="68"/>
      <c r="C1672" s="50"/>
      <c r="D1672" s="15"/>
    </row>
    <row r="1673" spans="2:4" x14ac:dyDescent="0.25">
      <c r="B1673" s="68"/>
      <c r="C1673" s="50"/>
      <c r="D1673" s="15"/>
    </row>
    <row r="1674" spans="2:4" x14ac:dyDescent="0.25">
      <c r="B1674" s="68"/>
      <c r="C1674" s="50"/>
      <c r="D1674" s="15"/>
    </row>
    <row r="1675" spans="2:4" x14ac:dyDescent="0.25">
      <c r="B1675" s="68"/>
      <c r="C1675" s="50"/>
      <c r="D1675" s="15"/>
    </row>
    <row r="1676" spans="2:4" x14ac:dyDescent="0.25">
      <c r="B1676" s="68"/>
      <c r="C1676" s="50"/>
      <c r="D1676" s="15"/>
    </row>
    <row r="1677" spans="2:4" x14ac:dyDescent="0.25">
      <c r="B1677" s="68"/>
      <c r="C1677" s="50"/>
      <c r="D1677" s="15"/>
    </row>
    <row r="1678" spans="2:4" x14ac:dyDescent="0.25">
      <c r="B1678" s="68"/>
      <c r="C1678" s="50"/>
      <c r="D1678" s="15"/>
    </row>
    <row r="1679" spans="2:4" x14ac:dyDescent="0.25">
      <c r="B1679" s="68"/>
      <c r="C1679" s="50"/>
      <c r="D1679" s="15"/>
    </row>
    <row r="1680" spans="2:4" x14ac:dyDescent="0.25">
      <c r="B1680" s="68"/>
      <c r="C1680" s="50"/>
      <c r="D1680" s="15"/>
    </row>
    <row r="1681" spans="2:4" x14ac:dyDescent="0.25">
      <c r="B1681" s="68"/>
      <c r="C1681" s="50"/>
      <c r="D1681" s="15"/>
    </row>
    <row r="1682" spans="2:4" x14ac:dyDescent="0.25">
      <c r="B1682" s="68"/>
      <c r="C1682" s="50"/>
      <c r="D1682" s="15"/>
    </row>
    <row r="1683" spans="2:4" x14ac:dyDescent="0.25">
      <c r="B1683" s="68"/>
      <c r="C1683" s="50"/>
      <c r="D1683" s="15"/>
    </row>
    <row r="1684" spans="2:4" x14ac:dyDescent="0.25">
      <c r="B1684" s="68"/>
      <c r="C1684" s="50"/>
      <c r="D1684" s="15"/>
    </row>
    <row r="1685" spans="2:4" x14ac:dyDescent="0.25">
      <c r="B1685" s="68"/>
      <c r="C1685" s="50"/>
      <c r="D1685" s="15"/>
    </row>
    <row r="1686" spans="2:4" x14ac:dyDescent="0.25">
      <c r="B1686" s="68"/>
      <c r="C1686" s="50"/>
      <c r="D1686" s="15"/>
    </row>
    <row r="1687" spans="2:4" x14ac:dyDescent="0.25">
      <c r="B1687" s="68"/>
      <c r="C1687" s="50"/>
      <c r="D1687" s="15"/>
    </row>
    <row r="1688" spans="2:4" x14ac:dyDescent="0.25">
      <c r="B1688" s="68"/>
      <c r="C1688" s="50"/>
      <c r="D1688" s="15"/>
    </row>
    <row r="1689" spans="2:4" x14ac:dyDescent="0.25">
      <c r="B1689" s="68"/>
      <c r="C1689" s="50"/>
      <c r="D1689" s="15"/>
    </row>
    <row r="1690" spans="2:4" x14ac:dyDescent="0.25">
      <c r="B1690" s="68"/>
      <c r="C1690" s="50"/>
      <c r="D1690" s="15"/>
    </row>
    <row r="1691" spans="2:4" x14ac:dyDescent="0.25">
      <c r="B1691" s="68"/>
      <c r="C1691" s="50"/>
      <c r="D1691" s="15"/>
    </row>
    <row r="1692" spans="2:4" x14ac:dyDescent="0.25">
      <c r="B1692" s="68"/>
      <c r="C1692" s="50"/>
      <c r="D1692" s="15"/>
    </row>
    <row r="1693" spans="2:4" x14ac:dyDescent="0.25">
      <c r="B1693" s="68"/>
      <c r="C1693" s="50"/>
      <c r="D1693" s="15"/>
    </row>
    <row r="1694" spans="2:4" x14ac:dyDescent="0.25">
      <c r="B1694" s="68"/>
      <c r="C1694" s="50"/>
      <c r="D1694" s="15"/>
    </row>
    <row r="1695" spans="2:4" x14ac:dyDescent="0.25">
      <c r="B1695" s="68"/>
      <c r="C1695" s="50"/>
      <c r="D1695" s="15"/>
    </row>
    <row r="1696" spans="2:4" x14ac:dyDescent="0.25">
      <c r="B1696" s="68"/>
      <c r="C1696" s="50"/>
      <c r="D1696" s="15"/>
    </row>
    <row r="1697" spans="2:4" x14ac:dyDescent="0.25">
      <c r="B1697" s="68"/>
      <c r="C1697" s="50"/>
      <c r="D1697" s="15"/>
    </row>
    <row r="1698" spans="2:4" x14ac:dyDescent="0.25">
      <c r="B1698" s="68"/>
      <c r="C1698" s="50"/>
      <c r="D1698" s="15"/>
    </row>
    <row r="1699" spans="2:4" x14ac:dyDescent="0.25">
      <c r="B1699" s="68"/>
      <c r="C1699" s="50"/>
      <c r="D1699" s="15"/>
    </row>
    <row r="1700" spans="2:4" x14ac:dyDescent="0.25">
      <c r="B1700" s="68"/>
      <c r="C1700" s="50"/>
      <c r="D1700" s="15"/>
    </row>
    <row r="1701" spans="2:4" x14ac:dyDescent="0.25">
      <c r="B1701" s="68"/>
      <c r="C1701" s="50"/>
      <c r="D1701" s="15"/>
    </row>
    <row r="1702" spans="2:4" x14ac:dyDescent="0.25">
      <c r="B1702" s="68"/>
      <c r="C1702" s="50"/>
      <c r="D1702" s="15"/>
    </row>
    <row r="1703" spans="2:4" x14ac:dyDescent="0.25">
      <c r="B1703" s="68"/>
      <c r="C1703" s="50"/>
      <c r="D1703" s="15"/>
    </row>
    <row r="1704" spans="2:4" x14ac:dyDescent="0.25">
      <c r="B1704" s="68"/>
      <c r="C1704" s="50"/>
      <c r="D1704" s="15"/>
    </row>
    <row r="1705" spans="2:4" x14ac:dyDescent="0.25">
      <c r="B1705" s="68"/>
      <c r="C1705" s="50"/>
      <c r="D1705" s="15"/>
    </row>
    <row r="1706" spans="2:4" x14ac:dyDescent="0.25">
      <c r="B1706" s="68"/>
      <c r="C1706" s="50"/>
      <c r="D1706" s="15"/>
    </row>
    <row r="1707" spans="2:4" x14ac:dyDescent="0.25">
      <c r="B1707" s="68"/>
      <c r="C1707" s="50"/>
      <c r="D1707" s="15"/>
    </row>
    <row r="1708" spans="2:4" x14ac:dyDescent="0.25">
      <c r="B1708" s="68"/>
      <c r="C1708" s="50"/>
      <c r="D1708" s="15"/>
    </row>
    <row r="1709" spans="2:4" x14ac:dyDescent="0.25">
      <c r="B1709" s="68"/>
      <c r="C1709" s="50"/>
      <c r="D1709" s="15"/>
    </row>
    <row r="1710" spans="2:4" x14ac:dyDescent="0.25">
      <c r="B1710" s="68"/>
      <c r="C1710" s="50"/>
      <c r="D1710" s="15"/>
    </row>
    <row r="1711" spans="2:4" x14ac:dyDescent="0.25">
      <c r="B1711" s="68"/>
      <c r="C1711" s="50"/>
      <c r="D1711" s="15"/>
    </row>
    <row r="1712" spans="2:4" x14ac:dyDescent="0.25">
      <c r="B1712" s="68"/>
      <c r="C1712" s="50"/>
      <c r="D1712" s="15"/>
    </row>
    <row r="1713" spans="2:4" x14ac:dyDescent="0.25">
      <c r="B1713" s="68"/>
      <c r="C1713" s="50"/>
      <c r="D1713" s="15"/>
    </row>
    <row r="1714" spans="2:4" x14ac:dyDescent="0.25">
      <c r="B1714" s="68"/>
      <c r="C1714" s="50"/>
      <c r="D1714" s="15"/>
    </row>
    <row r="1715" spans="2:4" x14ac:dyDescent="0.25">
      <c r="B1715" s="68"/>
      <c r="C1715" s="50"/>
      <c r="D1715" s="15"/>
    </row>
    <row r="1716" spans="2:4" x14ac:dyDescent="0.25">
      <c r="B1716" s="68"/>
      <c r="C1716" s="50"/>
      <c r="D1716" s="15"/>
    </row>
    <row r="1717" spans="2:4" x14ac:dyDescent="0.25">
      <c r="B1717" s="68"/>
      <c r="C1717" s="50"/>
      <c r="D1717" s="15"/>
    </row>
    <row r="1718" spans="2:4" x14ac:dyDescent="0.25">
      <c r="B1718" s="68"/>
      <c r="C1718" s="50"/>
      <c r="D1718" s="15"/>
    </row>
    <row r="1719" spans="2:4" x14ac:dyDescent="0.25">
      <c r="B1719" s="68"/>
      <c r="C1719" s="50"/>
      <c r="D1719" s="15"/>
    </row>
    <row r="1720" spans="2:4" x14ac:dyDescent="0.25">
      <c r="B1720" s="68"/>
      <c r="C1720" s="50"/>
      <c r="D1720" s="15"/>
    </row>
    <row r="1721" spans="2:4" x14ac:dyDescent="0.25">
      <c r="B1721" s="68"/>
      <c r="C1721" s="50"/>
      <c r="D1721" s="15"/>
    </row>
    <row r="1722" spans="2:4" x14ac:dyDescent="0.25">
      <c r="B1722" s="68"/>
      <c r="C1722" s="50"/>
      <c r="D1722" s="15"/>
    </row>
    <row r="1723" spans="2:4" x14ac:dyDescent="0.25">
      <c r="B1723" s="68"/>
      <c r="C1723" s="50"/>
      <c r="D1723" s="15"/>
    </row>
    <row r="1724" spans="2:4" x14ac:dyDescent="0.25">
      <c r="B1724" s="68"/>
      <c r="C1724" s="50"/>
      <c r="D1724" s="15"/>
    </row>
    <row r="1725" spans="2:4" x14ac:dyDescent="0.25">
      <c r="B1725" s="68"/>
      <c r="C1725" s="50"/>
      <c r="D1725" s="15"/>
    </row>
    <row r="1726" spans="2:4" x14ac:dyDescent="0.25">
      <c r="B1726" s="68"/>
      <c r="C1726" s="50"/>
      <c r="D1726" s="15"/>
    </row>
    <row r="1727" spans="2:4" x14ac:dyDescent="0.25">
      <c r="B1727" s="68"/>
      <c r="C1727" s="50"/>
      <c r="D1727" s="15"/>
    </row>
    <row r="1728" spans="2:4" x14ac:dyDescent="0.25">
      <c r="B1728" s="68"/>
      <c r="C1728" s="50"/>
      <c r="D1728" s="15"/>
    </row>
    <row r="1729" spans="2:4" x14ac:dyDescent="0.25">
      <c r="B1729" s="68"/>
      <c r="C1729" s="50"/>
      <c r="D1729" s="15"/>
    </row>
    <row r="1730" spans="2:4" x14ac:dyDescent="0.25">
      <c r="B1730" s="68"/>
      <c r="C1730" s="50"/>
      <c r="D1730" s="15"/>
    </row>
    <row r="1731" spans="2:4" x14ac:dyDescent="0.25">
      <c r="B1731" s="68"/>
      <c r="C1731" s="50"/>
      <c r="D1731" s="15"/>
    </row>
    <row r="1732" spans="2:4" x14ac:dyDescent="0.25">
      <c r="B1732" s="68"/>
      <c r="C1732" s="50"/>
      <c r="D1732" s="15"/>
    </row>
    <row r="1733" spans="2:4" x14ac:dyDescent="0.25">
      <c r="B1733" s="68"/>
      <c r="C1733" s="50"/>
      <c r="D1733" s="15"/>
    </row>
    <row r="1734" spans="2:4" x14ac:dyDescent="0.25">
      <c r="B1734" s="68"/>
      <c r="C1734" s="50"/>
      <c r="D1734" s="15"/>
    </row>
    <row r="1735" spans="2:4" x14ac:dyDescent="0.25">
      <c r="B1735" s="68"/>
      <c r="C1735" s="50"/>
      <c r="D1735" s="15"/>
    </row>
    <row r="1736" spans="2:4" x14ac:dyDescent="0.25">
      <c r="B1736" s="68"/>
      <c r="C1736" s="50"/>
      <c r="D1736" s="15"/>
    </row>
    <row r="1737" spans="2:4" x14ac:dyDescent="0.25">
      <c r="B1737" s="68"/>
      <c r="C1737" s="50"/>
      <c r="D1737" s="15"/>
    </row>
    <row r="1738" spans="2:4" x14ac:dyDescent="0.25">
      <c r="B1738" s="68"/>
      <c r="C1738" s="50"/>
      <c r="D1738" s="15"/>
    </row>
    <row r="1739" spans="2:4" x14ac:dyDescent="0.25">
      <c r="B1739" s="68"/>
      <c r="C1739" s="50"/>
      <c r="D1739" s="15"/>
    </row>
    <row r="1740" spans="2:4" x14ac:dyDescent="0.25">
      <c r="B1740" s="68"/>
      <c r="C1740" s="50"/>
      <c r="D1740" s="15"/>
    </row>
    <row r="1741" spans="2:4" x14ac:dyDescent="0.25">
      <c r="B1741" s="68"/>
      <c r="C1741" s="50"/>
      <c r="D1741" s="15"/>
    </row>
    <row r="1742" spans="2:4" x14ac:dyDescent="0.25">
      <c r="B1742" s="68"/>
      <c r="C1742" s="50"/>
      <c r="D1742" s="15"/>
    </row>
    <row r="1743" spans="2:4" x14ac:dyDescent="0.25">
      <c r="B1743" s="68"/>
      <c r="C1743" s="50"/>
      <c r="D1743" s="15"/>
    </row>
    <row r="1744" spans="2:4" x14ac:dyDescent="0.25">
      <c r="B1744" s="68"/>
      <c r="C1744" s="50"/>
      <c r="D1744" s="15"/>
    </row>
    <row r="1745" spans="2:4" x14ac:dyDescent="0.25">
      <c r="B1745" s="68"/>
      <c r="C1745" s="50"/>
      <c r="D1745" s="15"/>
    </row>
    <row r="1746" spans="2:4" x14ac:dyDescent="0.25">
      <c r="B1746" s="68"/>
      <c r="C1746" s="50"/>
      <c r="D1746" s="15"/>
    </row>
    <row r="1747" spans="2:4" x14ac:dyDescent="0.25">
      <c r="B1747" s="68"/>
      <c r="C1747" s="50"/>
      <c r="D1747" s="15"/>
    </row>
    <row r="1748" spans="2:4" x14ac:dyDescent="0.25">
      <c r="B1748" s="68"/>
      <c r="C1748" s="50"/>
      <c r="D1748" s="15"/>
    </row>
    <row r="1749" spans="2:4" x14ac:dyDescent="0.25">
      <c r="B1749" s="68"/>
      <c r="C1749" s="50"/>
      <c r="D1749" s="15"/>
    </row>
    <row r="1750" spans="2:4" x14ac:dyDescent="0.25">
      <c r="B1750" s="68"/>
      <c r="C1750" s="50"/>
      <c r="D1750" s="15"/>
    </row>
    <row r="1751" spans="2:4" x14ac:dyDescent="0.25">
      <c r="B1751" s="68"/>
      <c r="C1751" s="50"/>
      <c r="D1751" s="15"/>
    </row>
    <row r="1752" spans="2:4" x14ac:dyDescent="0.25">
      <c r="B1752" s="68"/>
      <c r="C1752" s="50"/>
      <c r="D1752" s="15"/>
    </row>
    <row r="1753" spans="2:4" x14ac:dyDescent="0.25">
      <c r="B1753" s="68"/>
      <c r="C1753" s="50"/>
      <c r="D1753" s="15"/>
    </row>
    <row r="1754" spans="2:4" x14ac:dyDescent="0.25">
      <c r="B1754" s="68"/>
      <c r="C1754" s="50"/>
      <c r="D1754" s="15"/>
    </row>
    <row r="1755" spans="2:4" x14ac:dyDescent="0.25">
      <c r="B1755" s="68"/>
      <c r="C1755" s="50"/>
      <c r="D1755" s="15"/>
    </row>
    <row r="1756" spans="2:4" x14ac:dyDescent="0.25">
      <c r="B1756" s="68"/>
      <c r="C1756" s="50"/>
      <c r="D1756" s="15"/>
    </row>
    <row r="1757" spans="2:4" x14ac:dyDescent="0.25">
      <c r="B1757" s="68"/>
      <c r="C1757" s="50"/>
      <c r="D1757" s="15"/>
    </row>
    <row r="1758" spans="2:4" x14ac:dyDescent="0.25">
      <c r="B1758" s="68"/>
      <c r="C1758" s="50"/>
      <c r="D1758" s="15"/>
    </row>
    <row r="1759" spans="2:4" x14ac:dyDescent="0.25">
      <c r="B1759" s="68"/>
      <c r="C1759" s="50"/>
      <c r="D1759" s="15"/>
    </row>
    <row r="1760" spans="2:4" x14ac:dyDescent="0.25">
      <c r="B1760" s="68"/>
      <c r="C1760" s="50"/>
      <c r="D1760" s="15"/>
    </row>
    <row r="1761" spans="2:4" x14ac:dyDescent="0.25">
      <c r="B1761" s="68"/>
      <c r="C1761" s="50"/>
      <c r="D1761" s="15"/>
    </row>
    <row r="1762" spans="2:4" x14ac:dyDescent="0.25">
      <c r="B1762" s="68"/>
      <c r="C1762" s="50"/>
      <c r="D1762" s="15"/>
    </row>
    <row r="1763" spans="2:4" x14ac:dyDescent="0.25">
      <c r="B1763" s="68"/>
      <c r="C1763" s="50"/>
      <c r="D1763" s="15"/>
    </row>
    <row r="1764" spans="2:4" x14ac:dyDescent="0.25">
      <c r="B1764" s="68"/>
      <c r="C1764" s="50"/>
      <c r="D1764" s="15"/>
    </row>
    <row r="1765" spans="2:4" x14ac:dyDescent="0.25">
      <c r="B1765" s="68"/>
      <c r="C1765" s="50"/>
      <c r="D1765" s="15"/>
    </row>
    <row r="1766" spans="2:4" x14ac:dyDescent="0.25">
      <c r="B1766" s="68"/>
      <c r="C1766" s="50"/>
      <c r="D1766" s="15"/>
    </row>
    <row r="1767" spans="2:4" x14ac:dyDescent="0.25">
      <c r="B1767" s="68"/>
      <c r="C1767" s="50"/>
      <c r="D1767" s="15"/>
    </row>
    <row r="1768" spans="2:4" x14ac:dyDescent="0.25">
      <c r="B1768" s="68"/>
      <c r="C1768" s="50"/>
      <c r="D1768" s="15"/>
    </row>
    <row r="1769" spans="2:4" x14ac:dyDescent="0.25">
      <c r="B1769" s="68"/>
      <c r="C1769" s="50"/>
      <c r="D1769" s="15"/>
    </row>
    <row r="1770" spans="2:4" x14ac:dyDescent="0.25">
      <c r="B1770" s="68"/>
      <c r="C1770" s="50"/>
      <c r="D1770" s="15"/>
    </row>
    <row r="1771" spans="2:4" x14ac:dyDescent="0.25">
      <c r="B1771" s="68"/>
      <c r="C1771" s="50"/>
      <c r="D1771" s="15"/>
    </row>
    <row r="1772" spans="2:4" x14ac:dyDescent="0.25">
      <c r="B1772" s="68"/>
      <c r="C1772" s="50"/>
      <c r="D1772" s="15"/>
    </row>
    <row r="1773" spans="2:4" x14ac:dyDescent="0.25">
      <c r="B1773" s="68"/>
      <c r="C1773" s="50"/>
      <c r="D1773" s="15"/>
    </row>
    <row r="1774" spans="2:4" x14ac:dyDescent="0.25">
      <c r="B1774" s="68"/>
      <c r="C1774" s="50"/>
      <c r="D1774" s="15"/>
    </row>
    <row r="1775" spans="2:4" x14ac:dyDescent="0.25">
      <c r="B1775" s="68"/>
      <c r="C1775" s="50"/>
      <c r="D1775" s="15"/>
    </row>
    <row r="1776" spans="2:4" x14ac:dyDescent="0.25">
      <c r="B1776" s="68"/>
      <c r="C1776" s="50"/>
      <c r="D1776" s="15"/>
    </row>
    <row r="1777" spans="2:4" x14ac:dyDescent="0.25">
      <c r="B1777" s="68"/>
      <c r="C1777" s="50"/>
      <c r="D1777" s="15"/>
    </row>
    <row r="1778" spans="2:4" x14ac:dyDescent="0.25">
      <c r="B1778" s="68"/>
      <c r="C1778" s="50"/>
      <c r="D1778" s="15"/>
    </row>
    <row r="1779" spans="2:4" x14ac:dyDescent="0.25">
      <c r="B1779" s="68"/>
      <c r="C1779" s="50"/>
      <c r="D1779" s="15"/>
    </row>
    <row r="1780" spans="2:4" x14ac:dyDescent="0.25">
      <c r="B1780" s="68"/>
      <c r="C1780" s="50"/>
      <c r="D1780" s="15"/>
    </row>
    <row r="1781" spans="2:4" x14ac:dyDescent="0.25">
      <c r="B1781" s="68"/>
      <c r="C1781" s="50"/>
      <c r="D1781" s="15"/>
    </row>
    <row r="1782" spans="2:4" x14ac:dyDescent="0.25">
      <c r="B1782" s="68"/>
      <c r="C1782" s="50"/>
      <c r="D1782" s="15"/>
    </row>
    <row r="1783" spans="2:4" x14ac:dyDescent="0.25">
      <c r="B1783" s="68"/>
      <c r="C1783" s="50"/>
      <c r="D1783" s="15"/>
    </row>
    <row r="1784" spans="2:4" x14ac:dyDescent="0.25">
      <c r="B1784" s="68"/>
      <c r="C1784" s="50"/>
      <c r="D1784" s="15"/>
    </row>
    <row r="1785" spans="2:4" x14ac:dyDescent="0.25">
      <c r="B1785" s="68"/>
      <c r="C1785" s="50"/>
      <c r="D1785" s="15"/>
    </row>
    <row r="1786" spans="2:4" x14ac:dyDescent="0.25">
      <c r="B1786" s="68"/>
      <c r="C1786" s="50"/>
      <c r="D1786" s="15"/>
    </row>
    <row r="1787" spans="2:4" x14ac:dyDescent="0.25">
      <c r="B1787" s="68"/>
      <c r="C1787" s="50"/>
      <c r="D1787" s="15"/>
    </row>
    <row r="1788" spans="2:4" x14ac:dyDescent="0.25">
      <c r="B1788" s="68"/>
      <c r="C1788" s="50"/>
      <c r="D1788" s="15"/>
    </row>
    <row r="1789" spans="2:4" x14ac:dyDescent="0.25">
      <c r="B1789" s="68"/>
      <c r="C1789" s="50"/>
      <c r="D1789" s="15"/>
    </row>
    <row r="1790" spans="2:4" x14ac:dyDescent="0.25">
      <c r="B1790" s="68"/>
      <c r="C1790" s="50"/>
      <c r="D1790" s="15"/>
    </row>
    <row r="1791" spans="2:4" x14ac:dyDescent="0.25">
      <c r="B1791" s="68"/>
      <c r="C1791" s="50"/>
      <c r="D1791" s="15"/>
    </row>
    <row r="1792" spans="2:4" x14ac:dyDescent="0.25">
      <c r="B1792" s="68"/>
      <c r="C1792" s="50"/>
      <c r="D1792" s="15"/>
    </row>
    <row r="1793" spans="2:4" x14ac:dyDescent="0.25">
      <c r="B1793" s="68"/>
      <c r="C1793" s="50"/>
      <c r="D1793" s="15"/>
    </row>
    <row r="1794" spans="2:4" x14ac:dyDescent="0.25">
      <c r="B1794" s="68"/>
      <c r="C1794" s="50"/>
      <c r="D1794" s="15"/>
    </row>
    <row r="1795" spans="2:4" x14ac:dyDescent="0.25">
      <c r="B1795" s="68"/>
      <c r="C1795" s="50"/>
      <c r="D1795" s="15"/>
    </row>
    <row r="1796" spans="2:4" x14ac:dyDescent="0.25">
      <c r="B1796" s="68"/>
      <c r="C1796" s="50"/>
      <c r="D1796" s="15"/>
    </row>
    <row r="1797" spans="2:4" x14ac:dyDescent="0.25">
      <c r="B1797" s="68"/>
      <c r="C1797" s="50"/>
      <c r="D1797" s="15"/>
    </row>
    <row r="1798" spans="2:4" x14ac:dyDescent="0.25">
      <c r="B1798" s="68"/>
      <c r="C1798" s="50"/>
      <c r="D1798" s="15"/>
    </row>
    <row r="1799" spans="2:4" x14ac:dyDescent="0.25">
      <c r="B1799" s="68"/>
      <c r="C1799" s="50"/>
      <c r="D1799" s="15"/>
    </row>
    <row r="1800" spans="2:4" x14ac:dyDescent="0.25">
      <c r="B1800" s="68"/>
      <c r="C1800" s="50"/>
      <c r="D1800" s="15"/>
    </row>
    <row r="1801" spans="2:4" x14ac:dyDescent="0.25">
      <c r="B1801" s="68"/>
      <c r="C1801" s="50"/>
      <c r="D1801" s="15"/>
    </row>
    <row r="1802" spans="2:4" x14ac:dyDescent="0.25">
      <c r="B1802" s="68"/>
      <c r="C1802" s="50"/>
      <c r="D1802" s="15"/>
    </row>
    <row r="1803" spans="2:4" x14ac:dyDescent="0.25">
      <c r="B1803" s="68"/>
      <c r="C1803" s="50"/>
      <c r="D1803" s="15"/>
    </row>
    <row r="1804" spans="2:4" x14ac:dyDescent="0.25">
      <c r="B1804" s="68"/>
      <c r="C1804" s="50"/>
      <c r="D1804" s="15"/>
    </row>
    <row r="1805" spans="2:4" x14ac:dyDescent="0.25">
      <c r="B1805" s="68"/>
      <c r="C1805" s="50"/>
      <c r="D1805" s="15"/>
    </row>
    <row r="1806" spans="2:4" x14ac:dyDescent="0.25">
      <c r="B1806" s="68"/>
      <c r="C1806" s="50"/>
      <c r="D1806" s="15"/>
    </row>
    <row r="1807" spans="2:4" x14ac:dyDescent="0.25">
      <c r="B1807" s="68"/>
      <c r="C1807" s="50"/>
      <c r="D1807" s="15"/>
    </row>
    <row r="1808" spans="2:4" x14ac:dyDescent="0.25">
      <c r="B1808" s="68"/>
      <c r="C1808" s="50"/>
      <c r="D1808" s="15"/>
    </row>
    <row r="1809" spans="2:4" x14ac:dyDescent="0.25">
      <c r="B1809" s="68"/>
      <c r="C1809" s="50"/>
      <c r="D1809" s="15"/>
    </row>
    <row r="1810" spans="2:4" x14ac:dyDescent="0.25">
      <c r="B1810" s="68"/>
      <c r="C1810" s="50"/>
      <c r="D1810" s="15"/>
    </row>
    <row r="1811" spans="2:4" x14ac:dyDescent="0.25">
      <c r="B1811" s="68"/>
      <c r="C1811" s="50"/>
      <c r="D1811" s="15"/>
    </row>
    <row r="1812" spans="2:4" x14ac:dyDescent="0.25">
      <c r="B1812" s="68"/>
      <c r="C1812" s="50"/>
      <c r="D1812" s="15"/>
    </row>
    <row r="1813" spans="2:4" x14ac:dyDescent="0.25">
      <c r="B1813" s="68"/>
      <c r="C1813" s="50"/>
      <c r="D1813" s="15"/>
    </row>
    <row r="1814" spans="2:4" x14ac:dyDescent="0.25">
      <c r="B1814" s="68"/>
      <c r="C1814" s="50"/>
      <c r="D1814" s="15"/>
    </row>
    <row r="1815" spans="2:4" x14ac:dyDescent="0.25">
      <c r="B1815" s="68"/>
      <c r="C1815" s="50"/>
      <c r="D1815" s="15"/>
    </row>
    <row r="1816" spans="2:4" x14ac:dyDescent="0.25">
      <c r="B1816" s="68"/>
      <c r="C1816" s="50"/>
      <c r="D1816" s="15"/>
    </row>
    <row r="1817" spans="2:4" x14ac:dyDescent="0.25">
      <c r="B1817" s="68"/>
      <c r="C1817" s="50"/>
      <c r="D1817" s="15"/>
    </row>
    <row r="1818" spans="2:4" x14ac:dyDescent="0.25">
      <c r="B1818" s="68"/>
      <c r="C1818" s="50"/>
      <c r="D1818" s="15"/>
    </row>
    <row r="1819" spans="2:4" x14ac:dyDescent="0.25">
      <c r="B1819" s="68"/>
      <c r="C1819" s="50"/>
      <c r="D1819" s="15"/>
    </row>
    <row r="1820" spans="2:4" x14ac:dyDescent="0.25">
      <c r="B1820" s="68"/>
      <c r="C1820" s="50"/>
      <c r="D1820" s="15"/>
    </row>
    <row r="1821" spans="2:4" x14ac:dyDescent="0.25">
      <c r="B1821" s="68"/>
      <c r="C1821" s="50"/>
      <c r="D1821" s="15"/>
    </row>
    <row r="1822" spans="2:4" x14ac:dyDescent="0.25">
      <c r="B1822" s="68"/>
      <c r="C1822" s="50"/>
      <c r="D1822" s="15"/>
    </row>
    <row r="1823" spans="2:4" x14ac:dyDescent="0.25">
      <c r="B1823" s="68"/>
      <c r="C1823" s="50"/>
      <c r="D1823" s="15"/>
    </row>
    <row r="1824" spans="2:4" x14ac:dyDescent="0.25">
      <c r="B1824" s="68"/>
      <c r="C1824" s="50"/>
      <c r="D1824" s="15"/>
    </row>
    <row r="1825" spans="2:4" x14ac:dyDescent="0.25">
      <c r="B1825" s="68"/>
      <c r="C1825" s="50"/>
      <c r="D1825" s="15"/>
    </row>
    <row r="1826" spans="2:4" x14ac:dyDescent="0.25">
      <c r="B1826" s="68"/>
      <c r="C1826" s="50"/>
      <c r="D1826" s="15"/>
    </row>
    <row r="1827" spans="2:4" x14ac:dyDescent="0.25">
      <c r="B1827" s="68"/>
      <c r="C1827" s="50"/>
      <c r="D1827" s="15"/>
    </row>
    <row r="1828" spans="2:4" x14ac:dyDescent="0.25">
      <c r="B1828" s="68"/>
      <c r="C1828" s="50"/>
      <c r="D1828" s="15"/>
    </row>
    <row r="1829" spans="2:4" x14ac:dyDescent="0.25">
      <c r="B1829" s="68"/>
      <c r="C1829" s="50"/>
      <c r="D1829" s="15"/>
    </row>
    <row r="1830" spans="2:4" x14ac:dyDescent="0.25">
      <c r="B1830" s="68"/>
      <c r="C1830" s="50"/>
      <c r="D1830" s="15"/>
    </row>
    <row r="1831" spans="2:4" x14ac:dyDescent="0.25">
      <c r="B1831" s="68"/>
      <c r="C1831" s="50"/>
      <c r="D1831" s="15"/>
    </row>
    <row r="1832" spans="2:4" x14ac:dyDescent="0.25">
      <c r="B1832" s="68"/>
      <c r="C1832" s="50"/>
      <c r="D1832" s="15"/>
    </row>
    <row r="1833" spans="2:4" x14ac:dyDescent="0.25">
      <c r="B1833" s="68"/>
      <c r="C1833" s="50"/>
      <c r="D1833" s="15"/>
    </row>
    <row r="1834" spans="2:4" x14ac:dyDescent="0.25">
      <c r="B1834" s="68"/>
      <c r="C1834" s="50"/>
      <c r="D1834" s="15"/>
    </row>
    <row r="1835" spans="2:4" x14ac:dyDescent="0.25">
      <c r="B1835" s="68"/>
      <c r="C1835" s="50"/>
      <c r="D1835" s="15"/>
    </row>
    <row r="1836" spans="2:4" x14ac:dyDescent="0.25">
      <c r="B1836" s="68"/>
      <c r="C1836" s="50"/>
      <c r="D1836" s="15"/>
    </row>
    <row r="1837" spans="2:4" x14ac:dyDescent="0.25">
      <c r="B1837" s="68"/>
      <c r="C1837" s="50"/>
      <c r="D1837" s="15"/>
    </row>
    <row r="1838" spans="2:4" x14ac:dyDescent="0.25">
      <c r="B1838" s="68"/>
      <c r="C1838" s="50"/>
      <c r="D1838" s="15"/>
    </row>
    <row r="1839" spans="2:4" x14ac:dyDescent="0.25">
      <c r="B1839" s="68"/>
      <c r="C1839" s="50"/>
      <c r="D1839" s="15"/>
    </row>
    <row r="1840" spans="2:4" x14ac:dyDescent="0.25">
      <c r="B1840" s="68"/>
      <c r="C1840" s="50"/>
      <c r="D1840" s="15"/>
    </row>
    <row r="1841" spans="2:4" x14ac:dyDescent="0.25">
      <c r="B1841" s="68"/>
      <c r="C1841" s="50"/>
      <c r="D1841" s="15"/>
    </row>
    <row r="1842" spans="2:4" x14ac:dyDescent="0.25">
      <c r="B1842" s="68"/>
      <c r="C1842" s="50"/>
      <c r="D1842" s="15"/>
    </row>
    <row r="1843" spans="2:4" x14ac:dyDescent="0.25">
      <c r="B1843" s="68"/>
      <c r="C1843" s="50"/>
      <c r="D1843" s="15"/>
    </row>
    <row r="1844" spans="2:4" x14ac:dyDescent="0.25">
      <c r="B1844" s="68"/>
      <c r="C1844" s="50"/>
      <c r="D1844" s="15"/>
    </row>
    <row r="1845" spans="2:4" x14ac:dyDescent="0.25">
      <c r="B1845" s="68"/>
      <c r="C1845" s="50"/>
      <c r="D1845" s="15"/>
    </row>
    <row r="1846" spans="2:4" x14ac:dyDescent="0.25">
      <c r="B1846" s="68"/>
      <c r="C1846" s="50"/>
      <c r="D1846" s="15"/>
    </row>
    <row r="1847" spans="2:4" x14ac:dyDescent="0.25">
      <c r="B1847" s="68"/>
      <c r="C1847" s="50"/>
      <c r="D1847" s="15"/>
    </row>
    <row r="1848" spans="2:4" x14ac:dyDescent="0.25">
      <c r="B1848" s="68"/>
      <c r="C1848" s="50"/>
      <c r="D1848" s="15"/>
    </row>
    <row r="1849" spans="2:4" x14ac:dyDescent="0.25">
      <c r="B1849" s="68"/>
      <c r="C1849" s="50"/>
      <c r="D1849" s="15"/>
    </row>
    <row r="1850" spans="2:4" x14ac:dyDescent="0.25">
      <c r="B1850" s="68"/>
      <c r="C1850" s="50"/>
      <c r="D1850" s="15"/>
    </row>
    <row r="1851" spans="2:4" x14ac:dyDescent="0.25">
      <c r="B1851" s="68"/>
      <c r="C1851" s="50"/>
      <c r="D1851" s="15"/>
    </row>
    <row r="1852" spans="2:4" x14ac:dyDescent="0.25">
      <c r="B1852" s="68"/>
      <c r="C1852" s="50"/>
      <c r="D1852" s="15"/>
    </row>
    <row r="1853" spans="2:4" x14ac:dyDescent="0.25">
      <c r="B1853" s="68"/>
      <c r="C1853" s="50"/>
      <c r="D1853" s="15"/>
    </row>
    <row r="1854" spans="2:4" x14ac:dyDescent="0.25">
      <c r="B1854" s="68"/>
      <c r="C1854" s="50"/>
      <c r="D1854" s="15"/>
    </row>
    <row r="1855" spans="2:4" x14ac:dyDescent="0.25">
      <c r="B1855" s="68"/>
      <c r="C1855" s="50"/>
      <c r="D1855" s="15"/>
    </row>
    <row r="1856" spans="2:4" x14ac:dyDescent="0.25">
      <c r="B1856" s="68"/>
      <c r="C1856" s="50"/>
      <c r="D1856" s="15"/>
    </row>
    <row r="1857" spans="2:4" x14ac:dyDescent="0.25">
      <c r="B1857" s="68"/>
      <c r="C1857" s="50"/>
      <c r="D1857" s="15"/>
    </row>
    <row r="1858" spans="2:4" x14ac:dyDescent="0.25">
      <c r="B1858" s="68"/>
      <c r="C1858" s="50"/>
      <c r="D1858" s="15"/>
    </row>
    <row r="1859" spans="2:4" x14ac:dyDescent="0.25">
      <c r="B1859" s="68"/>
      <c r="C1859" s="50"/>
      <c r="D1859" s="15"/>
    </row>
    <row r="1860" spans="2:4" x14ac:dyDescent="0.25">
      <c r="B1860" s="68"/>
      <c r="C1860" s="50"/>
      <c r="D1860" s="15"/>
    </row>
    <row r="1861" spans="2:4" x14ac:dyDescent="0.25">
      <c r="B1861" s="68"/>
      <c r="C1861" s="50"/>
      <c r="D1861" s="15"/>
    </row>
    <row r="1862" spans="2:4" x14ac:dyDescent="0.25">
      <c r="B1862" s="68"/>
      <c r="C1862" s="50"/>
      <c r="D1862" s="15"/>
    </row>
    <row r="1863" spans="2:4" x14ac:dyDescent="0.25">
      <c r="B1863" s="68"/>
      <c r="C1863" s="50"/>
      <c r="D1863" s="15"/>
    </row>
    <row r="1864" spans="2:4" x14ac:dyDescent="0.25">
      <c r="B1864" s="68"/>
      <c r="C1864" s="50"/>
      <c r="D1864" s="15"/>
    </row>
    <row r="1865" spans="2:4" x14ac:dyDescent="0.25">
      <c r="B1865" s="68"/>
      <c r="C1865" s="50"/>
      <c r="D1865" s="15"/>
    </row>
    <row r="1866" spans="2:4" x14ac:dyDescent="0.25">
      <c r="B1866" s="68"/>
      <c r="C1866" s="50"/>
      <c r="D1866" s="15"/>
    </row>
    <row r="1867" spans="2:4" x14ac:dyDescent="0.25">
      <c r="B1867" s="68"/>
      <c r="C1867" s="50"/>
      <c r="D1867" s="15"/>
    </row>
    <row r="1868" spans="2:4" x14ac:dyDescent="0.25">
      <c r="B1868" s="68"/>
      <c r="C1868" s="50"/>
      <c r="D1868" s="15"/>
    </row>
    <row r="1869" spans="2:4" x14ac:dyDescent="0.25">
      <c r="B1869" s="68"/>
      <c r="C1869" s="50"/>
      <c r="D1869" s="15"/>
    </row>
    <row r="1870" spans="2:4" x14ac:dyDescent="0.25">
      <c r="B1870" s="68"/>
      <c r="C1870" s="50"/>
      <c r="D1870" s="15"/>
    </row>
    <row r="1871" spans="2:4" x14ac:dyDescent="0.25">
      <c r="B1871" s="68"/>
      <c r="C1871" s="50"/>
      <c r="D1871" s="15"/>
    </row>
    <row r="1872" spans="2:4" x14ac:dyDescent="0.25">
      <c r="B1872" s="68"/>
      <c r="C1872" s="50"/>
      <c r="D1872" s="15"/>
    </row>
    <row r="1873" spans="2:4" x14ac:dyDescent="0.25">
      <c r="B1873" s="68"/>
      <c r="C1873" s="50"/>
      <c r="D1873" s="15"/>
    </row>
    <row r="1874" spans="2:4" x14ac:dyDescent="0.25">
      <c r="B1874" s="68"/>
      <c r="C1874" s="50"/>
      <c r="D1874" s="15"/>
    </row>
    <row r="1875" spans="2:4" x14ac:dyDescent="0.25">
      <c r="B1875" s="68"/>
      <c r="C1875" s="50"/>
      <c r="D1875" s="15"/>
    </row>
    <row r="1876" spans="2:4" x14ac:dyDescent="0.25">
      <c r="B1876" s="68"/>
      <c r="C1876" s="50"/>
      <c r="D1876" s="15"/>
    </row>
    <row r="1877" spans="2:4" x14ac:dyDescent="0.25">
      <c r="B1877" s="68"/>
      <c r="C1877" s="50"/>
      <c r="D1877" s="15"/>
    </row>
    <row r="1878" spans="2:4" x14ac:dyDescent="0.25">
      <c r="B1878" s="68"/>
      <c r="C1878" s="50"/>
      <c r="D1878" s="15"/>
    </row>
    <row r="1879" spans="2:4" x14ac:dyDescent="0.25">
      <c r="B1879" s="68"/>
      <c r="C1879" s="50"/>
      <c r="D1879" s="15"/>
    </row>
    <row r="1880" spans="2:4" x14ac:dyDescent="0.25">
      <c r="B1880" s="68"/>
      <c r="C1880" s="50"/>
      <c r="D1880" s="15"/>
    </row>
    <row r="1881" spans="2:4" x14ac:dyDescent="0.25">
      <c r="B1881" s="68"/>
      <c r="C1881" s="50"/>
      <c r="D1881" s="15"/>
    </row>
    <row r="1882" spans="2:4" x14ac:dyDescent="0.25">
      <c r="B1882" s="68"/>
      <c r="C1882" s="50"/>
      <c r="D1882" s="15"/>
    </row>
    <row r="1883" spans="2:4" x14ac:dyDescent="0.25">
      <c r="B1883" s="68"/>
      <c r="C1883" s="50"/>
      <c r="D1883" s="15"/>
    </row>
    <row r="1884" spans="2:4" x14ac:dyDescent="0.25">
      <c r="B1884" s="68"/>
      <c r="C1884" s="50"/>
      <c r="D1884" s="15"/>
    </row>
    <row r="1885" spans="2:4" x14ac:dyDescent="0.25">
      <c r="B1885" s="68"/>
      <c r="C1885" s="50"/>
      <c r="D1885" s="15"/>
    </row>
    <row r="1886" spans="2:4" x14ac:dyDescent="0.25">
      <c r="B1886" s="68"/>
      <c r="C1886" s="50"/>
      <c r="D1886" s="15"/>
    </row>
    <row r="1887" spans="2:4" x14ac:dyDescent="0.25">
      <c r="B1887" s="68"/>
      <c r="C1887" s="50"/>
      <c r="D1887" s="15"/>
    </row>
    <row r="1888" spans="2:4" x14ac:dyDescent="0.25">
      <c r="B1888" s="68"/>
      <c r="C1888" s="50"/>
      <c r="D1888" s="15"/>
    </row>
    <row r="1889" spans="2:4" x14ac:dyDescent="0.25">
      <c r="B1889" s="68"/>
      <c r="C1889" s="50"/>
      <c r="D1889" s="15"/>
    </row>
    <row r="1890" spans="2:4" x14ac:dyDescent="0.25">
      <c r="B1890" s="68"/>
      <c r="C1890" s="50"/>
      <c r="D1890" s="15"/>
    </row>
    <row r="1891" spans="2:4" x14ac:dyDescent="0.25">
      <c r="B1891" s="68"/>
      <c r="C1891" s="50"/>
      <c r="D1891" s="15"/>
    </row>
    <row r="1892" spans="2:4" x14ac:dyDescent="0.25">
      <c r="B1892" s="68"/>
      <c r="C1892" s="50"/>
      <c r="D1892" s="15"/>
    </row>
    <row r="1893" spans="2:4" x14ac:dyDescent="0.25">
      <c r="B1893" s="68"/>
      <c r="C1893" s="50"/>
      <c r="D1893" s="15"/>
    </row>
    <row r="1894" spans="2:4" x14ac:dyDescent="0.25">
      <c r="B1894" s="68"/>
      <c r="C1894" s="50"/>
      <c r="D1894" s="15"/>
    </row>
    <row r="1895" spans="2:4" x14ac:dyDescent="0.25">
      <c r="B1895" s="68"/>
      <c r="C1895" s="50"/>
      <c r="D1895" s="15"/>
    </row>
    <row r="1896" spans="2:4" x14ac:dyDescent="0.25">
      <c r="B1896" s="68"/>
      <c r="C1896" s="50"/>
      <c r="D1896" s="15"/>
    </row>
    <row r="1897" spans="2:4" x14ac:dyDescent="0.25">
      <c r="B1897" s="68"/>
      <c r="C1897" s="50"/>
      <c r="D1897" s="15"/>
    </row>
    <row r="1898" spans="2:4" x14ac:dyDescent="0.25">
      <c r="B1898" s="68"/>
      <c r="C1898" s="50"/>
      <c r="D1898" s="15"/>
    </row>
    <row r="1899" spans="2:4" x14ac:dyDescent="0.25">
      <c r="B1899" s="68"/>
      <c r="C1899" s="50"/>
      <c r="D1899" s="15"/>
    </row>
    <row r="1900" spans="2:4" x14ac:dyDescent="0.25">
      <c r="B1900" s="68"/>
      <c r="C1900" s="50"/>
      <c r="D1900" s="15"/>
    </row>
    <row r="1901" spans="2:4" x14ac:dyDescent="0.25">
      <c r="B1901" s="68"/>
      <c r="C1901" s="50"/>
      <c r="D1901" s="15"/>
    </row>
    <row r="1902" spans="2:4" x14ac:dyDescent="0.25">
      <c r="B1902" s="68"/>
      <c r="C1902" s="50"/>
      <c r="D1902" s="15"/>
    </row>
    <row r="1903" spans="2:4" x14ac:dyDescent="0.25">
      <c r="B1903" s="68"/>
      <c r="C1903" s="50"/>
      <c r="D1903" s="15"/>
    </row>
    <row r="1904" spans="2:4" x14ac:dyDescent="0.25">
      <c r="B1904" s="68"/>
      <c r="C1904" s="50"/>
      <c r="D1904" s="15"/>
    </row>
    <row r="1905" spans="2:4" x14ac:dyDescent="0.25">
      <c r="B1905" s="68"/>
      <c r="C1905" s="50"/>
      <c r="D1905" s="15"/>
    </row>
    <row r="1906" spans="2:4" x14ac:dyDescent="0.25">
      <c r="B1906" s="68"/>
      <c r="C1906" s="50"/>
      <c r="D1906" s="15"/>
    </row>
    <row r="1907" spans="2:4" x14ac:dyDescent="0.25">
      <c r="B1907" s="68"/>
      <c r="C1907" s="50"/>
      <c r="D1907" s="15"/>
    </row>
    <row r="1908" spans="2:4" x14ac:dyDescent="0.25">
      <c r="B1908" s="68"/>
      <c r="C1908" s="50"/>
      <c r="D1908" s="15"/>
    </row>
    <row r="1909" spans="2:4" x14ac:dyDescent="0.25">
      <c r="B1909" s="68"/>
      <c r="C1909" s="50"/>
      <c r="D1909" s="15"/>
    </row>
    <row r="1910" spans="2:4" x14ac:dyDescent="0.25">
      <c r="B1910" s="68"/>
      <c r="C1910" s="50"/>
      <c r="D1910" s="15"/>
    </row>
    <row r="1911" spans="2:4" x14ac:dyDescent="0.25">
      <c r="B1911" s="68"/>
      <c r="C1911" s="50"/>
      <c r="D1911" s="15"/>
    </row>
    <row r="1912" spans="2:4" x14ac:dyDescent="0.25">
      <c r="B1912" s="68"/>
      <c r="C1912" s="50"/>
      <c r="D1912" s="15"/>
    </row>
    <row r="1913" spans="2:4" x14ac:dyDescent="0.25">
      <c r="B1913" s="68"/>
      <c r="C1913" s="50"/>
      <c r="D1913" s="15"/>
    </row>
    <row r="1914" spans="2:4" x14ac:dyDescent="0.25">
      <c r="B1914" s="68"/>
      <c r="C1914" s="50"/>
      <c r="D1914" s="15"/>
    </row>
    <row r="1915" spans="2:4" x14ac:dyDescent="0.25">
      <c r="B1915" s="68"/>
      <c r="C1915" s="50"/>
      <c r="D1915" s="15"/>
    </row>
    <row r="1916" spans="2:4" x14ac:dyDescent="0.25">
      <c r="B1916" s="68"/>
      <c r="C1916" s="50"/>
      <c r="D1916" s="15"/>
    </row>
    <row r="1917" spans="2:4" x14ac:dyDescent="0.25">
      <c r="B1917" s="68"/>
      <c r="C1917" s="50"/>
      <c r="D1917" s="15"/>
    </row>
    <row r="1918" spans="2:4" x14ac:dyDescent="0.25">
      <c r="B1918" s="68"/>
      <c r="C1918" s="50"/>
      <c r="D1918" s="15"/>
    </row>
    <row r="1919" spans="2:4" x14ac:dyDescent="0.25">
      <c r="B1919" s="68"/>
      <c r="C1919" s="50"/>
      <c r="D1919" s="15"/>
    </row>
    <row r="1920" spans="2:4" x14ac:dyDescent="0.25">
      <c r="B1920" s="68"/>
      <c r="C1920" s="50"/>
      <c r="D1920" s="15"/>
    </row>
    <row r="1921" spans="2:4" x14ac:dyDescent="0.25">
      <c r="B1921" s="68"/>
      <c r="C1921" s="50"/>
      <c r="D1921" s="15"/>
    </row>
    <row r="1922" spans="2:4" x14ac:dyDescent="0.25">
      <c r="B1922" s="68"/>
      <c r="C1922" s="50"/>
      <c r="D1922" s="15"/>
    </row>
    <row r="1923" spans="2:4" x14ac:dyDescent="0.25">
      <c r="B1923" s="68"/>
      <c r="C1923" s="50"/>
      <c r="D1923" s="15"/>
    </row>
    <row r="1924" spans="2:4" x14ac:dyDescent="0.25">
      <c r="B1924" s="68"/>
      <c r="C1924" s="50"/>
      <c r="D1924" s="15"/>
    </row>
    <row r="1925" spans="2:4" x14ac:dyDescent="0.25">
      <c r="B1925" s="68"/>
      <c r="C1925" s="50"/>
      <c r="D1925" s="15"/>
    </row>
    <row r="1926" spans="2:4" x14ac:dyDescent="0.25">
      <c r="B1926" s="68"/>
      <c r="C1926" s="50"/>
      <c r="D1926" s="15"/>
    </row>
    <row r="1927" spans="2:4" x14ac:dyDescent="0.25">
      <c r="B1927" s="68"/>
      <c r="C1927" s="50"/>
      <c r="D1927" s="15"/>
    </row>
    <row r="1928" spans="2:4" x14ac:dyDescent="0.25">
      <c r="B1928" s="68"/>
      <c r="C1928" s="50"/>
      <c r="D1928" s="15"/>
    </row>
    <row r="1929" spans="2:4" x14ac:dyDescent="0.25">
      <c r="B1929" s="68"/>
      <c r="C1929" s="50"/>
      <c r="D1929" s="15"/>
    </row>
    <row r="1930" spans="2:4" x14ac:dyDescent="0.25">
      <c r="B1930" s="68"/>
      <c r="C1930" s="50"/>
      <c r="D1930" s="15"/>
    </row>
    <row r="1931" spans="2:4" x14ac:dyDescent="0.25">
      <c r="B1931" s="68"/>
      <c r="C1931" s="50"/>
      <c r="D1931" s="15"/>
    </row>
    <row r="1932" spans="2:4" x14ac:dyDescent="0.25">
      <c r="B1932" s="68"/>
      <c r="C1932" s="50"/>
      <c r="D1932" s="15"/>
    </row>
    <row r="1933" spans="2:4" x14ac:dyDescent="0.25">
      <c r="B1933" s="68"/>
      <c r="C1933" s="50"/>
      <c r="D1933" s="15"/>
    </row>
    <row r="1934" spans="2:4" x14ac:dyDescent="0.25">
      <c r="B1934" s="68"/>
      <c r="C1934" s="50"/>
      <c r="D1934" s="15"/>
    </row>
    <row r="1935" spans="2:4" x14ac:dyDescent="0.25">
      <c r="B1935" s="68"/>
      <c r="C1935" s="50"/>
      <c r="D1935" s="15"/>
    </row>
    <row r="1936" spans="2:4" x14ac:dyDescent="0.25">
      <c r="B1936" s="68"/>
      <c r="C1936" s="50"/>
      <c r="D1936" s="15"/>
    </row>
    <row r="1937" spans="2:4" x14ac:dyDescent="0.25">
      <c r="B1937" s="68"/>
      <c r="C1937" s="50"/>
      <c r="D1937" s="15"/>
    </row>
    <row r="1938" spans="2:4" x14ac:dyDescent="0.25">
      <c r="B1938" s="68"/>
      <c r="C1938" s="50"/>
      <c r="D1938" s="15"/>
    </row>
    <row r="1939" spans="2:4" x14ac:dyDescent="0.25">
      <c r="B1939" s="68"/>
      <c r="C1939" s="50"/>
      <c r="D1939" s="15"/>
    </row>
    <row r="1940" spans="2:4" x14ac:dyDescent="0.25">
      <c r="B1940" s="68"/>
      <c r="C1940" s="50"/>
      <c r="D1940" s="15"/>
    </row>
    <row r="1941" spans="2:4" x14ac:dyDescent="0.25">
      <c r="B1941" s="68"/>
      <c r="C1941" s="50"/>
      <c r="D1941" s="15"/>
    </row>
    <row r="1942" spans="2:4" x14ac:dyDescent="0.25">
      <c r="B1942" s="68"/>
      <c r="C1942" s="50"/>
      <c r="D1942" s="15"/>
    </row>
    <row r="1943" spans="2:4" x14ac:dyDescent="0.25">
      <c r="B1943" s="68"/>
      <c r="C1943" s="50"/>
      <c r="D1943" s="15"/>
    </row>
    <row r="1944" spans="2:4" x14ac:dyDescent="0.25">
      <c r="B1944" s="68"/>
      <c r="C1944" s="50"/>
      <c r="D1944" s="15"/>
    </row>
    <row r="1945" spans="2:4" x14ac:dyDescent="0.25">
      <c r="B1945" s="68"/>
      <c r="C1945" s="50"/>
      <c r="D1945" s="15"/>
    </row>
    <row r="1946" spans="2:4" x14ac:dyDescent="0.25">
      <c r="B1946" s="68"/>
      <c r="C1946" s="50"/>
      <c r="D1946" s="15"/>
    </row>
    <row r="1947" spans="2:4" x14ac:dyDescent="0.25">
      <c r="B1947" s="68"/>
      <c r="C1947" s="50"/>
      <c r="D1947" s="15"/>
    </row>
    <row r="1948" spans="2:4" x14ac:dyDescent="0.25">
      <c r="B1948" s="68"/>
      <c r="C1948" s="50"/>
      <c r="D1948" s="15"/>
    </row>
    <row r="1949" spans="2:4" x14ac:dyDescent="0.25">
      <c r="B1949" s="68"/>
      <c r="C1949" s="50"/>
      <c r="D1949" s="15"/>
    </row>
    <row r="1950" spans="2:4" x14ac:dyDescent="0.25">
      <c r="B1950" s="68"/>
      <c r="C1950" s="50"/>
      <c r="D1950" s="15"/>
    </row>
    <row r="1951" spans="2:4" x14ac:dyDescent="0.25">
      <c r="B1951" s="68"/>
      <c r="C1951" s="50"/>
      <c r="D1951" s="15"/>
    </row>
    <row r="1952" spans="2:4" x14ac:dyDescent="0.25">
      <c r="B1952" s="68"/>
      <c r="C1952" s="50"/>
      <c r="D1952" s="15"/>
    </row>
    <row r="1953" spans="2:4" x14ac:dyDescent="0.25">
      <c r="B1953" s="68"/>
      <c r="C1953" s="50"/>
      <c r="D1953" s="15"/>
    </row>
    <row r="1954" spans="2:4" x14ac:dyDescent="0.25">
      <c r="B1954" s="68"/>
      <c r="C1954" s="50"/>
      <c r="D1954" s="15"/>
    </row>
    <row r="1955" spans="2:4" x14ac:dyDescent="0.25">
      <c r="B1955" s="68"/>
      <c r="C1955" s="50"/>
      <c r="D1955" s="15"/>
    </row>
    <row r="1956" spans="2:4" x14ac:dyDescent="0.25">
      <c r="B1956" s="68"/>
      <c r="C1956" s="50"/>
      <c r="D1956" s="15"/>
    </row>
    <row r="1957" spans="2:4" x14ac:dyDescent="0.25">
      <c r="B1957" s="68"/>
      <c r="C1957" s="50"/>
      <c r="D1957" s="15"/>
    </row>
    <row r="1958" spans="2:4" x14ac:dyDescent="0.25">
      <c r="B1958" s="68"/>
      <c r="C1958" s="50"/>
      <c r="D1958" s="15"/>
    </row>
    <row r="1959" spans="2:4" x14ac:dyDescent="0.25">
      <c r="B1959" s="68"/>
      <c r="C1959" s="50"/>
      <c r="D1959" s="15"/>
    </row>
    <row r="1960" spans="2:4" x14ac:dyDescent="0.25">
      <c r="B1960" s="68"/>
      <c r="C1960" s="50"/>
      <c r="D1960" s="15"/>
    </row>
    <row r="1961" spans="2:4" x14ac:dyDescent="0.25">
      <c r="B1961" s="68"/>
      <c r="C1961" s="50"/>
      <c r="D1961" s="15"/>
    </row>
    <row r="1962" spans="2:4" x14ac:dyDescent="0.25">
      <c r="B1962" s="68"/>
      <c r="C1962" s="50"/>
      <c r="D1962" s="15"/>
    </row>
    <row r="1963" spans="2:4" x14ac:dyDescent="0.25">
      <c r="B1963" s="68"/>
      <c r="C1963" s="50"/>
      <c r="D1963" s="15"/>
    </row>
    <row r="1964" spans="2:4" x14ac:dyDescent="0.25">
      <c r="B1964" s="68"/>
      <c r="C1964" s="50"/>
      <c r="D1964" s="15"/>
    </row>
    <row r="1965" spans="2:4" x14ac:dyDescent="0.25">
      <c r="B1965" s="68"/>
      <c r="C1965" s="50"/>
      <c r="D1965" s="15"/>
    </row>
    <row r="1966" spans="2:4" x14ac:dyDescent="0.25">
      <c r="B1966" s="68"/>
      <c r="C1966" s="50"/>
      <c r="D1966" s="15"/>
    </row>
    <row r="1967" spans="2:4" x14ac:dyDescent="0.25">
      <c r="B1967" s="68"/>
      <c r="C1967" s="50"/>
      <c r="D1967" s="15"/>
    </row>
    <row r="1968" spans="2:4" x14ac:dyDescent="0.25">
      <c r="B1968" s="68"/>
      <c r="C1968" s="50"/>
      <c r="D1968" s="15"/>
    </row>
    <row r="1969" spans="2:4" x14ac:dyDescent="0.25">
      <c r="B1969" s="68"/>
      <c r="C1969" s="50"/>
      <c r="D1969" s="15"/>
    </row>
    <row r="1970" spans="2:4" x14ac:dyDescent="0.25">
      <c r="B1970" s="68"/>
      <c r="C1970" s="50"/>
      <c r="D1970" s="15"/>
    </row>
    <row r="1971" spans="2:4" x14ac:dyDescent="0.25">
      <c r="B1971" s="68"/>
      <c r="C1971" s="50"/>
      <c r="D1971" s="15"/>
    </row>
    <row r="1972" spans="2:4" x14ac:dyDescent="0.25">
      <c r="B1972" s="68"/>
      <c r="C1972" s="50"/>
      <c r="D1972" s="15"/>
    </row>
    <row r="1973" spans="2:4" x14ac:dyDescent="0.25">
      <c r="B1973" s="68"/>
      <c r="C1973" s="50"/>
      <c r="D1973" s="15"/>
    </row>
    <row r="1974" spans="2:4" x14ac:dyDescent="0.25">
      <c r="B1974" s="68"/>
      <c r="C1974" s="50"/>
      <c r="D1974" s="15"/>
    </row>
    <row r="1975" spans="2:4" x14ac:dyDescent="0.25">
      <c r="B1975" s="68"/>
      <c r="C1975" s="50"/>
      <c r="D1975" s="15"/>
    </row>
    <row r="1976" spans="2:4" x14ac:dyDescent="0.25">
      <c r="B1976" s="68"/>
      <c r="C1976" s="50"/>
      <c r="D1976" s="15"/>
    </row>
    <row r="1977" spans="2:4" x14ac:dyDescent="0.25">
      <c r="B1977" s="68"/>
      <c r="C1977" s="50"/>
      <c r="D1977" s="15"/>
    </row>
    <row r="1978" spans="2:4" x14ac:dyDescent="0.25">
      <c r="B1978" s="68"/>
      <c r="C1978" s="50"/>
      <c r="D1978" s="15"/>
    </row>
    <row r="1979" spans="2:4" x14ac:dyDescent="0.25">
      <c r="B1979" s="68"/>
      <c r="C1979" s="50"/>
      <c r="D1979" s="15"/>
    </row>
    <row r="1980" spans="2:4" x14ac:dyDescent="0.25">
      <c r="B1980" s="68"/>
      <c r="C1980" s="50"/>
      <c r="D1980" s="15"/>
    </row>
    <row r="1981" spans="2:4" x14ac:dyDescent="0.25">
      <c r="B1981" s="68"/>
      <c r="C1981" s="50"/>
      <c r="D1981" s="15"/>
    </row>
    <row r="1982" spans="2:4" x14ac:dyDescent="0.25">
      <c r="B1982" s="68"/>
      <c r="C1982" s="50"/>
      <c r="D1982" s="15"/>
    </row>
    <row r="1983" spans="2:4" x14ac:dyDescent="0.25">
      <c r="B1983" s="68"/>
      <c r="C1983" s="50"/>
      <c r="D1983" s="15"/>
    </row>
    <row r="1984" spans="2:4" x14ac:dyDescent="0.25">
      <c r="B1984" s="68"/>
      <c r="C1984" s="50"/>
      <c r="D1984" s="15"/>
    </row>
    <row r="1985" spans="2:4" x14ac:dyDescent="0.25">
      <c r="B1985" s="68"/>
      <c r="C1985" s="50"/>
      <c r="D1985" s="15"/>
    </row>
    <row r="1986" spans="2:4" x14ac:dyDescent="0.25">
      <c r="B1986" s="68"/>
      <c r="C1986" s="50"/>
      <c r="D1986" s="15"/>
    </row>
    <row r="1987" spans="2:4" x14ac:dyDescent="0.25">
      <c r="B1987" s="68"/>
      <c r="C1987" s="50"/>
      <c r="D1987" s="15"/>
    </row>
    <row r="1988" spans="2:4" x14ac:dyDescent="0.25">
      <c r="B1988" s="68"/>
      <c r="C1988" s="50"/>
      <c r="D1988" s="15"/>
    </row>
    <row r="1989" spans="2:4" x14ac:dyDescent="0.25">
      <c r="B1989" s="68"/>
      <c r="C1989" s="50"/>
      <c r="D1989" s="15"/>
    </row>
    <row r="1990" spans="2:4" x14ac:dyDescent="0.25">
      <c r="B1990" s="68"/>
      <c r="C1990" s="50"/>
      <c r="D1990" s="15"/>
    </row>
    <row r="1991" spans="2:4" x14ac:dyDescent="0.25">
      <c r="B1991" s="68"/>
      <c r="C1991" s="50"/>
      <c r="D1991" s="15"/>
    </row>
    <row r="1992" spans="2:4" x14ac:dyDescent="0.25">
      <c r="B1992" s="68"/>
      <c r="C1992" s="50"/>
      <c r="D1992" s="15"/>
    </row>
    <row r="1993" spans="2:4" x14ac:dyDescent="0.25">
      <c r="B1993" s="68"/>
      <c r="C1993" s="50"/>
      <c r="D1993" s="15"/>
    </row>
    <row r="1994" spans="2:4" x14ac:dyDescent="0.25">
      <c r="B1994" s="68"/>
      <c r="C1994" s="50"/>
      <c r="D1994" s="15"/>
    </row>
    <row r="1995" spans="2:4" x14ac:dyDescent="0.25">
      <c r="B1995" s="68"/>
      <c r="C1995" s="50"/>
      <c r="D1995" s="15"/>
    </row>
    <row r="1996" spans="2:4" x14ac:dyDescent="0.25">
      <c r="B1996" s="68"/>
      <c r="C1996" s="50"/>
      <c r="D1996" s="15"/>
    </row>
    <row r="1997" spans="2:4" x14ac:dyDescent="0.25">
      <c r="B1997" s="68"/>
      <c r="C1997" s="50"/>
      <c r="D1997" s="15"/>
    </row>
    <row r="1998" spans="2:4" x14ac:dyDescent="0.25">
      <c r="B1998" s="68"/>
      <c r="C1998" s="50"/>
      <c r="D1998" s="15"/>
    </row>
    <row r="1999" spans="2:4" x14ac:dyDescent="0.25">
      <c r="B1999" s="68"/>
      <c r="C1999" s="50"/>
      <c r="D1999" s="15"/>
    </row>
    <row r="2000" spans="2:4" x14ac:dyDescent="0.25">
      <c r="B2000" s="68"/>
      <c r="C2000" s="50"/>
      <c r="D2000" s="15"/>
    </row>
    <row r="2001" spans="2:4" x14ac:dyDescent="0.25">
      <c r="B2001" s="68"/>
      <c r="C2001" s="50"/>
      <c r="D2001" s="15"/>
    </row>
    <row r="2002" spans="2:4" x14ac:dyDescent="0.25">
      <c r="B2002" s="68"/>
      <c r="C2002" s="50"/>
      <c r="D2002" s="15"/>
    </row>
    <row r="2003" spans="2:4" x14ac:dyDescent="0.25">
      <c r="B2003" s="68"/>
      <c r="C2003" s="50"/>
      <c r="D2003" s="15"/>
    </row>
    <row r="2004" spans="2:4" x14ac:dyDescent="0.25">
      <c r="B2004" s="68"/>
      <c r="C2004" s="50"/>
      <c r="D2004" s="15"/>
    </row>
    <row r="2005" spans="2:4" x14ac:dyDescent="0.25">
      <c r="B2005" s="68"/>
      <c r="C2005" s="50"/>
      <c r="D2005" s="15"/>
    </row>
    <row r="2006" spans="2:4" x14ac:dyDescent="0.25">
      <c r="B2006" s="68"/>
      <c r="C2006" s="50"/>
      <c r="D2006" s="15"/>
    </row>
    <row r="2007" spans="2:4" x14ac:dyDescent="0.25">
      <c r="B2007" s="68"/>
      <c r="C2007" s="50"/>
      <c r="D2007" s="15"/>
    </row>
    <row r="2008" spans="2:4" x14ac:dyDescent="0.25">
      <c r="B2008" s="68"/>
      <c r="C2008" s="50"/>
      <c r="D2008" s="15"/>
    </row>
    <row r="2009" spans="2:4" x14ac:dyDescent="0.25">
      <c r="B2009" s="68"/>
      <c r="C2009" s="50"/>
      <c r="D2009" s="15"/>
    </row>
    <row r="2010" spans="2:4" x14ac:dyDescent="0.25">
      <c r="B2010" s="68"/>
      <c r="C2010" s="50"/>
      <c r="D2010" s="15"/>
    </row>
    <row r="2011" spans="2:4" x14ac:dyDescent="0.25">
      <c r="B2011" s="68"/>
      <c r="C2011" s="50"/>
      <c r="D2011" s="15"/>
    </row>
    <row r="2012" spans="2:4" x14ac:dyDescent="0.25">
      <c r="B2012" s="68"/>
      <c r="C2012" s="50"/>
      <c r="D2012" s="15"/>
    </row>
    <row r="2013" spans="2:4" x14ac:dyDescent="0.25">
      <c r="B2013" s="68"/>
      <c r="C2013" s="50"/>
      <c r="D2013" s="15"/>
    </row>
    <row r="2014" spans="2:4" x14ac:dyDescent="0.25">
      <c r="B2014" s="68"/>
      <c r="C2014" s="50"/>
      <c r="D2014" s="15"/>
    </row>
    <row r="2015" spans="2:4" x14ac:dyDescent="0.25">
      <c r="B2015" s="68"/>
      <c r="C2015" s="50"/>
      <c r="D2015" s="15"/>
    </row>
    <row r="2016" spans="2:4" x14ac:dyDescent="0.25">
      <c r="B2016" s="68"/>
      <c r="C2016" s="50"/>
      <c r="D2016" s="15"/>
    </row>
    <row r="2017" spans="2:4" x14ac:dyDescent="0.25">
      <c r="B2017" s="68"/>
      <c r="C2017" s="50"/>
      <c r="D2017" s="15"/>
    </row>
    <row r="2018" spans="2:4" x14ac:dyDescent="0.25">
      <c r="B2018" s="68"/>
      <c r="C2018" s="50"/>
      <c r="D2018" s="15"/>
    </row>
    <row r="2019" spans="2:4" x14ac:dyDescent="0.25">
      <c r="B2019" s="68"/>
      <c r="C2019" s="50"/>
      <c r="D2019" s="15"/>
    </row>
    <row r="2020" spans="2:4" x14ac:dyDescent="0.25">
      <c r="B2020" s="68"/>
      <c r="C2020" s="50"/>
      <c r="D2020" s="15"/>
    </row>
    <row r="2021" spans="2:4" x14ac:dyDescent="0.25">
      <c r="B2021" s="68"/>
      <c r="C2021" s="50"/>
      <c r="D2021" s="15"/>
    </row>
    <row r="2022" spans="2:4" x14ac:dyDescent="0.25">
      <c r="B2022" s="68"/>
      <c r="C2022" s="50"/>
      <c r="D2022" s="15"/>
    </row>
    <row r="2023" spans="2:4" x14ac:dyDescent="0.25">
      <c r="B2023" s="68"/>
      <c r="C2023" s="50"/>
      <c r="D2023" s="15"/>
    </row>
    <row r="2024" spans="2:4" x14ac:dyDescent="0.25">
      <c r="B2024" s="68"/>
      <c r="C2024" s="50"/>
      <c r="D2024" s="15"/>
    </row>
    <row r="2025" spans="2:4" x14ac:dyDescent="0.25">
      <c r="B2025" s="68"/>
      <c r="C2025" s="50"/>
      <c r="D2025" s="15"/>
    </row>
    <row r="2026" spans="2:4" x14ac:dyDescent="0.25">
      <c r="B2026" s="68"/>
      <c r="C2026" s="50"/>
      <c r="D2026" s="15"/>
    </row>
    <row r="2027" spans="2:4" x14ac:dyDescent="0.25">
      <c r="B2027" s="68"/>
      <c r="C2027" s="50"/>
      <c r="D2027" s="15"/>
    </row>
    <row r="2028" spans="2:4" x14ac:dyDescent="0.25">
      <c r="B2028" s="68"/>
      <c r="C2028" s="50"/>
      <c r="D2028" s="15"/>
    </row>
    <row r="2029" spans="2:4" x14ac:dyDescent="0.25">
      <c r="B2029" s="68"/>
      <c r="C2029" s="50"/>
      <c r="D2029" s="15"/>
    </row>
    <row r="2030" spans="2:4" x14ac:dyDescent="0.25">
      <c r="B2030" s="68"/>
      <c r="C2030" s="50"/>
      <c r="D2030" s="15"/>
    </row>
    <row r="2031" spans="2:4" x14ac:dyDescent="0.25">
      <c r="B2031" s="68"/>
      <c r="C2031" s="50"/>
      <c r="D2031" s="15"/>
    </row>
    <row r="2032" spans="2:4" x14ac:dyDescent="0.25">
      <c r="B2032" s="68"/>
      <c r="C2032" s="50"/>
      <c r="D2032" s="15"/>
    </row>
    <row r="2033" spans="2:4" x14ac:dyDescent="0.25">
      <c r="B2033" s="68"/>
      <c r="C2033" s="50"/>
      <c r="D2033" s="15"/>
    </row>
    <row r="2034" spans="2:4" x14ac:dyDescent="0.25">
      <c r="B2034" s="68"/>
      <c r="C2034" s="50"/>
      <c r="D2034" s="15"/>
    </row>
    <row r="2035" spans="2:4" x14ac:dyDescent="0.25">
      <c r="B2035" s="68"/>
      <c r="C2035" s="50"/>
      <c r="D2035" s="15"/>
    </row>
    <row r="2036" spans="2:4" x14ac:dyDescent="0.25">
      <c r="B2036" s="68"/>
      <c r="C2036" s="50"/>
      <c r="D2036" s="15"/>
    </row>
    <row r="2037" spans="2:4" x14ac:dyDescent="0.25">
      <c r="B2037" s="68"/>
      <c r="C2037" s="50"/>
      <c r="D2037" s="15"/>
    </row>
    <row r="2038" spans="2:4" x14ac:dyDescent="0.25">
      <c r="B2038" s="68"/>
      <c r="C2038" s="50"/>
      <c r="D2038" s="15"/>
    </row>
    <row r="2039" spans="2:4" x14ac:dyDescent="0.25">
      <c r="B2039" s="68"/>
      <c r="C2039" s="50"/>
      <c r="D2039" s="15"/>
    </row>
    <row r="2040" spans="2:4" x14ac:dyDescent="0.25">
      <c r="B2040" s="68"/>
      <c r="C2040" s="50"/>
      <c r="D2040" s="15"/>
    </row>
    <row r="2041" spans="2:4" x14ac:dyDescent="0.25">
      <c r="B2041" s="68"/>
      <c r="C2041" s="50"/>
      <c r="D2041" s="15"/>
    </row>
    <row r="2042" spans="2:4" x14ac:dyDescent="0.25">
      <c r="B2042" s="68"/>
      <c r="C2042" s="50"/>
      <c r="D2042" s="15"/>
    </row>
    <row r="2043" spans="2:4" x14ac:dyDescent="0.25">
      <c r="B2043" s="68"/>
      <c r="C2043" s="50"/>
      <c r="D2043" s="15"/>
    </row>
    <row r="2044" spans="2:4" x14ac:dyDescent="0.25">
      <c r="B2044" s="68"/>
      <c r="C2044" s="50"/>
      <c r="D2044" s="15"/>
    </row>
    <row r="2045" spans="2:4" x14ac:dyDescent="0.25">
      <c r="B2045" s="68"/>
      <c r="C2045" s="50"/>
      <c r="D2045" s="15"/>
    </row>
    <row r="2046" spans="2:4" x14ac:dyDescent="0.25">
      <c r="B2046" s="68"/>
      <c r="C2046" s="50"/>
      <c r="D2046" s="15"/>
    </row>
    <row r="2047" spans="2:4" x14ac:dyDescent="0.25">
      <c r="B2047" s="68"/>
      <c r="C2047" s="50"/>
      <c r="D2047" s="15"/>
    </row>
    <row r="2048" spans="2:4" x14ac:dyDescent="0.25">
      <c r="B2048" s="68"/>
      <c r="C2048" s="50"/>
      <c r="D2048" s="15"/>
    </row>
    <row r="2049" spans="2:4" x14ac:dyDescent="0.25">
      <c r="B2049" s="68"/>
      <c r="C2049" s="50"/>
      <c r="D2049" s="15"/>
    </row>
    <row r="2050" spans="2:4" x14ac:dyDescent="0.25">
      <c r="B2050" s="68"/>
      <c r="C2050" s="50"/>
      <c r="D2050" s="15"/>
    </row>
    <row r="2051" spans="2:4" x14ac:dyDescent="0.25">
      <c r="B2051" s="68"/>
      <c r="C2051" s="50"/>
      <c r="D2051" s="15"/>
    </row>
    <row r="2052" spans="2:4" x14ac:dyDescent="0.25">
      <c r="B2052" s="68"/>
      <c r="C2052" s="50"/>
      <c r="D2052" s="15"/>
    </row>
    <row r="2053" spans="2:4" x14ac:dyDescent="0.25">
      <c r="B2053" s="68"/>
      <c r="C2053" s="50"/>
      <c r="D2053" s="15"/>
    </row>
    <row r="2054" spans="2:4" x14ac:dyDescent="0.25">
      <c r="B2054" s="68"/>
      <c r="C2054" s="50"/>
      <c r="D2054" s="15"/>
    </row>
    <row r="2055" spans="2:4" x14ac:dyDescent="0.25">
      <c r="B2055" s="68"/>
      <c r="C2055" s="50"/>
      <c r="D2055" s="15"/>
    </row>
    <row r="2056" spans="2:4" x14ac:dyDescent="0.25">
      <c r="B2056" s="68"/>
      <c r="C2056" s="50"/>
      <c r="D2056" s="15"/>
    </row>
    <row r="2057" spans="2:4" x14ac:dyDescent="0.25">
      <c r="B2057" s="68"/>
      <c r="C2057" s="50"/>
      <c r="D2057" s="15"/>
    </row>
    <row r="2058" spans="2:4" x14ac:dyDescent="0.25">
      <c r="B2058" s="68"/>
      <c r="C2058" s="50"/>
      <c r="D2058" s="15"/>
    </row>
    <row r="2059" spans="2:4" x14ac:dyDescent="0.25">
      <c r="B2059" s="68"/>
      <c r="C2059" s="50"/>
      <c r="D2059" s="15"/>
    </row>
    <row r="2060" spans="2:4" x14ac:dyDescent="0.25">
      <c r="B2060" s="68"/>
      <c r="C2060" s="50"/>
      <c r="D2060" s="15"/>
    </row>
    <row r="2061" spans="2:4" x14ac:dyDescent="0.25">
      <c r="B2061" s="68"/>
      <c r="C2061" s="50"/>
      <c r="D2061" s="15"/>
    </row>
    <row r="2062" spans="2:4" x14ac:dyDescent="0.25">
      <c r="B2062" s="68"/>
      <c r="C2062" s="50"/>
      <c r="D2062" s="15"/>
    </row>
    <row r="2063" spans="2:4" x14ac:dyDescent="0.25">
      <c r="B2063" s="68"/>
      <c r="C2063" s="50"/>
      <c r="D2063" s="15"/>
    </row>
    <row r="2064" spans="2:4" x14ac:dyDescent="0.25">
      <c r="B2064" s="68"/>
      <c r="C2064" s="50"/>
      <c r="D2064" s="15"/>
    </row>
    <row r="2065" spans="2:4" x14ac:dyDescent="0.25">
      <c r="B2065" s="68"/>
      <c r="C2065" s="50"/>
      <c r="D2065" s="15"/>
    </row>
    <row r="2066" spans="2:4" x14ac:dyDescent="0.25">
      <c r="B2066" s="68"/>
      <c r="C2066" s="50"/>
      <c r="D2066" s="15"/>
    </row>
    <row r="2067" spans="2:4" x14ac:dyDescent="0.25">
      <c r="B2067" s="68"/>
      <c r="C2067" s="50"/>
      <c r="D2067" s="15"/>
    </row>
    <row r="2068" spans="2:4" x14ac:dyDescent="0.25">
      <c r="B2068" s="68"/>
      <c r="C2068" s="50"/>
      <c r="D2068" s="15"/>
    </row>
    <row r="2069" spans="2:4" x14ac:dyDescent="0.25">
      <c r="B2069" s="68"/>
      <c r="C2069" s="50"/>
      <c r="D2069" s="15"/>
    </row>
    <row r="2070" spans="2:4" x14ac:dyDescent="0.25">
      <c r="B2070" s="68"/>
      <c r="C2070" s="50"/>
      <c r="D2070" s="15"/>
    </row>
    <row r="2071" spans="2:4" x14ac:dyDescent="0.25">
      <c r="B2071" s="68"/>
      <c r="C2071" s="50"/>
      <c r="D2071" s="15"/>
    </row>
    <row r="2072" spans="2:4" x14ac:dyDescent="0.25">
      <c r="B2072" s="68"/>
      <c r="C2072" s="50"/>
      <c r="D2072" s="15"/>
    </row>
    <row r="2073" spans="2:4" x14ac:dyDescent="0.25">
      <c r="B2073" s="68"/>
      <c r="C2073" s="50"/>
      <c r="D2073" s="15"/>
    </row>
    <row r="2074" spans="2:4" x14ac:dyDescent="0.25">
      <c r="B2074" s="68"/>
      <c r="C2074" s="50"/>
      <c r="D2074" s="15"/>
    </row>
    <row r="2075" spans="2:4" x14ac:dyDescent="0.25">
      <c r="B2075" s="68"/>
      <c r="C2075" s="50"/>
      <c r="D2075" s="15"/>
    </row>
    <row r="2076" spans="2:4" x14ac:dyDescent="0.25">
      <c r="B2076" s="68"/>
      <c r="C2076" s="50"/>
      <c r="D2076" s="15"/>
    </row>
    <row r="2077" spans="2:4" x14ac:dyDescent="0.25">
      <c r="B2077" s="68"/>
      <c r="C2077" s="50"/>
      <c r="D2077" s="15"/>
    </row>
    <row r="2078" spans="2:4" x14ac:dyDescent="0.25">
      <c r="B2078" s="68"/>
      <c r="C2078" s="50"/>
      <c r="D2078" s="15"/>
    </row>
    <row r="2079" spans="2:4" x14ac:dyDescent="0.25">
      <c r="B2079" s="68"/>
      <c r="C2079" s="50"/>
      <c r="D2079" s="15"/>
    </row>
    <row r="2080" spans="2:4" x14ac:dyDescent="0.25">
      <c r="B2080" s="68"/>
      <c r="C2080" s="50"/>
      <c r="D2080" s="15"/>
    </row>
    <row r="2081" spans="2:4" x14ac:dyDescent="0.25">
      <c r="B2081" s="68"/>
      <c r="C2081" s="50"/>
      <c r="D2081" s="15"/>
    </row>
    <row r="2082" spans="2:4" x14ac:dyDescent="0.25">
      <c r="B2082" s="68"/>
      <c r="C2082" s="50"/>
      <c r="D2082" s="15"/>
    </row>
    <row r="2083" spans="2:4" x14ac:dyDescent="0.25">
      <c r="B2083" s="68"/>
      <c r="C2083" s="50"/>
      <c r="D2083" s="15"/>
    </row>
    <row r="2084" spans="2:4" x14ac:dyDescent="0.25">
      <c r="B2084" s="68"/>
      <c r="C2084" s="50"/>
      <c r="D2084" s="15"/>
    </row>
    <row r="2085" spans="2:4" x14ac:dyDescent="0.25">
      <c r="B2085" s="68"/>
      <c r="C2085" s="50"/>
      <c r="D2085" s="15"/>
    </row>
    <row r="2086" spans="2:4" x14ac:dyDescent="0.25">
      <c r="B2086" s="68"/>
      <c r="C2086" s="50"/>
      <c r="D2086" s="15"/>
    </row>
    <row r="2087" spans="2:4" x14ac:dyDescent="0.25">
      <c r="B2087" s="68"/>
      <c r="C2087" s="50"/>
      <c r="D2087" s="15"/>
    </row>
    <row r="2088" spans="2:4" x14ac:dyDescent="0.25">
      <c r="B2088" s="68"/>
      <c r="C2088" s="50"/>
      <c r="D2088" s="15"/>
    </row>
    <row r="2089" spans="2:4" x14ac:dyDescent="0.25">
      <c r="B2089" s="68"/>
      <c r="C2089" s="50"/>
      <c r="D2089" s="15"/>
    </row>
    <row r="2090" spans="2:4" x14ac:dyDescent="0.25">
      <c r="B2090" s="68"/>
      <c r="C2090" s="50"/>
      <c r="D2090" s="15"/>
    </row>
    <row r="2091" spans="2:4" x14ac:dyDescent="0.25">
      <c r="B2091" s="68"/>
      <c r="C2091" s="50"/>
      <c r="D2091" s="15"/>
    </row>
    <row r="2092" spans="2:4" x14ac:dyDescent="0.25">
      <c r="B2092" s="68"/>
      <c r="C2092" s="50"/>
      <c r="D2092" s="15"/>
    </row>
    <row r="2093" spans="2:4" x14ac:dyDescent="0.25">
      <c r="B2093" s="68"/>
      <c r="C2093" s="50"/>
      <c r="D2093" s="15"/>
    </row>
    <row r="2094" spans="2:4" x14ac:dyDescent="0.25">
      <c r="B2094" s="68"/>
      <c r="C2094" s="50"/>
      <c r="D2094" s="15"/>
    </row>
    <row r="2095" spans="2:4" x14ac:dyDescent="0.25">
      <c r="B2095" s="68"/>
      <c r="C2095" s="50"/>
      <c r="D2095" s="15"/>
    </row>
    <row r="2096" spans="2:4" x14ac:dyDescent="0.25">
      <c r="B2096" s="68"/>
      <c r="C2096" s="50"/>
      <c r="D2096" s="15"/>
    </row>
    <row r="2097" spans="2:4" x14ac:dyDescent="0.25">
      <c r="B2097" s="68"/>
      <c r="C2097" s="50"/>
      <c r="D2097" s="15"/>
    </row>
    <row r="2098" spans="2:4" x14ac:dyDescent="0.25">
      <c r="B2098" s="68"/>
      <c r="C2098" s="50"/>
      <c r="D2098" s="15"/>
    </row>
    <row r="2099" spans="2:4" x14ac:dyDescent="0.25">
      <c r="B2099" s="68"/>
      <c r="C2099" s="50"/>
      <c r="D2099" s="15"/>
    </row>
    <row r="2100" spans="2:4" x14ac:dyDescent="0.25">
      <c r="B2100" s="68"/>
      <c r="C2100" s="50"/>
      <c r="D2100" s="15"/>
    </row>
    <row r="2101" spans="2:4" x14ac:dyDescent="0.25">
      <c r="B2101" s="68"/>
      <c r="C2101" s="50"/>
      <c r="D2101" s="15"/>
    </row>
    <row r="2102" spans="2:4" x14ac:dyDescent="0.25">
      <c r="B2102" s="68"/>
      <c r="C2102" s="50"/>
      <c r="D2102" s="15"/>
    </row>
    <row r="2103" spans="2:4" x14ac:dyDescent="0.25">
      <c r="B2103" s="68"/>
      <c r="C2103" s="50"/>
      <c r="D2103" s="15"/>
    </row>
    <row r="2104" spans="2:4" x14ac:dyDescent="0.25">
      <c r="B2104" s="68"/>
      <c r="C2104" s="50"/>
      <c r="D2104" s="15"/>
    </row>
    <row r="2105" spans="2:4" x14ac:dyDescent="0.25">
      <c r="B2105" s="68"/>
      <c r="C2105" s="50"/>
      <c r="D2105" s="15"/>
    </row>
    <row r="2106" spans="2:4" x14ac:dyDescent="0.25">
      <c r="B2106" s="68"/>
      <c r="C2106" s="50"/>
      <c r="D2106" s="15"/>
    </row>
    <row r="2107" spans="2:4" x14ac:dyDescent="0.25">
      <c r="B2107" s="68"/>
      <c r="C2107" s="50"/>
      <c r="D2107" s="15"/>
    </row>
    <row r="2108" spans="2:4" x14ac:dyDescent="0.25">
      <c r="B2108" s="68"/>
      <c r="C2108" s="50"/>
      <c r="D2108" s="15"/>
    </row>
    <row r="2109" spans="2:4" x14ac:dyDescent="0.25">
      <c r="B2109" s="68"/>
      <c r="C2109" s="50"/>
      <c r="D2109" s="15"/>
    </row>
    <row r="2110" spans="2:4" x14ac:dyDescent="0.25">
      <c r="B2110" s="68"/>
      <c r="C2110" s="50"/>
      <c r="D2110" s="15"/>
    </row>
    <row r="2111" spans="2:4" x14ac:dyDescent="0.25">
      <c r="B2111" s="68"/>
      <c r="C2111" s="50"/>
      <c r="D2111" s="15"/>
    </row>
    <row r="2112" spans="2:4" x14ac:dyDescent="0.25">
      <c r="B2112" s="68"/>
      <c r="C2112" s="50"/>
      <c r="D2112" s="15"/>
    </row>
    <row r="2113" spans="2:4" x14ac:dyDescent="0.25">
      <c r="B2113" s="68"/>
      <c r="C2113" s="50"/>
      <c r="D2113" s="15"/>
    </row>
    <row r="2114" spans="2:4" x14ac:dyDescent="0.25">
      <c r="B2114" s="68"/>
      <c r="C2114" s="50"/>
      <c r="D2114" s="15"/>
    </row>
    <row r="2115" spans="2:4" x14ac:dyDescent="0.25">
      <c r="B2115" s="68"/>
      <c r="C2115" s="50"/>
      <c r="D2115" s="15"/>
    </row>
    <row r="2116" spans="2:4" x14ac:dyDescent="0.25">
      <c r="B2116" s="68"/>
      <c r="C2116" s="50"/>
      <c r="D2116" s="15"/>
    </row>
    <row r="2117" spans="2:4" x14ac:dyDescent="0.25">
      <c r="B2117" s="68"/>
      <c r="C2117" s="50"/>
      <c r="D2117" s="15"/>
    </row>
    <row r="2118" spans="2:4" x14ac:dyDescent="0.25">
      <c r="B2118" s="68"/>
      <c r="C2118" s="50"/>
      <c r="D2118" s="15"/>
    </row>
    <row r="2119" spans="2:4" x14ac:dyDescent="0.25">
      <c r="B2119" s="68"/>
      <c r="C2119" s="50"/>
      <c r="D2119" s="15"/>
    </row>
    <row r="2120" spans="2:4" x14ac:dyDescent="0.25">
      <c r="B2120" s="68"/>
      <c r="C2120" s="50"/>
      <c r="D2120" s="15"/>
    </row>
    <row r="2121" spans="2:4" x14ac:dyDescent="0.25">
      <c r="B2121" s="68"/>
      <c r="C2121" s="50"/>
      <c r="D2121" s="15"/>
    </row>
    <row r="2122" spans="2:4" x14ac:dyDescent="0.25">
      <c r="B2122" s="68"/>
      <c r="C2122" s="50"/>
      <c r="D2122" s="15"/>
    </row>
    <row r="2123" spans="2:4" x14ac:dyDescent="0.25">
      <c r="B2123" s="68"/>
      <c r="C2123" s="50"/>
      <c r="D2123" s="15"/>
    </row>
    <row r="2124" spans="2:4" x14ac:dyDescent="0.25">
      <c r="B2124" s="68"/>
      <c r="C2124" s="50"/>
      <c r="D2124" s="15"/>
    </row>
    <row r="2125" spans="2:4" x14ac:dyDescent="0.25">
      <c r="B2125" s="68"/>
      <c r="C2125" s="50"/>
      <c r="D2125" s="15"/>
    </row>
    <row r="2126" spans="2:4" x14ac:dyDescent="0.25">
      <c r="B2126" s="68"/>
      <c r="C2126" s="50"/>
      <c r="D2126" s="15"/>
    </row>
    <row r="2127" spans="2:4" x14ac:dyDescent="0.25">
      <c r="B2127" s="68"/>
      <c r="C2127" s="50"/>
      <c r="D2127" s="15"/>
    </row>
    <row r="2128" spans="2:4" x14ac:dyDescent="0.25">
      <c r="B2128" s="68"/>
      <c r="C2128" s="50"/>
      <c r="D2128" s="15"/>
    </row>
    <row r="2129" spans="2:4" x14ac:dyDescent="0.25">
      <c r="B2129" s="68"/>
      <c r="C2129" s="50"/>
      <c r="D2129" s="15"/>
    </row>
    <row r="2130" spans="2:4" x14ac:dyDescent="0.25">
      <c r="B2130" s="68"/>
      <c r="C2130" s="50"/>
      <c r="D2130" s="15"/>
    </row>
    <row r="2131" spans="2:4" x14ac:dyDescent="0.25">
      <c r="B2131" s="68"/>
      <c r="C2131" s="50"/>
      <c r="D2131" s="15"/>
    </row>
    <row r="2132" spans="2:4" x14ac:dyDescent="0.25">
      <c r="B2132" s="68"/>
      <c r="C2132" s="50"/>
      <c r="D2132" s="15"/>
    </row>
    <row r="2133" spans="2:4" x14ac:dyDescent="0.25">
      <c r="B2133" s="68"/>
      <c r="C2133" s="50"/>
      <c r="D2133" s="15"/>
    </row>
    <row r="2134" spans="2:4" x14ac:dyDescent="0.25">
      <c r="B2134" s="68"/>
      <c r="C2134" s="50"/>
      <c r="D2134" s="15"/>
    </row>
    <row r="2135" spans="2:4" x14ac:dyDescent="0.25">
      <c r="B2135" s="68"/>
      <c r="C2135" s="50"/>
      <c r="D2135" s="15"/>
    </row>
    <row r="2136" spans="2:4" x14ac:dyDescent="0.25">
      <c r="B2136" s="68"/>
      <c r="C2136" s="50"/>
      <c r="D2136" s="15"/>
    </row>
    <row r="2137" spans="2:4" x14ac:dyDescent="0.25">
      <c r="B2137" s="68"/>
      <c r="C2137" s="50"/>
      <c r="D2137" s="15"/>
    </row>
    <row r="2138" spans="2:4" x14ac:dyDescent="0.25">
      <c r="B2138" s="68"/>
      <c r="C2138" s="50"/>
      <c r="D2138" s="15"/>
    </row>
    <row r="2139" spans="2:4" x14ac:dyDescent="0.25">
      <c r="B2139" s="68"/>
      <c r="C2139" s="50"/>
      <c r="D2139" s="15"/>
    </row>
    <row r="2140" spans="2:4" x14ac:dyDescent="0.25">
      <c r="B2140" s="68"/>
      <c r="C2140" s="50"/>
      <c r="D2140" s="15"/>
    </row>
    <row r="2141" spans="2:4" x14ac:dyDescent="0.25">
      <c r="B2141" s="68"/>
      <c r="C2141" s="50"/>
      <c r="D2141" s="15"/>
    </row>
    <row r="2142" spans="2:4" x14ac:dyDescent="0.25">
      <c r="B2142" s="68"/>
      <c r="C2142" s="50"/>
      <c r="D2142" s="15"/>
    </row>
    <row r="2143" spans="2:4" x14ac:dyDescent="0.25">
      <c r="B2143" s="68"/>
      <c r="C2143" s="50"/>
      <c r="D2143" s="15"/>
    </row>
    <row r="2144" spans="2:4" x14ac:dyDescent="0.25">
      <c r="B2144" s="68"/>
      <c r="C2144" s="50"/>
      <c r="D2144" s="15"/>
    </row>
    <row r="2145" spans="2:4" x14ac:dyDescent="0.25">
      <c r="B2145" s="68"/>
      <c r="C2145" s="50"/>
      <c r="D2145" s="15"/>
    </row>
    <row r="2146" spans="2:4" x14ac:dyDescent="0.25">
      <c r="B2146" s="68"/>
      <c r="C2146" s="50"/>
      <c r="D2146" s="15"/>
    </row>
    <row r="2147" spans="2:4" x14ac:dyDescent="0.25">
      <c r="B2147" s="68"/>
      <c r="C2147" s="50"/>
      <c r="D2147" s="15"/>
    </row>
    <row r="2148" spans="2:4" x14ac:dyDescent="0.25">
      <c r="B2148" s="68"/>
      <c r="C2148" s="50"/>
      <c r="D2148" s="15"/>
    </row>
    <row r="2149" spans="2:4" x14ac:dyDescent="0.25">
      <c r="B2149" s="68"/>
      <c r="C2149" s="50"/>
      <c r="D2149" s="15"/>
    </row>
    <row r="2150" spans="2:4" x14ac:dyDescent="0.25">
      <c r="B2150" s="68"/>
      <c r="C2150" s="50"/>
      <c r="D2150" s="15"/>
    </row>
    <row r="2151" spans="2:4" x14ac:dyDescent="0.25">
      <c r="B2151" s="68"/>
      <c r="C2151" s="50"/>
      <c r="D2151" s="15"/>
    </row>
    <row r="2152" spans="2:4" x14ac:dyDescent="0.25">
      <c r="B2152" s="68"/>
      <c r="C2152" s="50"/>
      <c r="D2152" s="15"/>
    </row>
    <row r="2153" spans="2:4" x14ac:dyDescent="0.25">
      <c r="B2153" s="68"/>
      <c r="C2153" s="50"/>
      <c r="D2153" s="15"/>
    </row>
    <row r="2154" spans="2:4" x14ac:dyDescent="0.25">
      <c r="B2154" s="68"/>
      <c r="C2154" s="50"/>
      <c r="D2154" s="15"/>
    </row>
    <row r="2155" spans="2:4" x14ac:dyDescent="0.25">
      <c r="B2155" s="68"/>
      <c r="C2155" s="50"/>
      <c r="D2155" s="15"/>
    </row>
    <row r="2156" spans="2:4" x14ac:dyDescent="0.25">
      <c r="B2156" s="68"/>
      <c r="C2156" s="50"/>
      <c r="D2156" s="15"/>
    </row>
    <row r="2157" spans="2:4" x14ac:dyDescent="0.25">
      <c r="B2157" s="68"/>
      <c r="C2157" s="50"/>
      <c r="D2157" s="15"/>
    </row>
    <row r="2158" spans="2:4" x14ac:dyDescent="0.25">
      <c r="B2158" s="68"/>
      <c r="C2158" s="50"/>
      <c r="D2158" s="15"/>
    </row>
    <row r="2159" spans="2:4" x14ac:dyDescent="0.25">
      <c r="B2159" s="68"/>
      <c r="C2159" s="50"/>
      <c r="D2159" s="15"/>
    </row>
    <row r="2160" spans="2:4" x14ac:dyDescent="0.25">
      <c r="B2160" s="68"/>
      <c r="C2160" s="50"/>
      <c r="D2160" s="15"/>
    </row>
    <row r="2161" spans="2:4" x14ac:dyDescent="0.25">
      <c r="B2161" s="68"/>
      <c r="C2161" s="50"/>
      <c r="D2161" s="15"/>
    </row>
    <row r="2162" spans="2:4" x14ac:dyDescent="0.25">
      <c r="B2162" s="68"/>
      <c r="C2162" s="50"/>
      <c r="D2162" s="15"/>
    </row>
    <row r="2163" spans="2:4" x14ac:dyDescent="0.25">
      <c r="B2163" s="68"/>
      <c r="C2163" s="50"/>
      <c r="D2163" s="15"/>
    </row>
    <row r="2164" spans="2:4" x14ac:dyDescent="0.25">
      <c r="B2164" s="68"/>
      <c r="C2164" s="50"/>
      <c r="D2164" s="15"/>
    </row>
    <row r="2165" spans="2:4" x14ac:dyDescent="0.25">
      <c r="B2165" s="68"/>
      <c r="C2165" s="50"/>
      <c r="D2165" s="15"/>
    </row>
    <row r="2166" spans="2:4" x14ac:dyDescent="0.25">
      <c r="B2166" s="68"/>
      <c r="C2166" s="50"/>
      <c r="D2166" s="15"/>
    </row>
    <row r="2167" spans="2:4" x14ac:dyDescent="0.25">
      <c r="B2167" s="68"/>
      <c r="C2167" s="50"/>
      <c r="D2167" s="15"/>
    </row>
    <row r="2168" spans="2:4" x14ac:dyDescent="0.25">
      <c r="B2168" s="68"/>
      <c r="C2168" s="50"/>
      <c r="D2168" s="15"/>
    </row>
    <row r="2169" spans="2:4" x14ac:dyDescent="0.25">
      <c r="B2169" s="68"/>
      <c r="C2169" s="50"/>
      <c r="D2169" s="15"/>
    </row>
    <row r="2170" spans="2:4" x14ac:dyDescent="0.25">
      <c r="B2170" s="68"/>
      <c r="C2170" s="50"/>
      <c r="D2170" s="15"/>
    </row>
    <row r="2171" spans="2:4" x14ac:dyDescent="0.25">
      <c r="B2171" s="68"/>
      <c r="C2171" s="50"/>
      <c r="D2171" s="15"/>
    </row>
    <row r="2172" spans="2:4" x14ac:dyDescent="0.25">
      <c r="B2172" s="68"/>
      <c r="C2172" s="50"/>
      <c r="D2172" s="15"/>
    </row>
    <row r="2173" spans="2:4" x14ac:dyDescent="0.25">
      <c r="B2173" s="68"/>
      <c r="C2173" s="50"/>
      <c r="D2173" s="15"/>
    </row>
    <row r="2174" spans="2:4" x14ac:dyDescent="0.25">
      <c r="B2174" s="68"/>
      <c r="C2174" s="50"/>
      <c r="D2174" s="15"/>
    </row>
    <row r="2175" spans="2:4" x14ac:dyDescent="0.25">
      <c r="B2175" s="68"/>
      <c r="C2175" s="50"/>
      <c r="D2175" s="15"/>
    </row>
    <row r="2176" spans="2:4" x14ac:dyDescent="0.25">
      <c r="B2176" s="68"/>
      <c r="C2176" s="50"/>
      <c r="D2176" s="15"/>
    </row>
    <row r="2177" spans="2:4" x14ac:dyDescent="0.25">
      <c r="B2177" s="68"/>
      <c r="C2177" s="50"/>
      <c r="D2177" s="15"/>
    </row>
    <row r="2178" spans="2:4" x14ac:dyDescent="0.25">
      <c r="B2178" s="68"/>
      <c r="C2178" s="50"/>
      <c r="D2178" s="15"/>
    </row>
    <row r="2179" spans="2:4" x14ac:dyDescent="0.25">
      <c r="B2179" s="68"/>
      <c r="C2179" s="50"/>
      <c r="D2179" s="15"/>
    </row>
    <row r="2180" spans="2:4" x14ac:dyDescent="0.25">
      <c r="B2180" s="68"/>
      <c r="C2180" s="50"/>
      <c r="D2180" s="15"/>
    </row>
    <row r="2181" spans="2:4" x14ac:dyDescent="0.25">
      <c r="B2181" s="68"/>
      <c r="C2181" s="50"/>
      <c r="D2181" s="15"/>
    </row>
    <row r="2182" spans="2:4" x14ac:dyDescent="0.25">
      <c r="B2182" s="68"/>
      <c r="C2182" s="50"/>
      <c r="D2182" s="15"/>
    </row>
    <row r="2183" spans="2:4" x14ac:dyDescent="0.25">
      <c r="B2183" s="68"/>
      <c r="C2183" s="50"/>
      <c r="D2183" s="15"/>
    </row>
    <row r="2184" spans="2:4" x14ac:dyDescent="0.25">
      <c r="B2184" s="68"/>
      <c r="C2184" s="50"/>
      <c r="D2184" s="15"/>
    </row>
    <row r="2185" spans="2:4" x14ac:dyDescent="0.25">
      <c r="B2185" s="68"/>
      <c r="C2185" s="50"/>
      <c r="D2185" s="15"/>
    </row>
    <row r="2186" spans="2:4" x14ac:dyDescent="0.25">
      <c r="B2186" s="68"/>
      <c r="C2186" s="50"/>
      <c r="D2186" s="15"/>
    </row>
    <row r="2187" spans="2:4" x14ac:dyDescent="0.25">
      <c r="B2187" s="68"/>
      <c r="C2187" s="50"/>
      <c r="D2187" s="15"/>
    </row>
    <row r="2188" spans="2:4" x14ac:dyDescent="0.25">
      <c r="B2188" s="68"/>
      <c r="C2188" s="50"/>
      <c r="D2188" s="15"/>
    </row>
    <row r="2189" spans="2:4" x14ac:dyDescent="0.25">
      <c r="B2189" s="68"/>
      <c r="C2189" s="50"/>
      <c r="D2189" s="15"/>
    </row>
    <row r="2190" spans="2:4" x14ac:dyDescent="0.25">
      <c r="B2190" s="68"/>
      <c r="C2190" s="50"/>
      <c r="D2190" s="15"/>
    </row>
    <row r="2191" spans="2:4" x14ac:dyDescent="0.25">
      <c r="B2191" s="68"/>
      <c r="C2191" s="50"/>
      <c r="D2191" s="15"/>
    </row>
    <row r="2192" spans="2:4" x14ac:dyDescent="0.25">
      <c r="B2192" s="68"/>
      <c r="C2192" s="50"/>
      <c r="D2192" s="15"/>
    </row>
    <row r="2193" spans="2:4" x14ac:dyDescent="0.25">
      <c r="B2193" s="68"/>
      <c r="C2193" s="50"/>
      <c r="D2193" s="15"/>
    </row>
    <row r="2194" spans="2:4" x14ac:dyDescent="0.25">
      <c r="B2194" s="68"/>
      <c r="C2194" s="50"/>
      <c r="D2194" s="15"/>
    </row>
    <row r="2195" spans="2:4" x14ac:dyDescent="0.25">
      <c r="B2195" s="68"/>
      <c r="C2195" s="50"/>
      <c r="D2195" s="15"/>
    </row>
    <row r="2196" spans="2:4" x14ac:dyDescent="0.25">
      <c r="B2196" s="68"/>
      <c r="C2196" s="50"/>
      <c r="D2196" s="15"/>
    </row>
    <row r="2197" spans="2:4" x14ac:dyDescent="0.25">
      <c r="B2197" s="68"/>
      <c r="C2197" s="50"/>
      <c r="D2197" s="15"/>
    </row>
    <row r="2198" spans="2:4" x14ac:dyDescent="0.25">
      <c r="B2198" s="68"/>
      <c r="C2198" s="50"/>
      <c r="D2198" s="15"/>
    </row>
    <row r="2199" spans="2:4" x14ac:dyDescent="0.25">
      <c r="B2199" s="68"/>
      <c r="C2199" s="50"/>
      <c r="D2199" s="15"/>
    </row>
    <row r="2200" spans="2:4" x14ac:dyDescent="0.25">
      <c r="B2200" s="68"/>
      <c r="C2200" s="50"/>
      <c r="D2200" s="15"/>
    </row>
    <row r="2201" spans="2:4" x14ac:dyDescent="0.25">
      <c r="B2201" s="68"/>
      <c r="C2201" s="50"/>
      <c r="D2201" s="15"/>
    </row>
    <row r="2202" spans="2:4" x14ac:dyDescent="0.25">
      <c r="B2202" s="68"/>
      <c r="C2202" s="50"/>
      <c r="D2202" s="15"/>
    </row>
    <row r="2203" spans="2:4" x14ac:dyDescent="0.25">
      <c r="B2203" s="68"/>
      <c r="C2203" s="50"/>
      <c r="D2203" s="15"/>
    </row>
    <row r="2204" spans="2:4" x14ac:dyDescent="0.25">
      <c r="B2204" s="68"/>
      <c r="C2204" s="50"/>
      <c r="D2204" s="15"/>
    </row>
    <row r="2205" spans="2:4" x14ac:dyDescent="0.25">
      <c r="B2205" s="68"/>
      <c r="C2205" s="50"/>
      <c r="D2205" s="15"/>
    </row>
    <row r="2206" spans="2:4" x14ac:dyDescent="0.25">
      <c r="B2206" s="68"/>
      <c r="C2206" s="50"/>
      <c r="D2206" s="15"/>
    </row>
    <row r="2207" spans="2:4" x14ac:dyDescent="0.25">
      <c r="B2207" s="68"/>
      <c r="C2207" s="50"/>
      <c r="D2207" s="15"/>
    </row>
    <row r="2208" spans="2:4" x14ac:dyDescent="0.25">
      <c r="B2208" s="68"/>
      <c r="C2208" s="50"/>
      <c r="D2208" s="15"/>
    </row>
    <row r="2209" spans="2:4" x14ac:dyDescent="0.25">
      <c r="B2209" s="68"/>
      <c r="C2209" s="50"/>
      <c r="D2209" s="15"/>
    </row>
    <row r="2210" spans="2:4" x14ac:dyDescent="0.25">
      <c r="B2210" s="68"/>
      <c r="C2210" s="50"/>
      <c r="D2210" s="15"/>
    </row>
    <row r="2211" spans="2:4" x14ac:dyDescent="0.25">
      <c r="B2211" s="68"/>
      <c r="C2211" s="50"/>
      <c r="D2211" s="15"/>
    </row>
    <row r="2212" spans="2:4" x14ac:dyDescent="0.25">
      <c r="B2212" s="68"/>
      <c r="C2212" s="50"/>
      <c r="D2212" s="15"/>
    </row>
    <row r="2213" spans="2:4" x14ac:dyDescent="0.25">
      <c r="B2213" s="68"/>
      <c r="C2213" s="50"/>
      <c r="D2213" s="15"/>
    </row>
    <row r="2214" spans="2:4" x14ac:dyDescent="0.25">
      <c r="B2214" s="68"/>
      <c r="C2214" s="50"/>
      <c r="D2214" s="15"/>
    </row>
    <row r="2215" spans="2:4" x14ac:dyDescent="0.25">
      <c r="B2215" s="68"/>
      <c r="C2215" s="50"/>
      <c r="D2215" s="15"/>
    </row>
    <row r="2216" spans="2:4" x14ac:dyDescent="0.25">
      <c r="B2216" s="68"/>
      <c r="C2216" s="50"/>
      <c r="D2216" s="15"/>
    </row>
    <row r="2217" spans="2:4" x14ac:dyDescent="0.25">
      <c r="B2217" s="68"/>
      <c r="C2217" s="50"/>
      <c r="D2217" s="15"/>
    </row>
    <row r="2218" spans="2:4" x14ac:dyDescent="0.25">
      <c r="B2218" s="68"/>
      <c r="C2218" s="50"/>
      <c r="D2218" s="15"/>
    </row>
    <row r="2219" spans="2:4" x14ac:dyDescent="0.25">
      <c r="B2219" s="68"/>
      <c r="C2219" s="50"/>
      <c r="D2219" s="15"/>
    </row>
    <row r="2220" spans="2:4" x14ac:dyDescent="0.25">
      <c r="B2220" s="68"/>
      <c r="C2220" s="50"/>
      <c r="D2220" s="15"/>
    </row>
    <row r="2221" spans="2:4" x14ac:dyDescent="0.25">
      <c r="B2221" s="68"/>
      <c r="C2221" s="50"/>
      <c r="D2221" s="15"/>
    </row>
    <row r="2222" spans="2:4" x14ac:dyDescent="0.25">
      <c r="B2222" s="68"/>
      <c r="C2222" s="50"/>
      <c r="D2222" s="15"/>
    </row>
    <row r="2223" spans="2:4" x14ac:dyDescent="0.25">
      <c r="B2223" s="68"/>
      <c r="C2223" s="50"/>
      <c r="D2223" s="15"/>
    </row>
    <row r="2224" spans="2:4" x14ac:dyDescent="0.25">
      <c r="B2224" s="68"/>
      <c r="C2224" s="50"/>
      <c r="D2224" s="15"/>
    </row>
    <row r="2225" spans="2:4" x14ac:dyDescent="0.25">
      <c r="B2225" s="68"/>
      <c r="C2225" s="50"/>
      <c r="D2225" s="15"/>
    </row>
    <row r="2226" spans="2:4" x14ac:dyDescent="0.25">
      <c r="B2226" s="68"/>
      <c r="C2226" s="50"/>
      <c r="D2226" s="15"/>
    </row>
    <row r="2227" spans="2:4" x14ac:dyDescent="0.25">
      <c r="B2227" s="68"/>
      <c r="C2227" s="50"/>
      <c r="D2227" s="15"/>
    </row>
    <row r="2228" spans="2:4" x14ac:dyDescent="0.25">
      <c r="B2228" s="68"/>
      <c r="C2228" s="50"/>
      <c r="D2228" s="15"/>
    </row>
    <row r="2229" spans="2:4" x14ac:dyDescent="0.25">
      <c r="B2229" s="68"/>
      <c r="C2229" s="50"/>
      <c r="D2229" s="15"/>
    </row>
    <row r="2230" spans="2:4" x14ac:dyDescent="0.25">
      <c r="B2230" s="68"/>
      <c r="C2230" s="50"/>
      <c r="D2230" s="15"/>
    </row>
    <row r="2231" spans="2:4" x14ac:dyDescent="0.25">
      <c r="B2231" s="68"/>
      <c r="C2231" s="50"/>
      <c r="D2231" s="15"/>
    </row>
    <row r="2232" spans="2:4" x14ac:dyDescent="0.25">
      <c r="B2232" s="68"/>
      <c r="C2232" s="50"/>
      <c r="D2232" s="15"/>
    </row>
    <row r="2233" spans="2:4" x14ac:dyDescent="0.25">
      <c r="B2233" s="68"/>
      <c r="C2233" s="50"/>
      <c r="D2233" s="15"/>
    </row>
    <row r="2234" spans="2:4" x14ac:dyDescent="0.25">
      <c r="B2234" s="68"/>
      <c r="C2234" s="50"/>
      <c r="D2234" s="15"/>
    </row>
    <row r="2235" spans="2:4" x14ac:dyDescent="0.25">
      <c r="B2235" s="68"/>
      <c r="C2235" s="50"/>
      <c r="D2235" s="15"/>
    </row>
    <row r="2236" spans="2:4" x14ac:dyDescent="0.25">
      <c r="B2236" s="68"/>
      <c r="C2236" s="50"/>
      <c r="D2236" s="15"/>
    </row>
    <row r="2237" spans="2:4" x14ac:dyDescent="0.25">
      <c r="B2237" s="68"/>
      <c r="C2237" s="50"/>
      <c r="D2237" s="15"/>
    </row>
    <row r="2238" spans="2:4" x14ac:dyDescent="0.25">
      <c r="B2238" s="68"/>
      <c r="C2238" s="50"/>
      <c r="D2238" s="15"/>
    </row>
    <row r="2239" spans="2:4" x14ac:dyDescent="0.25">
      <c r="B2239" s="68"/>
      <c r="C2239" s="50"/>
      <c r="D2239" s="15"/>
    </row>
    <row r="2240" spans="2:4" x14ac:dyDescent="0.25">
      <c r="B2240" s="68"/>
      <c r="C2240" s="50"/>
      <c r="D2240" s="15"/>
    </row>
    <row r="2241" spans="2:4" x14ac:dyDescent="0.25">
      <c r="B2241" s="68"/>
      <c r="C2241" s="50"/>
      <c r="D2241" s="15"/>
    </row>
    <row r="2242" spans="2:4" x14ac:dyDescent="0.25">
      <c r="B2242" s="68"/>
      <c r="C2242" s="50"/>
      <c r="D2242" s="15"/>
    </row>
    <row r="2243" spans="2:4" x14ac:dyDescent="0.25">
      <c r="B2243" s="68"/>
      <c r="C2243" s="50"/>
      <c r="D2243" s="15"/>
    </row>
    <row r="2244" spans="2:4" x14ac:dyDescent="0.25">
      <c r="B2244" s="68"/>
      <c r="C2244" s="50"/>
      <c r="D2244" s="15"/>
    </row>
    <row r="2245" spans="2:4" x14ac:dyDescent="0.25">
      <c r="B2245" s="68"/>
      <c r="C2245" s="50"/>
      <c r="D2245" s="15"/>
    </row>
    <row r="2246" spans="2:4" x14ac:dyDescent="0.25">
      <c r="B2246" s="68"/>
      <c r="C2246" s="50"/>
      <c r="D2246" s="15"/>
    </row>
    <row r="2247" spans="2:4" x14ac:dyDescent="0.25">
      <c r="B2247" s="68"/>
      <c r="C2247" s="50"/>
      <c r="D2247" s="15"/>
    </row>
    <row r="2248" spans="2:4" x14ac:dyDescent="0.25">
      <c r="B2248" s="68"/>
      <c r="C2248" s="50"/>
      <c r="D2248" s="15"/>
    </row>
    <row r="2249" spans="2:4" x14ac:dyDescent="0.25">
      <c r="B2249" s="68"/>
      <c r="C2249" s="50"/>
      <c r="D2249" s="15"/>
    </row>
    <row r="2250" spans="2:4" x14ac:dyDescent="0.25">
      <c r="B2250" s="68"/>
      <c r="C2250" s="50"/>
      <c r="D2250" s="15"/>
    </row>
    <row r="2251" spans="2:4" x14ac:dyDescent="0.25">
      <c r="B2251" s="68"/>
      <c r="C2251" s="50"/>
      <c r="D2251" s="15"/>
    </row>
    <row r="2252" spans="2:4" x14ac:dyDescent="0.25">
      <c r="B2252" s="68"/>
      <c r="C2252" s="50"/>
      <c r="D2252" s="15"/>
    </row>
    <row r="2253" spans="2:4" x14ac:dyDescent="0.25">
      <c r="B2253" s="68"/>
      <c r="C2253" s="50"/>
      <c r="D2253" s="15"/>
    </row>
    <row r="2254" spans="2:4" x14ac:dyDescent="0.25">
      <c r="B2254" s="68"/>
      <c r="C2254" s="50"/>
      <c r="D2254" s="15"/>
    </row>
    <row r="2255" spans="2:4" x14ac:dyDescent="0.25">
      <c r="B2255" s="68"/>
      <c r="C2255" s="50"/>
      <c r="D2255" s="15"/>
    </row>
    <row r="2256" spans="2:4" x14ac:dyDescent="0.25">
      <c r="B2256" s="68"/>
      <c r="C2256" s="50"/>
      <c r="D2256" s="15"/>
    </row>
    <row r="2257" spans="2:4" x14ac:dyDescent="0.25">
      <c r="B2257" s="68"/>
      <c r="C2257" s="50"/>
      <c r="D2257" s="15"/>
    </row>
    <row r="2258" spans="2:4" x14ac:dyDescent="0.25">
      <c r="B2258" s="68"/>
      <c r="C2258" s="50"/>
      <c r="D2258" s="15"/>
    </row>
    <row r="2259" spans="2:4" x14ac:dyDescent="0.25">
      <c r="B2259" s="68"/>
      <c r="C2259" s="50"/>
      <c r="D2259" s="15"/>
    </row>
    <row r="2260" spans="2:4" x14ac:dyDescent="0.25">
      <c r="B2260" s="68"/>
      <c r="C2260" s="50"/>
      <c r="D2260" s="15"/>
    </row>
    <row r="2261" spans="2:4" x14ac:dyDescent="0.25">
      <c r="B2261" s="68"/>
      <c r="C2261" s="50"/>
      <c r="D2261" s="15"/>
    </row>
    <row r="2262" spans="2:4" x14ac:dyDescent="0.25">
      <c r="B2262" s="68"/>
      <c r="C2262" s="50"/>
      <c r="D2262" s="15"/>
    </row>
    <row r="2263" spans="2:4" x14ac:dyDescent="0.25">
      <c r="B2263" s="68"/>
      <c r="C2263" s="50"/>
      <c r="D2263" s="15"/>
    </row>
    <row r="2264" spans="2:4" x14ac:dyDescent="0.25">
      <c r="B2264" s="68"/>
      <c r="C2264" s="50"/>
      <c r="D2264" s="15"/>
    </row>
    <row r="2265" spans="2:4" x14ac:dyDescent="0.25">
      <c r="B2265" s="68"/>
      <c r="C2265" s="50"/>
      <c r="D2265" s="15"/>
    </row>
    <row r="2266" spans="2:4" x14ac:dyDescent="0.25">
      <c r="B2266" s="68"/>
      <c r="C2266" s="50"/>
      <c r="D2266" s="15"/>
    </row>
    <row r="2267" spans="2:4" x14ac:dyDescent="0.25">
      <c r="B2267" s="68"/>
      <c r="C2267" s="50"/>
      <c r="D2267" s="15"/>
    </row>
    <row r="2268" spans="2:4" x14ac:dyDescent="0.25">
      <c r="B2268" s="68"/>
      <c r="C2268" s="50"/>
      <c r="D2268" s="15"/>
    </row>
    <row r="2269" spans="2:4" x14ac:dyDescent="0.25">
      <c r="B2269" s="68"/>
      <c r="C2269" s="50"/>
      <c r="D2269" s="15"/>
    </row>
    <row r="2270" spans="2:4" x14ac:dyDescent="0.25">
      <c r="B2270" s="68"/>
      <c r="C2270" s="50"/>
      <c r="D2270" s="15"/>
    </row>
    <row r="2271" spans="2:4" x14ac:dyDescent="0.25">
      <c r="B2271" s="68"/>
      <c r="C2271" s="50"/>
      <c r="D2271" s="15"/>
    </row>
    <row r="2272" spans="2:4" x14ac:dyDescent="0.25">
      <c r="B2272" s="68"/>
      <c r="C2272" s="50"/>
      <c r="D2272" s="15"/>
    </row>
    <row r="2273" spans="2:4" x14ac:dyDescent="0.25">
      <c r="B2273" s="68"/>
      <c r="C2273" s="50"/>
      <c r="D2273" s="15"/>
    </row>
    <row r="2274" spans="2:4" x14ac:dyDescent="0.25">
      <c r="B2274" s="68"/>
      <c r="C2274" s="50"/>
      <c r="D2274" s="15"/>
    </row>
    <row r="2275" spans="2:4" x14ac:dyDescent="0.25">
      <c r="B2275" s="68"/>
      <c r="C2275" s="50"/>
      <c r="D2275" s="15"/>
    </row>
    <row r="2276" spans="2:4" x14ac:dyDescent="0.25">
      <c r="B2276" s="68"/>
      <c r="C2276" s="50"/>
      <c r="D2276" s="15"/>
    </row>
    <row r="2277" spans="2:4" x14ac:dyDescent="0.25">
      <c r="B2277" s="68"/>
      <c r="C2277" s="50"/>
      <c r="D2277" s="15"/>
    </row>
    <row r="2278" spans="2:4" x14ac:dyDescent="0.25">
      <c r="B2278" s="68"/>
      <c r="C2278" s="50"/>
      <c r="D2278" s="15"/>
    </row>
    <row r="2279" spans="2:4" x14ac:dyDescent="0.25">
      <c r="B2279" s="68"/>
      <c r="C2279" s="50"/>
      <c r="D2279" s="15"/>
    </row>
    <row r="2280" spans="2:4" x14ac:dyDescent="0.25">
      <c r="B2280" s="68"/>
      <c r="C2280" s="50"/>
      <c r="D2280" s="15"/>
    </row>
    <row r="2281" spans="2:4" x14ac:dyDescent="0.25">
      <c r="B2281" s="68"/>
      <c r="C2281" s="50"/>
      <c r="D2281" s="15"/>
    </row>
    <row r="2282" spans="2:4" x14ac:dyDescent="0.25">
      <c r="B2282" s="68"/>
      <c r="C2282" s="50"/>
      <c r="D2282" s="15"/>
    </row>
    <row r="2283" spans="2:4" x14ac:dyDescent="0.25">
      <c r="B2283" s="68"/>
      <c r="C2283" s="50"/>
      <c r="D2283" s="15"/>
    </row>
    <row r="2284" spans="2:4" x14ac:dyDescent="0.25">
      <c r="B2284" s="68"/>
      <c r="C2284" s="50"/>
      <c r="D2284" s="15"/>
    </row>
    <row r="2285" spans="2:4" x14ac:dyDescent="0.25">
      <c r="B2285" s="68"/>
      <c r="C2285" s="50"/>
      <c r="D2285" s="15"/>
    </row>
    <row r="2286" spans="2:4" x14ac:dyDescent="0.25">
      <c r="B2286" s="68"/>
      <c r="C2286" s="50"/>
      <c r="D2286" s="15"/>
    </row>
    <row r="2287" spans="2:4" x14ac:dyDescent="0.25">
      <c r="B2287" s="68"/>
      <c r="C2287" s="50"/>
      <c r="D2287" s="15"/>
    </row>
    <row r="2288" spans="2:4" x14ac:dyDescent="0.25">
      <c r="B2288" s="68"/>
      <c r="C2288" s="50"/>
      <c r="D2288" s="15"/>
    </row>
    <row r="2289" spans="2:4" x14ac:dyDescent="0.25">
      <c r="B2289" s="68"/>
      <c r="C2289" s="50"/>
      <c r="D2289" s="15"/>
    </row>
    <row r="2290" spans="2:4" x14ac:dyDescent="0.25">
      <c r="B2290" s="68"/>
      <c r="C2290" s="50"/>
      <c r="D2290" s="15"/>
    </row>
    <row r="2291" spans="2:4" x14ac:dyDescent="0.25">
      <c r="B2291" s="68"/>
      <c r="C2291" s="50"/>
      <c r="D2291" s="15"/>
    </row>
    <row r="2292" spans="2:4" x14ac:dyDescent="0.25">
      <c r="B2292" s="68"/>
      <c r="C2292" s="50"/>
      <c r="D2292" s="15"/>
    </row>
    <row r="2293" spans="2:4" x14ac:dyDescent="0.25">
      <c r="B2293" s="68"/>
      <c r="C2293" s="50"/>
      <c r="D2293" s="15"/>
    </row>
    <row r="2294" spans="2:4" x14ac:dyDescent="0.25">
      <c r="B2294" s="68"/>
      <c r="C2294" s="50"/>
      <c r="D2294" s="15"/>
    </row>
    <row r="2295" spans="2:4" x14ac:dyDescent="0.25">
      <c r="B2295" s="68"/>
      <c r="C2295" s="50"/>
      <c r="D2295" s="15"/>
    </row>
    <row r="2296" spans="2:4" x14ac:dyDescent="0.25">
      <c r="B2296" s="68"/>
      <c r="C2296" s="50"/>
      <c r="D2296" s="15"/>
    </row>
    <row r="2297" spans="2:4" x14ac:dyDescent="0.25">
      <c r="B2297" s="68"/>
      <c r="C2297" s="50"/>
      <c r="D2297" s="15"/>
    </row>
    <row r="2298" spans="2:4" x14ac:dyDescent="0.25">
      <c r="B2298" s="68"/>
      <c r="C2298" s="50"/>
      <c r="D2298" s="15"/>
    </row>
    <row r="2299" spans="2:4" x14ac:dyDescent="0.25">
      <c r="B2299" s="68"/>
      <c r="C2299" s="50"/>
      <c r="D2299" s="15"/>
    </row>
    <row r="2300" spans="2:4" x14ac:dyDescent="0.25">
      <c r="B2300" s="68"/>
      <c r="C2300" s="50"/>
      <c r="D2300" s="15"/>
    </row>
    <row r="2301" spans="2:4" x14ac:dyDescent="0.25">
      <c r="B2301" s="68"/>
      <c r="C2301" s="50"/>
      <c r="D2301" s="15"/>
    </row>
    <row r="2302" spans="2:4" x14ac:dyDescent="0.25">
      <c r="B2302" s="68"/>
      <c r="C2302" s="50"/>
      <c r="D2302" s="15"/>
    </row>
    <row r="2303" spans="2:4" x14ac:dyDescent="0.25">
      <c r="B2303" s="68"/>
      <c r="C2303" s="50"/>
      <c r="D2303" s="15"/>
    </row>
    <row r="2304" spans="2:4" x14ac:dyDescent="0.25">
      <c r="B2304" s="68"/>
      <c r="C2304" s="50"/>
      <c r="D2304" s="15"/>
    </row>
    <row r="2305" spans="2:4" x14ac:dyDescent="0.25">
      <c r="B2305" s="68"/>
      <c r="C2305" s="50"/>
      <c r="D2305" s="15"/>
    </row>
    <row r="2306" spans="2:4" x14ac:dyDescent="0.25">
      <c r="B2306" s="68"/>
      <c r="C2306" s="50"/>
      <c r="D2306" s="15"/>
    </row>
    <row r="2307" spans="2:4" x14ac:dyDescent="0.25">
      <c r="B2307" s="68"/>
      <c r="C2307" s="50"/>
      <c r="D2307" s="15"/>
    </row>
    <row r="2308" spans="2:4" x14ac:dyDescent="0.25">
      <c r="B2308" s="68"/>
      <c r="C2308" s="50"/>
      <c r="D2308" s="15"/>
    </row>
    <row r="2309" spans="2:4" x14ac:dyDescent="0.25">
      <c r="B2309" s="68"/>
      <c r="C2309" s="50"/>
      <c r="D2309" s="15"/>
    </row>
    <row r="2310" spans="2:4" x14ac:dyDescent="0.25">
      <c r="B2310" s="68"/>
      <c r="C2310" s="50"/>
      <c r="D2310" s="15"/>
    </row>
    <row r="2311" spans="2:4" x14ac:dyDescent="0.25">
      <c r="B2311" s="68"/>
      <c r="C2311" s="50"/>
      <c r="D2311" s="15"/>
    </row>
    <row r="2312" spans="2:4" x14ac:dyDescent="0.25">
      <c r="B2312" s="68"/>
      <c r="C2312" s="50"/>
      <c r="D2312" s="15"/>
    </row>
    <row r="2313" spans="2:4" x14ac:dyDescent="0.25">
      <c r="B2313" s="68"/>
      <c r="C2313" s="50"/>
      <c r="D2313" s="15"/>
    </row>
    <row r="2314" spans="2:4" x14ac:dyDescent="0.25">
      <c r="B2314" s="68"/>
      <c r="C2314" s="50"/>
      <c r="D2314" s="15"/>
    </row>
    <row r="2315" spans="2:4" x14ac:dyDescent="0.25">
      <c r="B2315" s="68"/>
      <c r="C2315" s="50"/>
      <c r="D2315" s="15"/>
    </row>
    <row r="2316" spans="2:4" x14ac:dyDescent="0.25">
      <c r="B2316" s="68"/>
      <c r="C2316" s="50"/>
      <c r="D2316" s="15"/>
    </row>
    <row r="2317" spans="2:4" x14ac:dyDescent="0.25">
      <c r="B2317" s="68"/>
      <c r="C2317" s="50"/>
      <c r="D2317" s="15"/>
    </row>
    <row r="2318" spans="2:4" x14ac:dyDescent="0.25">
      <c r="B2318" s="68"/>
      <c r="C2318" s="50"/>
      <c r="D2318" s="15"/>
    </row>
    <row r="2319" spans="2:4" x14ac:dyDescent="0.25">
      <c r="B2319" s="68"/>
      <c r="C2319" s="50"/>
      <c r="D2319" s="15"/>
    </row>
    <row r="2320" spans="2:4" x14ac:dyDescent="0.25">
      <c r="B2320" s="68"/>
      <c r="C2320" s="50"/>
      <c r="D2320" s="15"/>
    </row>
    <row r="2321" spans="2:4" x14ac:dyDescent="0.25">
      <c r="B2321" s="68"/>
      <c r="C2321" s="50"/>
      <c r="D2321" s="15"/>
    </row>
    <row r="2322" spans="2:4" x14ac:dyDescent="0.25">
      <c r="B2322" s="68"/>
      <c r="C2322" s="50"/>
      <c r="D2322" s="15"/>
    </row>
    <row r="2323" spans="2:4" x14ac:dyDescent="0.25">
      <c r="B2323" s="68"/>
      <c r="C2323" s="50"/>
      <c r="D2323" s="15"/>
    </row>
    <row r="2324" spans="2:4" x14ac:dyDescent="0.25">
      <c r="B2324" s="68"/>
      <c r="C2324" s="50"/>
      <c r="D2324" s="15"/>
    </row>
    <row r="2325" spans="2:4" x14ac:dyDescent="0.25">
      <c r="B2325" s="68"/>
      <c r="C2325" s="50"/>
      <c r="D2325" s="15"/>
    </row>
    <row r="2326" spans="2:4" x14ac:dyDescent="0.25">
      <c r="B2326" s="68"/>
      <c r="C2326" s="50"/>
      <c r="D2326" s="15"/>
    </row>
    <row r="2327" spans="2:4" x14ac:dyDescent="0.25">
      <c r="B2327" s="68"/>
      <c r="C2327" s="50"/>
      <c r="D2327" s="15"/>
    </row>
    <row r="2328" spans="2:4" x14ac:dyDescent="0.25">
      <c r="B2328" s="68"/>
      <c r="C2328" s="50"/>
      <c r="D2328" s="15"/>
    </row>
    <row r="2329" spans="2:4" x14ac:dyDescent="0.25">
      <c r="B2329" s="68"/>
      <c r="C2329" s="50"/>
      <c r="D2329" s="15"/>
    </row>
    <row r="2330" spans="2:4" x14ac:dyDescent="0.25">
      <c r="B2330" s="68"/>
      <c r="C2330" s="50"/>
      <c r="D2330" s="15"/>
    </row>
    <row r="2331" spans="2:4" x14ac:dyDescent="0.25">
      <c r="B2331" s="68"/>
      <c r="C2331" s="50"/>
      <c r="D2331" s="15"/>
    </row>
    <row r="2332" spans="2:4" x14ac:dyDescent="0.25">
      <c r="B2332" s="68"/>
      <c r="C2332" s="50"/>
      <c r="D2332" s="15"/>
    </row>
    <row r="2333" spans="2:4" x14ac:dyDescent="0.25">
      <c r="B2333" s="68"/>
      <c r="C2333" s="50"/>
      <c r="D2333" s="15"/>
    </row>
    <row r="2334" spans="2:4" x14ac:dyDescent="0.25">
      <c r="B2334" s="68"/>
      <c r="C2334" s="50"/>
      <c r="D2334" s="15"/>
    </row>
    <row r="2335" spans="2:4" x14ac:dyDescent="0.25">
      <c r="B2335" s="68"/>
      <c r="C2335" s="50"/>
      <c r="D2335" s="15"/>
    </row>
    <row r="2336" spans="2:4" x14ac:dyDescent="0.25">
      <c r="B2336" s="68"/>
      <c r="C2336" s="50"/>
      <c r="D2336" s="15"/>
    </row>
    <row r="2337" spans="2:4" x14ac:dyDescent="0.25">
      <c r="B2337" s="68"/>
      <c r="C2337" s="50"/>
      <c r="D2337" s="15"/>
    </row>
    <row r="2338" spans="2:4" x14ac:dyDescent="0.25">
      <c r="B2338" s="68"/>
      <c r="C2338" s="50"/>
      <c r="D2338" s="15"/>
    </row>
    <row r="2339" spans="2:4" x14ac:dyDescent="0.25">
      <c r="B2339" s="68"/>
      <c r="C2339" s="50"/>
      <c r="D2339" s="15"/>
    </row>
    <row r="2340" spans="2:4" x14ac:dyDescent="0.25">
      <c r="B2340" s="68"/>
      <c r="C2340" s="50"/>
      <c r="D2340" s="15"/>
    </row>
    <row r="2341" spans="2:4" x14ac:dyDescent="0.25">
      <c r="B2341" s="68"/>
      <c r="C2341" s="50"/>
      <c r="D2341" s="15"/>
    </row>
    <row r="2342" spans="2:4" x14ac:dyDescent="0.25">
      <c r="B2342" s="68"/>
      <c r="C2342" s="50"/>
      <c r="D2342" s="15"/>
    </row>
    <row r="2343" spans="2:4" x14ac:dyDescent="0.25">
      <c r="B2343" s="68"/>
      <c r="C2343" s="50"/>
      <c r="D2343" s="15"/>
    </row>
    <row r="2344" spans="2:4" x14ac:dyDescent="0.25">
      <c r="B2344" s="68"/>
      <c r="C2344" s="50"/>
      <c r="D2344" s="15"/>
    </row>
    <row r="2345" spans="2:4" x14ac:dyDescent="0.25">
      <c r="B2345" s="68"/>
      <c r="C2345" s="50"/>
      <c r="D2345" s="15"/>
    </row>
    <row r="2346" spans="2:4" x14ac:dyDescent="0.25">
      <c r="B2346" s="68"/>
      <c r="C2346" s="50"/>
      <c r="D2346" s="15"/>
    </row>
    <row r="2347" spans="2:4" x14ac:dyDescent="0.25">
      <c r="B2347" s="68"/>
      <c r="C2347" s="50"/>
      <c r="D2347" s="15"/>
    </row>
    <row r="2348" spans="2:4" x14ac:dyDescent="0.25">
      <c r="B2348" s="68"/>
      <c r="C2348" s="50"/>
      <c r="D2348" s="15"/>
    </row>
    <row r="2349" spans="2:4" x14ac:dyDescent="0.25">
      <c r="B2349" s="68"/>
      <c r="C2349" s="50"/>
      <c r="D2349" s="15"/>
    </row>
    <row r="2350" spans="2:4" x14ac:dyDescent="0.25">
      <c r="B2350" s="68"/>
      <c r="C2350" s="50"/>
      <c r="D2350" s="15"/>
    </row>
    <row r="2351" spans="2:4" x14ac:dyDescent="0.25">
      <c r="B2351" s="68"/>
      <c r="C2351" s="50"/>
      <c r="D2351" s="15"/>
    </row>
    <row r="2352" spans="2:4" x14ac:dyDescent="0.25">
      <c r="B2352" s="68"/>
      <c r="C2352" s="50"/>
      <c r="D2352" s="15"/>
    </row>
    <row r="2353" spans="2:4" x14ac:dyDescent="0.25">
      <c r="B2353" s="68"/>
      <c r="C2353" s="50"/>
      <c r="D2353" s="15"/>
    </row>
    <row r="2354" spans="2:4" x14ac:dyDescent="0.25">
      <c r="B2354" s="68"/>
      <c r="C2354" s="50"/>
      <c r="D2354" s="15"/>
    </row>
    <row r="2355" spans="2:4" x14ac:dyDescent="0.25">
      <c r="B2355" s="68"/>
      <c r="C2355" s="50"/>
      <c r="D2355" s="15"/>
    </row>
    <row r="2356" spans="2:4" x14ac:dyDescent="0.25">
      <c r="B2356" s="68"/>
      <c r="C2356" s="50"/>
      <c r="D2356" s="15"/>
    </row>
    <row r="2357" spans="2:4" x14ac:dyDescent="0.25">
      <c r="B2357" s="68"/>
      <c r="C2357" s="50"/>
      <c r="D2357" s="15"/>
    </row>
    <row r="2358" spans="2:4" x14ac:dyDescent="0.25">
      <c r="B2358" s="68"/>
      <c r="C2358" s="50"/>
      <c r="D2358" s="15"/>
    </row>
    <row r="2359" spans="2:4" x14ac:dyDescent="0.25">
      <c r="B2359" s="68"/>
      <c r="C2359" s="50"/>
      <c r="D2359" s="15"/>
    </row>
    <row r="2360" spans="2:4" x14ac:dyDescent="0.25">
      <c r="B2360" s="68"/>
      <c r="C2360" s="50"/>
      <c r="D2360" s="15"/>
    </row>
    <row r="2361" spans="2:4" x14ac:dyDescent="0.25">
      <c r="B2361" s="68"/>
      <c r="C2361" s="50"/>
      <c r="D2361" s="15"/>
    </row>
    <row r="2362" spans="2:4" x14ac:dyDescent="0.25">
      <c r="B2362" s="68"/>
      <c r="C2362" s="50"/>
      <c r="D2362" s="15"/>
    </row>
    <row r="2363" spans="2:4" x14ac:dyDescent="0.25">
      <c r="B2363" s="68"/>
      <c r="C2363" s="50"/>
      <c r="D2363" s="15"/>
    </row>
    <row r="2364" spans="2:4" x14ac:dyDescent="0.25">
      <c r="B2364" s="68"/>
      <c r="C2364" s="50"/>
      <c r="D2364" s="15"/>
    </row>
    <row r="2365" spans="2:4" x14ac:dyDescent="0.25">
      <c r="B2365" s="68"/>
      <c r="C2365" s="50"/>
      <c r="D2365" s="15"/>
    </row>
    <row r="2366" spans="2:4" x14ac:dyDescent="0.25">
      <c r="B2366" s="68"/>
      <c r="C2366" s="50"/>
      <c r="D2366" s="15"/>
    </row>
    <row r="2367" spans="2:4" x14ac:dyDescent="0.25">
      <c r="B2367" s="68"/>
      <c r="C2367" s="50"/>
      <c r="D2367" s="15"/>
    </row>
    <row r="2368" spans="2:4" x14ac:dyDescent="0.25">
      <c r="B2368" s="68"/>
      <c r="C2368" s="50"/>
      <c r="D2368" s="15"/>
    </row>
    <row r="2369" spans="2:4" x14ac:dyDescent="0.25">
      <c r="B2369" s="68"/>
      <c r="C2369" s="50"/>
      <c r="D2369" s="15"/>
    </row>
    <row r="2370" spans="2:4" x14ac:dyDescent="0.25">
      <c r="B2370" s="68"/>
      <c r="C2370" s="50"/>
      <c r="D2370" s="15"/>
    </row>
    <row r="2371" spans="2:4" x14ac:dyDescent="0.25">
      <c r="B2371" s="68"/>
      <c r="C2371" s="50"/>
      <c r="D2371" s="15"/>
    </row>
    <row r="2372" spans="2:4" x14ac:dyDescent="0.25">
      <c r="B2372" s="68"/>
      <c r="C2372" s="50"/>
      <c r="D2372" s="15"/>
    </row>
    <row r="2373" spans="2:4" x14ac:dyDescent="0.25">
      <c r="B2373" s="68"/>
      <c r="C2373" s="50"/>
      <c r="D2373" s="15"/>
    </row>
    <row r="2374" spans="2:4" x14ac:dyDescent="0.25">
      <c r="B2374" s="68"/>
      <c r="C2374" s="50"/>
      <c r="D2374" s="15"/>
    </row>
    <row r="2375" spans="2:4" x14ac:dyDescent="0.25">
      <c r="B2375" s="68"/>
      <c r="C2375" s="50"/>
      <c r="D2375" s="15"/>
    </row>
    <row r="2376" spans="2:4" x14ac:dyDescent="0.25">
      <c r="B2376" s="68"/>
      <c r="C2376" s="50"/>
      <c r="D2376" s="15"/>
    </row>
    <row r="2377" spans="2:4" x14ac:dyDescent="0.25">
      <c r="B2377" s="68"/>
      <c r="C2377" s="50"/>
      <c r="D2377" s="15"/>
    </row>
    <row r="2378" spans="2:4" x14ac:dyDescent="0.25">
      <c r="B2378" s="68"/>
      <c r="C2378" s="50"/>
      <c r="D2378" s="15"/>
    </row>
    <row r="2379" spans="2:4" x14ac:dyDescent="0.25">
      <c r="B2379" s="68"/>
      <c r="C2379" s="50"/>
      <c r="D2379" s="15"/>
    </row>
    <row r="2380" spans="2:4" x14ac:dyDescent="0.25">
      <c r="B2380" s="68"/>
      <c r="C2380" s="50"/>
      <c r="D2380" s="15"/>
    </row>
    <row r="2381" spans="2:4" x14ac:dyDescent="0.25">
      <c r="B2381" s="68"/>
      <c r="C2381" s="50"/>
      <c r="D2381" s="15"/>
    </row>
    <row r="2382" spans="2:4" x14ac:dyDescent="0.25">
      <c r="B2382" s="68"/>
      <c r="C2382" s="50"/>
      <c r="D2382" s="15"/>
    </row>
    <row r="2383" spans="2:4" x14ac:dyDescent="0.25">
      <c r="B2383" s="68"/>
      <c r="C2383" s="50"/>
      <c r="D2383" s="15"/>
    </row>
    <row r="2384" spans="2:4" x14ac:dyDescent="0.25">
      <c r="B2384" s="68"/>
      <c r="C2384" s="50"/>
      <c r="D2384" s="15"/>
    </row>
    <row r="2385" spans="2:4" x14ac:dyDescent="0.25">
      <c r="B2385" s="68"/>
      <c r="C2385" s="50"/>
      <c r="D2385" s="15"/>
    </row>
    <row r="2386" spans="2:4" x14ac:dyDescent="0.25">
      <c r="B2386" s="68"/>
      <c r="C2386" s="50"/>
      <c r="D2386" s="15"/>
    </row>
    <row r="2387" spans="2:4" x14ac:dyDescent="0.25">
      <c r="B2387" s="68"/>
      <c r="C2387" s="50"/>
      <c r="D2387" s="15"/>
    </row>
    <row r="2388" spans="2:4" x14ac:dyDescent="0.25">
      <c r="B2388" s="68"/>
      <c r="C2388" s="50"/>
      <c r="D2388" s="15"/>
    </row>
    <row r="2389" spans="2:4" x14ac:dyDescent="0.25">
      <c r="B2389" s="68"/>
      <c r="C2389" s="50"/>
      <c r="D2389" s="15"/>
    </row>
    <row r="2390" spans="2:4" x14ac:dyDescent="0.25">
      <c r="B2390" s="68"/>
      <c r="C2390" s="50"/>
      <c r="D2390" s="15"/>
    </row>
    <row r="2391" spans="2:4" x14ac:dyDescent="0.25">
      <c r="B2391" s="68"/>
      <c r="C2391" s="50"/>
      <c r="D2391" s="15"/>
    </row>
    <row r="2392" spans="2:4" x14ac:dyDescent="0.25">
      <c r="B2392" s="68"/>
      <c r="C2392" s="50"/>
      <c r="D2392" s="15"/>
    </row>
    <row r="2393" spans="2:4" x14ac:dyDescent="0.25">
      <c r="B2393" s="68"/>
      <c r="C2393" s="50"/>
      <c r="D2393" s="15"/>
    </row>
    <row r="2394" spans="2:4" x14ac:dyDescent="0.25">
      <c r="B2394" s="68"/>
      <c r="C2394" s="50"/>
      <c r="D2394" s="15"/>
    </row>
    <row r="2395" spans="2:4" x14ac:dyDescent="0.25">
      <c r="B2395" s="68"/>
      <c r="C2395" s="50"/>
      <c r="D2395" s="15"/>
    </row>
    <row r="2396" spans="2:4" x14ac:dyDescent="0.25">
      <c r="B2396" s="68"/>
      <c r="C2396" s="50"/>
      <c r="D2396" s="15"/>
    </row>
    <row r="2397" spans="2:4" x14ac:dyDescent="0.25">
      <c r="B2397" s="68"/>
      <c r="C2397" s="50"/>
      <c r="D2397" s="15"/>
    </row>
    <row r="2398" spans="2:4" x14ac:dyDescent="0.25">
      <c r="B2398" s="68"/>
      <c r="C2398" s="50"/>
      <c r="D2398" s="15"/>
    </row>
    <row r="2399" spans="2:4" x14ac:dyDescent="0.25">
      <c r="B2399" s="68"/>
      <c r="C2399" s="50"/>
      <c r="D2399" s="15"/>
    </row>
    <row r="2400" spans="2:4" x14ac:dyDescent="0.25">
      <c r="B2400" s="68"/>
      <c r="C2400" s="50"/>
      <c r="D2400" s="15"/>
    </row>
    <row r="2401" spans="2:4" x14ac:dyDescent="0.25">
      <c r="B2401" s="68"/>
      <c r="C2401" s="50"/>
      <c r="D2401" s="15"/>
    </row>
    <row r="2402" spans="2:4" x14ac:dyDescent="0.25">
      <c r="B2402" s="68"/>
      <c r="C2402" s="50"/>
      <c r="D2402" s="15"/>
    </row>
    <row r="2403" spans="2:4" x14ac:dyDescent="0.25">
      <c r="B2403" s="68"/>
      <c r="C2403" s="50"/>
      <c r="D2403" s="15"/>
    </row>
    <row r="2404" spans="2:4" x14ac:dyDescent="0.25">
      <c r="B2404" s="68"/>
      <c r="C2404" s="50"/>
      <c r="D2404" s="15"/>
    </row>
    <row r="2405" spans="2:4" x14ac:dyDescent="0.25">
      <c r="B2405" s="68"/>
      <c r="C2405" s="50"/>
      <c r="D2405" s="15"/>
    </row>
    <row r="2406" spans="2:4" x14ac:dyDescent="0.25">
      <c r="B2406" s="68"/>
      <c r="C2406" s="50"/>
      <c r="D2406" s="15"/>
    </row>
    <row r="2407" spans="2:4" x14ac:dyDescent="0.25">
      <c r="B2407" s="68"/>
      <c r="C2407" s="50"/>
      <c r="D2407" s="15"/>
    </row>
    <row r="2408" spans="2:4" x14ac:dyDescent="0.25">
      <c r="B2408" s="68"/>
      <c r="C2408" s="50"/>
      <c r="D2408" s="15"/>
    </row>
    <row r="2409" spans="2:4" x14ac:dyDescent="0.25">
      <c r="B2409" s="68"/>
      <c r="C2409" s="50"/>
      <c r="D2409" s="15"/>
    </row>
    <row r="2410" spans="2:4" x14ac:dyDescent="0.25">
      <c r="B2410" s="68"/>
      <c r="C2410" s="50"/>
      <c r="D2410" s="15"/>
    </row>
    <row r="2411" spans="2:4" x14ac:dyDescent="0.25">
      <c r="B2411" s="68"/>
      <c r="C2411" s="50"/>
      <c r="D2411" s="15"/>
    </row>
    <row r="2412" spans="2:4" x14ac:dyDescent="0.25">
      <c r="B2412" s="68"/>
      <c r="C2412" s="50"/>
      <c r="D2412" s="15"/>
    </row>
    <row r="2413" spans="2:4" x14ac:dyDescent="0.25">
      <c r="B2413" s="68"/>
      <c r="C2413" s="50"/>
      <c r="D2413" s="15"/>
    </row>
    <row r="2414" spans="2:4" x14ac:dyDescent="0.25">
      <c r="B2414" s="68"/>
      <c r="C2414" s="50"/>
      <c r="D2414" s="15"/>
    </row>
    <row r="2415" spans="2:4" x14ac:dyDescent="0.25">
      <c r="B2415" s="68"/>
      <c r="C2415" s="50"/>
      <c r="D2415" s="15"/>
    </row>
    <row r="2416" spans="2:4" x14ac:dyDescent="0.25">
      <c r="B2416" s="68"/>
      <c r="C2416" s="50"/>
      <c r="D2416" s="15"/>
    </row>
    <row r="2417" spans="2:4" x14ac:dyDescent="0.25">
      <c r="B2417" s="68"/>
      <c r="C2417" s="50"/>
      <c r="D2417" s="15"/>
    </row>
    <row r="2418" spans="2:4" x14ac:dyDescent="0.25">
      <c r="B2418" s="68"/>
      <c r="C2418" s="50"/>
      <c r="D2418" s="15"/>
    </row>
    <row r="2419" spans="2:4" x14ac:dyDescent="0.25">
      <c r="B2419" s="68"/>
      <c r="C2419" s="50"/>
      <c r="D2419" s="15"/>
    </row>
    <row r="2420" spans="2:4" x14ac:dyDescent="0.25">
      <c r="B2420" s="68"/>
      <c r="C2420" s="50"/>
      <c r="D2420" s="15"/>
    </row>
    <row r="2421" spans="2:4" x14ac:dyDescent="0.25">
      <c r="B2421" s="68"/>
      <c r="C2421" s="50"/>
      <c r="D2421" s="15"/>
    </row>
    <row r="2422" spans="2:4" x14ac:dyDescent="0.25">
      <c r="B2422" s="68"/>
      <c r="C2422" s="50"/>
      <c r="D2422" s="15"/>
    </row>
    <row r="2423" spans="2:4" x14ac:dyDescent="0.25">
      <c r="B2423" s="68"/>
      <c r="C2423" s="50"/>
      <c r="D2423" s="15"/>
    </row>
    <row r="2424" spans="2:4" x14ac:dyDescent="0.25">
      <c r="B2424" s="68"/>
      <c r="C2424" s="50"/>
      <c r="D2424" s="15"/>
    </row>
    <row r="2425" spans="2:4" x14ac:dyDescent="0.25">
      <c r="B2425" s="68"/>
      <c r="C2425" s="50"/>
      <c r="D2425" s="15"/>
    </row>
    <row r="2426" spans="2:4" x14ac:dyDescent="0.25">
      <c r="B2426" s="68"/>
      <c r="C2426" s="50"/>
      <c r="D2426" s="15"/>
    </row>
    <row r="2427" spans="2:4" x14ac:dyDescent="0.25">
      <c r="B2427" s="68"/>
      <c r="C2427" s="50"/>
      <c r="D2427" s="15"/>
    </row>
    <row r="2428" spans="2:4" x14ac:dyDescent="0.25">
      <c r="B2428" s="68"/>
      <c r="C2428" s="50"/>
      <c r="D2428" s="15"/>
    </row>
    <row r="2429" spans="2:4" x14ac:dyDescent="0.25">
      <c r="B2429" s="68"/>
      <c r="C2429" s="50"/>
      <c r="D2429" s="15"/>
    </row>
    <row r="2430" spans="2:4" x14ac:dyDescent="0.25">
      <c r="B2430" s="68"/>
      <c r="C2430" s="50"/>
      <c r="D2430" s="15"/>
    </row>
    <row r="2431" spans="2:4" x14ac:dyDescent="0.25">
      <c r="B2431" s="68"/>
      <c r="C2431" s="50"/>
      <c r="D2431" s="15"/>
    </row>
    <row r="2432" spans="2:4" x14ac:dyDescent="0.25">
      <c r="B2432" s="68"/>
      <c r="C2432" s="50"/>
      <c r="D2432" s="15"/>
    </row>
    <row r="2433" spans="2:4" x14ac:dyDescent="0.25">
      <c r="B2433" s="68"/>
      <c r="C2433" s="50"/>
      <c r="D2433" s="15"/>
    </row>
    <row r="2434" spans="2:4" x14ac:dyDescent="0.25">
      <c r="B2434" s="68"/>
      <c r="C2434" s="50"/>
      <c r="D2434" s="15"/>
    </row>
    <row r="2435" spans="2:4" x14ac:dyDescent="0.25">
      <c r="B2435" s="68"/>
      <c r="C2435" s="50"/>
      <c r="D2435" s="15"/>
    </row>
    <row r="2436" spans="2:4" x14ac:dyDescent="0.25">
      <c r="B2436" s="68"/>
      <c r="C2436" s="50"/>
      <c r="D2436" s="15"/>
    </row>
    <row r="2437" spans="2:4" x14ac:dyDescent="0.25">
      <c r="B2437" s="68"/>
      <c r="C2437" s="50"/>
      <c r="D2437" s="15"/>
    </row>
    <row r="2438" spans="2:4" x14ac:dyDescent="0.25">
      <c r="B2438" s="68"/>
      <c r="C2438" s="50"/>
      <c r="D2438" s="15"/>
    </row>
    <row r="2439" spans="2:4" x14ac:dyDescent="0.25">
      <c r="B2439" s="68"/>
      <c r="C2439" s="50"/>
      <c r="D2439" s="15"/>
    </row>
    <row r="2440" spans="2:4" x14ac:dyDescent="0.25">
      <c r="B2440" s="68"/>
      <c r="C2440" s="50"/>
      <c r="D2440" s="15"/>
    </row>
    <row r="2441" spans="2:4" x14ac:dyDescent="0.25">
      <c r="B2441" s="68"/>
      <c r="C2441" s="50"/>
      <c r="D2441" s="15"/>
    </row>
    <row r="2442" spans="2:4" x14ac:dyDescent="0.25">
      <c r="B2442" s="68"/>
      <c r="C2442" s="50"/>
      <c r="D2442" s="15"/>
    </row>
    <row r="2443" spans="2:4" x14ac:dyDescent="0.25">
      <c r="B2443" s="68"/>
      <c r="C2443" s="50"/>
      <c r="D2443" s="15"/>
    </row>
    <row r="2444" spans="2:4" x14ac:dyDescent="0.25">
      <c r="B2444" s="68"/>
      <c r="C2444" s="50"/>
      <c r="D2444" s="15"/>
    </row>
    <row r="2445" spans="2:4" x14ac:dyDescent="0.25">
      <c r="B2445" s="68"/>
      <c r="C2445" s="50"/>
      <c r="D2445" s="15"/>
    </row>
    <row r="2446" spans="2:4" x14ac:dyDescent="0.25">
      <c r="B2446" s="68"/>
      <c r="C2446" s="50"/>
      <c r="D2446" s="15"/>
    </row>
    <row r="2447" spans="2:4" x14ac:dyDescent="0.25">
      <c r="B2447" s="68"/>
      <c r="C2447" s="50"/>
      <c r="D2447" s="15"/>
    </row>
    <row r="2448" spans="2:4" x14ac:dyDescent="0.25">
      <c r="B2448" s="68"/>
      <c r="C2448" s="50"/>
      <c r="D2448" s="15"/>
    </row>
    <row r="2449" spans="2:4" x14ac:dyDescent="0.25">
      <c r="B2449" s="68"/>
      <c r="C2449" s="50"/>
      <c r="D2449" s="15"/>
    </row>
    <row r="2450" spans="2:4" x14ac:dyDescent="0.25">
      <c r="B2450" s="68"/>
      <c r="C2450" s="50"/>
      <c r="D2450" s="15"/>
    </row>
    <row r="2451" spans="2:4" x14ac:dyDescent="0.25">
      <c r="B2451" s="68"/>
      <c r="C2451" s="50"/>
      <c r="D2451" s="15"/>
    </row>
    <row r="2452" spans="2:4" x14ac:dyDescent="0.25">
      <c r="B2452" s="68"/>
      <c r="C2452" s="50"/>
      <c r="D2452" s="15"/>
    </row>
    <row r="2453" spans="2:4" x14ac:dyDescent="0.25">
      <c r="B2453" s="68"/>
      <c r="C2453" s="50"/>
      <c r="D2453" s="15"/>
    </row>
    <row r="2454" spans="2:4" x14ac:dyDescent="0.25">
      <c r="B2454" s="68"/>
      <c r="C2454" s="50"/>
      <c r="D2454" s="15"/>
    </row>
    <row r="2455" spans="2:4" x14ac:dyDescent="0.25">
      <c r="B2455" s="68"/>
      <c r="C2455" s="50"/>
      <c r="D2455" s="15"/>
    </row>
    <row r="2456" spans="2:4" x14ac:dyDescent="0.25">
      <c r="B2456" s="68"/>
      <c r="C2456" s="50"/>
      <c r="D2456" s="15"/>
    </row>
    <row r="2457" spans="2:4" x14ac:dyDescent="0.25">
      <c r="B2457" s="68"/>
      <c r="C2457" s="50"/>
      <c r="D2457" s="15"/>
    </row>
    <row r="2458" spans="2:4" x14ac:dyDescent="0.25">
      <c r="B2458" s="68"/>
      <c r="C2458" s="50"/>
      <c r="D2458" s="15"/>
    </row>
    <row r="2459" spans="2:4" x14ac:dyDescent="0.25">
      <c r="B2459" s="68"/>
      <c r="C2459" s="50"/>
      <c r="D2459" s="15"/>
    </row>
    <row r="2460" spans="2:4" x14ac:dyDescent="0.25">
      <c r="B2460" s="68"/>
      <c r="C2460" s="50"/>
      <c r="D2460" s="15"/>
    </row>
    <row r="2461" spans="2:4" x14ac:dyDescent="0.25">
      <c r="B2461" s="68"/>
      <c r="C2461" s="50"/>
      <c r="D2461" s="15"/>
    </row>
    <row r="2462" spans="2:4" x14ac:dyDescent="0.25">
      <c r="B2462" s="68"/>
      <c r="C2462" s="50"/>
      <c r="D2462" s="15"/>
    </row>
    <row r="2463" spans="2:4" x14ac:dyDescent="0.25">
      <c r="B2463" s="68"/>
      <c r="C2463" s="50"/>
      <c r="D2463" s="15"/>
    </row>
    <row r="2464" spans="2:4" x14ac:dyDescent="0.25">
      <c r="B2464" s="68"/>
      <c r="C2464" s="50"/>
      <c r="D2464" s="15"/>
    </row>
    <row r="2465" spans="2:4" x14ac:dyDescent="0.25">
      <c r="B2465" s="68"/>
      <c r="C2465" s="50"/>
      <c r="D2465" s="15"/>
    </row>
    <row r="2466" spans="2:4" x14ac:dyDescent="0.25">
      <c r="B2466" s="68"/>
      <c r="C2466" s="50"/>
      <c r="D2466" s="15"/>
    </row>
    <row r="2467" spans="2:4" x14ac:dyDescent="0.25">
      <c r="B2467" s="68"/>
      <c r="C2467" s="50"/>
      <c r="D2467" s="15"/>
    </row>
    <row r="2468" spans="2:4" x14ac:dyDescent="0.25">
      <c r="B2468" s="68"/>
      <c r="C2468" s="50"/>
      <c r="D2468" s="15"/>
    </row>
    <row r="2469" spans="2:4" x14ac:dyDescent="0.25">
      <c r="B2469" s="68"/>
      <c r="C2469" s="50"/>
      <c r="D2469" s="15"/>
    </row>
    <row r="2470" spans="2:4" x14ac:dyDescent="0.25">
      <c r="B2470" s="68"/>
      <c r="C2470" s="50"/>
      <c r="D2470" s="15"/>
    </row>
    <row r="2471" spans="2:4" x14ac:dyDescent="0.25">
      <c r="B2471" s="68"/>
      <c r="C2471" s="50"/>
      <c r="D2471" s="15"/>
    </row>
    <row r="2472" spans="2:4" x14ac:dyDescent="0.25">
      <c r="B2472" s="68"/>
      <c r="C2472" s="50"/>
      <c r="D2472" s="15"/>
    </row>
    <row r="2473" spans="2:4" x14ac:dyDescent="0.25">
      <c r="B2473" s="68"/>
      <c r="C2473" s="50"/>
      <c r="D2473" s="15"/>
    </row>
    <row r="2474" spans="2:4" x14ac:dyDescent="0.25">
      <c r="B2474" s="68"/>
      <c r="C2474" s="50"/>
      <c r="D2474" s="15"/>
    </row>
    <row r="2475" spans="2:4" x14ac:dyDescent="0.25">
      <c r="B2475" s="68"/>
      <c r="C2475" s="50"/>
      <c r="D2475" s="15"/>
    </row>
    <row r="2476" spans="2:4" x14ac:dyDescent="0.25">
      <c r="B2476" s="68"/>
      <c r="C2476" s="50"/>
      <c r="D2476" s="15"/>
    </row>
    <row r="2477" spans="2:4" x14ac:dyDescent="0.25">
      <c r="B2477" s="68"/>
      <c r="C2477" s="50"/>
      <c r="D2477" s="15"/>
    </row>
    <row r="2478" spans="2:4" x14ac:dyDescent="0.25">
      <c r="B2478" s="68"/>
      <c r="C2478" s="50"/>
      <c r="D2478" s="15"/>
    </row>
    <row r="2479" spans="2:4" x14ac:dyDescent="0.25">
      <c r="B2479" s="68"/>
      <c r="C2479" s="50"/>
      <c r="D2479" s="15"/>
    </row>
    <row r="2480" spans="2:4" x14ac:dyDescent="0.25">
      <c r="B2480" s="68"/>
      <c r="C2480" s="50"/>
      <c r="D2480" s="15"/>
    </row>
    <row r="2481" spans="2:4" x14ac:dyDescent="0.25">
      <c r="B2481" s="68"/>
      <c r="C2481" s="50"/>
      <c r="D2481" s="15"/>
    </row>
    <row r="2482" spans="2:4" x14ac:dyDescent="0.25">
      <c r="B2482" s="68"/>
      <c r="C2482" s="50"/>
      <c r="D2482" s="15"/>
    </row>
    <row r="2483" spans="2:4" x14ac:dyDescent="0.25">
      <c r="B2483" s="68"/>
      <c r="C2483" s="50"/>
      <c r="D2483" s="15"/>
    </row>
    <row r="2484" spans="2:4" x14ac:dyDescent="0.25">
      <c r="B2484" s="68"/>
      <c r="C2484" s="50"/>
      <c r="D2484" s="15"/>
    </row>
    <row r="2485" spans="2:4" x14ac:dyDescent="0.25">
      <c r="B2485" s="68"/>
      <c r="C2485" s="50"/>
      <c r="D2485" s="15"/>
    </row>
    <row r="2486" spans="2:4" x14ac:dyDescent="0.25">
      <c r="B2486" s="68"/>
      <c r="C2486" s="50"/>
      <c r="D2486" s="15"/>
    </row>
    <row r="2487" spans="2:4" x14ac:dyDescent="0.25">
      <c r="B2487" s="68"/>
      <c r="C2487" s="50"/>
      <c r="D2487" s="15"/>
    </row>
    <row r="2488" spans="2:4" x14ac:dyDescent="0.25">
      <c r="B2488" s="68"/>
      <c r="C2488" s="50"/>
      <c r="D2488" s="15"/>
    </row>
    <row r="2489" spans="2:4" x14ac:dyDescent="0.25">
      <c r="B2489" s="68"/>
      <c r="C2489" s="50"/>
      <c r="D2489" s="15"/>
    </row>
    <row r="2490" spans="2:4" x14ac:dyDescent="0.25">
      <c r="B2490" s="68"/>
      <c r="C2490" s="50"/>
      <c r="D2490" s="15"/>
    </row>
    <row r="2491" spans="2:4" x14ac:dyDescent="0.25">
      <c r="B2491" s="68"/>
      <c r="C2491" s="50"/>
      <c r="D2491" s="15"/>
    </row>
    <row r="2492" spans="2:4" x14ac:dyDescent="0.25">
      <c r="B2492" s="68"/>
      <c r="C2492" s="50"/>
      <c r="D2492" s="15"/>
    </row>
    <row r="2493" spans="2:4" x14ac:dyDescent="0.25">
      <c r="B2493" s="68"/>
      <c r="C2493" s="50"/>
      <c r="D2493" s="15"/>
    </row>
    <row r="2494" spans="2:4" x14ac:dyDescent="0.25">
      <c r="B2494" s="68"/>
      <c r="C2494" s="50"/>
      <c r="D2494" s="15"/>
    </row>
    <row r="2495" spans="2:4" x14ac:dyDescent="0.25">
      <c r="B2495" s="68"/>
      <c r="C2495" s="50"/>
      <c r="D2495" s="15"/>
    </row>
    <row r="2496" spans="2:4" x14ac:dyDescent="0.25">
      <c r="B2496" s="68"/>
      <c r="C2496" s="50"/>
      <c r="D2496" s="15"/>
    </row>
    <row r="2497" spans="2:4" x14ac:dyDescent="0.25">
      <c r="B2497" s="68"/>
      <c r="C2497" s="50"/>
      <c r="D2497" s="15"/>
    </row>
    <row r="2498" spans="2:4" x14ac:dyDescent="0.25">
      <c r="B2498" s="68"/>
      <c r="C2498" s="50"/>
      <c r="D2498" s="15"/>
    </row>
    <row r="2499" spans="2:4" x14ac:dyDescent="0.25">
      <c r="B2499" s="68"/>
      <c r="C2499" s="50"/>
      <c r="D2499" s="15"/>
    </row>
    <row r="2500" spans="2:4" x14ac:dyDescent="0.25">
      <c r="B2500" s="68"/>
      <c r="C2500" s="50"/>
      <c r="D2500" s="15"/>
    </row>
    <row r="2501" spans="2:4" x14ac:dyDescent="0.25">
      <c r="B2501" s="68"/>
      <c r="C2501" s="50"/>
      <c r="D2501" s="15"/>
    </row>
    <row r="2502" spans="2:4" x14ac:dyDescent="0.25">
      <c r="B2502" s="68"/>
      <c r="C2502" s="50"/>
      <c r="D2502" s="15"/>
    </row>
    <row r="2503" spans="2:4" x14ac:dyDescent="0.25">
      <c r="B2503" s="68"/>
      <c r="C2503" s="50"/>
      <c r="D2503" s="15"/>
    </row>
    <row r="2504" spans="2:4" x14ac:dyDescent="0.25">
      <c r="B2504" s="68"/>
      <c r="C2504" s="50"/>
      <c r="D2504" s="15"/>
    </row>
    <row r="2505" spans="2:4" x14ac:dyDescent="0.25">
      <c r="B2505" s="68"/>
      <c r="C2505" s="50"/>
      <c r="D2505" s="15"/>
    </row>
    <row r="2506" spans="2:4" x14ac:dyDescent="0.25">
      <c r="B2506" s="68"/>
      <c r="C2506" s="50"/>
      <c r="D2506" s="15"/>
    </row>
    <row r="2507" spans="2:4" x14ac:dyDescent="0.25">
      <c r="B2507" s="68"/>
      <c r="C2507" s="50"/>
      <c r="D2507" s="15"/>
    </row>
    <row r="2508" spans="2:4" x14ac:dyDescent="0.25">
      <c r="B2508" s="68"/>
      <c r="C2508" s="50"/>
      <c r="D2508" s="15"/>
    </row>
    <row r="2509" spans="2:4" x14ac:dyDescent="0.25">
      <c r="B2509" s="68"/>
      <c r="C2509" s="50"/>
      <c r="D2509" s="15"/>
    </row>
    <row r="2510" spans="2:4" x14ac:dyDescent="0.25">
      <c r="B2510" s="68"/>
      <c r="C2510" s="50"/>
      <c r="D2510" s="15"/>
    </row>
    <row r="2511" spans="2:4" x14ac:dyDescent="0.25">
      <c r="B2511" s="68"/>
      <c r="C2511" s="50"/>
      <c r="D2511" s="15"/>
    </row>
    <row r="2512" spans="2:4" x14ac:dyDescent="0.25">
      <c r="B2512" s="68"/>
      <c r="C2512" s="50"/>
      <c r="D2512" s="15"/>
    </row>
    <row r="2513" spans="2:4" x14ac:dyDescent="0.25">
      <c r="B2513" s="68"/>
      <c r="C2513" s="50"/>
      <c r="D2513" s="15"/>
    </row>
    <row r="2514" spans="2:4" x14ac:dyDescent="0.25">
      <c r="B2514" s="68"/>
      <c r="C2514" s="50"/>
      <c r="D2514" s="15"/>
    </row>
    <row r="2515" spans="2:4" x14ac:dyDescent="0.25">
      <c r="B2515" s="68"/>
      <c r="C2515" s="50"/>
      <c r="D2515" s="15"/>
    </row>
    <row r="2516" spans="2:4" x14ac:dyDescent="0.25">
      <c r="B2516" s="68"/>
      <c r="C2516" s="50"/>
      <c r="D2516" s="15"/>
    </row>
    <row r="2517" spans="2:4" x14ac:dyDescent="0.25">
      <c r="B2517" s="68"/>
      <c r="C2517" s="50"/>
      <c r="D2517" s="15"/>
    </row>
    <row r="2518" spans="2:4" x14ac:dyDescent="0.25">
      <c r="B2518" s="68"/>
      <c r="C2518" s="50"/>
      <c r="D2518" s="15"/>
    </row>
    <row r="2519" spans="2:4" x14ac:dyDescent="0.25">
      <c r="B2519" s="68"/>
      <c r="C2519" s="50"/>
      <c r="D2519" s="15"/>
    </row>
    <row r="2520" spans="2:4" x14ac:dyDescent="0.25">
      <c r="B2520" s="68"/>
      <c r="C2520" s="50"/>
      <c r="D2520" s="15"/>
    </row>
    <row r="2521" spans="2:4" x14ac:dyDescent="0.25">
      <c r="B2521" s="68"/>
      <c r="C2521" s="50"/>
      <c r="D2521" s="15"/>
    </row>
    <row r="2522" spans="2:4" x14ac:dyDescent="0.25">
      <c r="B2522" s="68"/>
      <c r="C2522" s="50"/>
      <c r="D2522" s="15"/>
    </row>
    <row r="2523" spans="2:4" x14ac:dyDescent="0.25">
      <c r="B2523" s="68"/>
      <c r="C2523" s="50"/>
      <c r="D2523" s="15"/>
    </row>
    <row r="2524" spans="2:4" x14ac:dyDescent="0.25">
      <c r="B2524" s="68"/>
      <c r="C2524" s="50"/>
      <c r="D2524" s="15"/>
    </row>
    <row r="2525" spans="2:4" x14ac:dyDescent="0.25">
      <c r="B2525" s="68"/>
      <c r="C2525" s="50"/>
      <c r="D2525" s="15"/>
    </row>
    <row r="2526" spans="2:4" x14ac:dyDescent="0.25">
      <c r="B2526" s="68"/>
      <c r="C2526" s="50"/>
      <c r="D2526" s="15"/>
    </row>
    <row r="2527" spans="2:4" x14ac:dyDescent="0.25">
      <c r="B2527" s="68"/>
      <c r="C2527" s="50"/>
      <c r="D2527" s="15"/>
    </row>
    <row r="2528" spans="2:4" x14ac:dyDescent="0.25">
      <c r="B2528" s="68"/>
      <c r="C2528" s="50"/>
      <c r="D2528" s="15"/>
    </row>
    <row r="2529" spans="2:4" x14ac:dyDescent="0.25">
      <c r="B2529" s="68"/>
      <c r="C2529" s="50"/>
      <c r="D2529" s="15"/>
    </row>
    <row r="2530" spans="2:4" x14ac:dyDescent="0.25">
      <c r="B2530" s="68"/>
      <c r="C2530" s="50"/>
      <c r="D2530" s="15"/>
    </row>
    <row r="2531" spans="2:4" x14ac:dyDescent="0.25">
      <c r="B2531" s="68"/>
      <c r="C2531" s="50"/>
      <c r="D2531" s="15"/>
    </row>
    <row r="2532" spans="2:4" x14ac:dyDescent="0.25">
      <c r="B2532" s="68"/>
      <c r="C2532" s="50"/>
      <c r="D2532" s="15"/>
    </row>
    <row r="2533" spans="2:4" x14ac:dyDescent="0.25">
      <c r="B2533" s="68"/>
      <c r="C2533" s="50"/>
      <c r="D2533" s="15"/>
    </row>
    <row r="2534" spans="2:4" x14ac:dyDescent="0.25">
      <c r="B2534" s="68"/>
      <c r="C2534" s="50"/>
      <c r="D2534" s="15"/>
    </row>
    <row r="2535" spans="2:4" x14ac:dyDescent="0.25">
      <c r="B2535" s="68"/>
      <c r="C2535" s="50"/>
      <c r="D2535" s="15"/>
    </row>
    <row r="2536" spans="2:4" x14ac:dyDescent="0.25">
      <c r="B2536" s="68"/>
      <c r="C2536" s="50"/>
      <c r="D2536" s="15"/>
    </row>
    <row r="2537" spans="2:4" x14ac:dyDescent="0.25">
      <c r="B2537" s="68"/>
      <c r="C2537" s="50"/>
      <c r="D2537" s="15"/>
    </row>
    <row r="2538" spans="2:4" x14ac:dyDescent="0.25">
      <c r="B2538" s="68"/>
      <c r="C2538" s="50"/>
      <c r="D2538" s="15"/>
    </row>
    <row r="2539" spans="2:4" x14ac:dyDescent="0.25">
      <c r="B2539" s="68"/>
      <c r="C2539" s="50"/>
      <c r="D2539" s="15"/>
    </row>
    <row r="2540" spans="2:4" x14ac:dyDescent="0.25">
      <c r="B2540" s="68"/>
      <c r="C2540" s="50"/>
      <c r="D2540" s="15"/>
    </row>
    <row r="2541" spans="2:4" x14ac:dyDescent="0.25">
      <c r="B2541" s="68"/>
      <c r="C2541" s="50"/>
      <c r="D2541" s="15"/>
    </row>
    <row r="2542" spans="2:4" x14ac:dyDescent="0.25">
      <c r="B2542" s="68"/>
      <c r="C2542" s="50"/>
      <c r="D2542" s="15"/>
    </row>
    <row r="2543" spans="2:4" x14ac:dyDescent="0.25">
      <c r="B2543" s="68"/>
      <c r="C2543" s="50"/>
      <c r="D2543" s="15"/>
    </row>
    <row r="2544" spans="2:4" x14ac:dyDescent="0.25">
      <c r="B2544" s="68"/>
      <c r="C2544" s="50"/>
      <c r="D2544" s="15"/>
    </row>
    <row r="2545" spans="2:4" x14ac:dyDescent="0.25">
      <c r="B2545" s="68"/>
      <c r="C2545" s="50"/>
      <c r="D2545" s="15"/>
    </row>
    <row r="2546" spans="2:4" x14ac:dyDescent="0.25">
      <c r="B2546" s="68"/>
      <c r="C2546" s="50"/>
      <c r="D2546" s="15"/>
    </row>
    <row r="2547" spans="2:4" x14ac:dyDescent="0.25">
      <c r="B2547" s="68"/>
      <c r="C2547" s="50"/>
      <c r="D2547" s="15"/>
    </row>
    <row r="2548" spans="2:4" x14ac:dyDescent="0.25">
      <c r="B2548" s="68"/>
      <c r="C2548" s="50"/>
      <c r="D2548" s="15"/>
    </row>
    <row r="2549" spans="2:4" x14ac:dyDescent="0.25">
      <c r="B2549" s="68"/>
      <c r="C2549" s="50"/>
      <c r="D2549" s="15"/>
    </row>
    <row r="2550" spans="2:4" x14ac:dyDescent="0.25">
      <c r="B2550" s="68"/>
      <c r="C2550" s="50"/>
      <c r="D2550" s="15"/>
    </row>
    <row r="2551" spans="2:4" x14ac:dyDescent="0.25">
      <c r="B2551" s="68"/>
      <c r="C2551" s="50"/>
      <c r="D2551" s="15"/>
    </row>
    <row r="2552" spans="2:4" x14ac:dyDescent="0.25">
      <c r="B2552" s="68"/>
      <c r="C2552" s="50"/>
      <c r="D2552" s="15"/>
    </row>
    <row r="2553" spans="2:4" x14ac:dyDescent="0.25">
      <c r="B2553" s="68"/>
      <c r="C2553" s="50"/>
      <c r="D2553" s="15"/>
    </row>
    <row r="2554" spans="2:4" x14ac:dyDescent="0.25">
      <c r="B2554" s="68"/>
      <c r="C2554" s="50"/>
      <c r="D2554" s="15"/>
    </row>
    <row r="2555" spans="2:4" x14ac:dyDescent="0.25">
      <c r="B2555" s="68"/>
      <c r="C2555" s="50"/>
      <c r="D2555" s="15"/>
    </row>
    <row r="2556" spans="2:4" x14ac:dyDescent="0.25">
      <c r="B2556" s="68"/>
      <c r="C2556" s="50"/>
      <c r="D2556" s="15"/>
    </row>
    <row r="2557" spans="2:4" x14ac:dyDescent="0.25">
      <c r="B2557" s="68"/>
      <c r="C2557" s="50"/>
      <c r="D2557" s="15"/>
    </row>
    <row r="2558" spans="2:4" x14ac:dyDescent="0.25">
      <c r="B2558" s="68"/>
      <c r="C2558" s="50"/>
      <c r="D2558" s="15"/>
    </row>
    <row r="2559" spans="2:4" x14ac:dyDescent="0.25">
      <c r="B2559" s="68"/>
      <c r="C2559" s="50"/>
      <c r="D2559" s="15"/>
    </row>
    <row r="2560" spans="2:4" x14ac:dyDescent="0.25">
      <c r="B2560" s="68"/>
      <c r="C2560" s="50"/>
      <c r="D2560" s="15"/>
    </row>
    <row r="2561" spans="2:4" x14ac:dyDescent="0.25">
      <c r="B2561" s="68"/>
      <c r="C2561" s="50"/>
      <c r="D2561" s="15"/>
    </row>
    <row r="2562" spans="2:4" x14ac:dyDescent="0.25">
      <c r="B2562" s="68"/>
      <c r="C2562" s="50"/>
      <c r="D2562" s="15"/>
    </row>
    <row r="2563" spans="2:4" x14ac:dyDescent="0.25">
      <c r="B2563" s="68"/>
      <c r="C2563" s="50"/>
      <c r="D2563" s="15"/>
    </row>
    <row r="2564" spans="2:4" x14ac:dyDescent="0.25">
      <c r="B2564" s="68"/>
      <c r="C2564" s="50"/>
      <c r="D2564" s="15"/>
    </row>
    <row r="2565" spans="2:4" x14ac:dyDescent="0.25">
      <c r="B2565" s="68"/>
      <c r="C2565" s="50"/>
      <c r="D2565" s="15"/>
    </row>
    <row r="2566" spans="2:4" x14ac:dyDescent="0.25">
      <c r="B2566" s="68"/>
      <c r="C2566" s="50"/>
      <c r="D2566" s="15"/>
    </row>
    <row r="2567" spans="2:4" x14ac:dyDescent="0.25">
      <c r="B2567" s="68"/>
      <c r="C2567" s="50"/>
      <c r="D2567" s="15"/>
    </row>
    <row r="2568" spans="2:4" x14ac:dyDescent="0.25">
      <c r="B2568" s="68"/>
      <c r="C2568" s="50"/>
      <c r="D2568" s="15"/>
    </row>
    <row r="2569" spans="2:4" x14ac:dyDescent="0.25">
      <c r="B2569" s="68"/>
      <c r="C2569" s="50"/>
      <c r="D2569" s="15"/>
    </row>
    <row r="2570" spans="2:4" x14ac:dyDescent="0.25">
      <c r="B2570" s="68"/>
      <c r="C2570" s="50"/>
      <c r="D2570" s="15"/>
    </row>
    <row r="2571" spans="2:4" x14ac:dyDescent="0.25">
      <c r="B2571" s="68"/>
      <c r="C2571" s="50"/>
      <c r="D2571" s="15"/>
    </row>
    <row r="2572" spans="2:4" x14ac:dyDescent="0.25">
      <c r="B2572" s="68"/>
      <c r="C2572" s="50"/>
      <c r="D2572" s="15"/>
    </row>
    <row r="2573" spans="2:4" x14ac:dyDescent="0.25">
      <c r="B2573" s="68"/>
      <c r="C2573" s="50"/>
      <c r="D2573" s="15"/>
    </row>
    <row r="2574" spans="2:4" x14ac:dyDescent="0.25">
      <c r="B2574" s="68"/>
      <c r="C2574" s="50"/>
      <c r="D2574" s="15"/>
    </row>
    <row r="2575" spans="2:4" x14ac:dyDescent="0.25">
      <c r="B2575" s="68"/>
      <c r="C2575" s="50"/>
      <c r="D2575" s="15"/>
    </row>
    <row r="2576" spans="2:4" x14ac:dyDescent="0.25">
      <c r="B2576" s="68"/>
      <c r="C2576" s="50"/>
      <c r="D2576" s="15"/>
    </row>
    <row r="2577" spans="2:4" x14ac:dyDescent="0.25">
      <c r="B2577" s="68"/>
      <c r="C2577" s="50"/>
      <c r="D2577" s="15"/>
    </row>
    <row r="2578" spans="2:4" x14ac:dyDescent="0.25">
      <c r="B2578" s="68"/>
      <c r="C2578" s="50"/>
      <c r="D2578" s="15"/>
    </row>
    <row r="2579" spans="2:4" x14ac:dyDescent="0.25">
      <c r="B2579" s="68"/>
      <c r="C2579" s="50"/>
      <c r="D2579" s="15"/>
    </row>
    <row r="2580" spans="2:4" x14ac:dyDescent="0.25">
      <c r="B2580" s="68"/>
      <c r="C2580" s="50"/>
      <c r="D2580" s="15"/>
    </row>
    <row r="2581" spans="2:4" x14ac:dyDescent="0.25">
      <c r="B2581" s="68"/>
      <c r="C2581" s="50"/>
      <c r="D2581" s="15"/>
    </row>
    <row r="2582" spans="2:4" x14ac:dyDescent="0.25">
      <c r="B2582" s="68"/>
      <c r="C2582" s="50"/>
      <c r="D2582" s="15"/>
    </row>
    <row r="2583" spans="2:4" x14ac:dyDescent="0.25">
      <c r="B2583" s="68"/>
      <c r="C2583" s="50"/>
      <c r="D2583" s="15"/>
    </row>
    <row r="2584" spans="2:4" x14ac:dyDescent="0.25">
      <c r="B2584" s="68"/>
      <c r="C2584" s="50"/>
      <c r="D2584" s="15"/>
    </row>
    <row r="2585" spans="2:4" x14ac:dyDescent="0.25">
      <c r="B2585" s="68"/>
      <c r="C2585" s="50"/>
      <c r="D2585" s="15"/>
    </row>
    <row r="2586" spans="2:4" x14ac:dyDescent="0.25">
      <c r="B2586" s="68"/>
      <c r="C2586" s="50"/>
      <c r="D2586" s="15"/>
    </row>
    <row r="2587" spans="2:4" x14ac:dyDescent="0.25">
      <c r="B2587" s="68"/>
      <c r="C2587" s="50"/>
      <c r="D2587" s="15"/>
    </row>
    <row r="2588" spans="2:4" x14ac:dyDescent="0.25">
      <c r="B2588" s="68"/>
      <c r="C2588" s="50"/>
      <c r="D2588" s="15"/>
    </row>
    <row r="2589" spans="2:4" x14ac:dyDescent="0.25">
      <c r="B2589" s="68"/>
      <c r="C2589" s="50"/>
      <c r="D2589" s="15"/>
    </row>
    <row r="2590" spans="2:4" x14ac:dyDescent="0.25">
      <c r="B2590" s="68"/>
      <c r="C2590" s="50"/>
      <c r="D2590" s="15"/>
    </row>
    <row r="2591" spans="2:4" x14ac:dyDescent="0.25">
      <c r="B2591" s="68"/>
      <c r="C2591" s="50"/>
      <c r="D2591" s="15"/>
    </row>
    <row r="2592" spans="2:4" x14ac:dyDescent="0.25">
      <c r="B2592" s="68"/>
      <c r="C2592" s="50"/>
      <c r="D2592" s="15"/>
    </row>
    <row r="2593" spans="2:4" x14ac:dyDescent="0.25">
      <c r="B2593" s="68"/>
      <c r="C2593" s="50"/>
      <c r="D2593" s="15"/>
    </row>
    <row r="2594" spans="2:4" x14ac:dyDescent="0.25">
      <c r="B2594" s="68"/>
      <c r="C2594" s="50"/>
      <c r="D2594" s="15"/>
    </row>
    <row r="2595" spans="2:4" x14ac:dyDescent="0.25">
      <c r="B2595" s="68"/>
      <c r="C2595" s="50"/>
      <c r="D2595" s="15"/>
    </row>
    <row r="2596" spans="2:4" x14ac:dyDescent="0.25">
      <c r="B2596" s="68"/>
      <c r="C2596" s="50"/>
      <c r="D2596" s="15"/>
    </row>
    <row r="2597" spans="2:4" x14ac:dyDescent="0.25">
      <c r="B2597" s="68"/>
      <c r="C2597" s="50"/>
      <c r="D2597" s="15"/>
    </row>
    <row r="2598" spans="2:4" x14ac:dyDescent="0.25">
      <c r="B2598" s="68"/>
      <c r="C2598" s="50"/>
      <c r="D2598" s="15"/>
    </row>
    <row r="2599" spans="2:4" x14ac:dyDescent="0.25">
      <c r="B2599" s="68"/>
      <c r="C2599" s="50"/>
      <c r="D2599" s="15"/>
    </row>
    <row r="2600" spans="2:4" x14ac:dyDescent="0.25">
      <c r="B2600" s="68"/>
      <c r="C2600" s="50"/>
      <c r="D2600" s="15"/>
    </row>
    <row r="2601" spans="2:4" x14ac:dyDescent="0.25">
      <c r="B2601" s="68"/>
      <c r="C2601" s="50"/>
      <c r="D2601" s="15"/>
    </row>
    <row r="2602" spans="2:4" x14ac:dyDescent="0.25">
      <c r="B2602" s="68"/>
      <c r="C2602" s="50"/>
      <c r="D2602" s="15"/>
    </row>
    <row r="2603" spans="2:4" x14ac:dyDescent="0.25">
      <c r="B2603" s="68"/>
      <c r="C2603" s="50"/>
      <c r="D2603" s="15"/>
    </row>
    <row r="2604" spans="2:4" x14ac:dyDescent="0.25">
      <c r="B2604" s="68"/>
      <c r="C2604" s="50"/>
      <c r="D2604" s="15"/>
    </row>
    <row r="2605" spans="2:4" x14ac:dyDescent="0.25">
      <c r="B2605" s="68"/>
      <c r="C2605" s="50"/>
      <c r="D2605" s="15"/>
    </row>
    <row r="2606" spans="2:4" x14ac:dyDescent="0.25">
      <c r="B2606" s="68"/>
      <c r="C2606" s="50"/>
      <c r="D2606" s="15"/>
    </row>
    <row r="2607" spans="2:4" x14ac:dyDescent="0.25">
      <c r="B2607" s="68"/>
      <c r="C2607" s="50"/>
      <c r="D2607" s="15"/>
    </row>
    <row r="2608" spans="2:4" x14ac:dyDescent="0.25">
      <c r="B2608" s="68"/>
      <c r="C2608" s="50"/>
      <c r="D2608" s="15"/>
    </row>
    <row r="2609" spans="2:4" x14ac:dyDescent="0.25">
      <c r="B2609" s="68"/>
      <c r="C2609" s="50"/>
      <c r="D2609" s="15"/>
    </row>
    <row r="2610" spans="2:4" x14ac:dyDescent="0.25">
      <c r="B2610" s="68"/>
      <c r="C2610" s="50"/>
      <c r="D2610" s="15"/>
    </row>
    <row r="2611" spans="2:4" x14ac:dyDescent="0.25">
      <c r="B2611" s="68"/>
      <c r="C2611" s="50"/>
      <c r="D2611" s="15"/>
    </row>
    <row r="2612" spans="2:4" x14ac:dyDescent="0.25">
      <c r="B2612" s="68"/>
      <c r="C2612" s="50"/>
      <c r="D2612" s="15"/>
    </row>
    <row r="2613" spans="2:4" x14ac:dyDescent="0.25">
      <c r="B2613" s="68"/>
      <c r="C2613" s="50"/>
      <c r="D2613" s="15"/>
    </row>
    <row r="2614" spans="2:4" x14ac:dyDescent="0.25">
      <c r="B2614" s="68"/>
      <c r="C2614" s="50"/>
      <c r="D2614" s="15"/>
    </row>
    <row r="2615" spans="2:4" x14ac:dyDescent="0.25">
      <c r="B2615" s="68"/>
      <c r="C2615" s="50"/>
      <c r="D2615" s="15"/>
    </row>
    <row r="2616" spans="2:4" x14ac:dyDescent="0.25">
      <c r="B2616" s="68"/>
      <c r="C2616" s="50"/>
      <c r="D2616" s="15"/>
    </row>
    <row r="2617" spans="2:4" x14ac:dyDescent="0.25">
      <c r="B2617" s="68"/>
      <c r="C2617" s="50"/>
      <c r="D2617" s="15"/>
    </row>
    <row r="2618" spans="2:4" x14ac:dyDescent="0.25">
      <c r="B2618" s="68"/>
      <c r="C2618" s="50"/>
      <c r="D2618" s="15"/>
    </row>
    <row r="2619" spans="2:4" x14ac:dyDescent="0.25">
      <c r="B2619" s="68"/>
      <c r="C2619" s="50"/>
      <c r="D2619" s="15"/>
    </row>
    <row r="2620" spans="2:4" x14ac:dyDescent="0.25">
      <c r="B2620" s="68"/>
      <c r="C2620" s="50"/>
      <c r="D2620" s="15"/>
    </row>
    <row r="2621" spans="2:4" x14ac:dyDescent="0.25">
      <c r="B2621" s="68"/>
      <c r="C2621" s="50"/>
      <c r="D2621" s="15"/>
    </row>
    <row r="2622" spans="2:4" x14ac:dyDescent="0.25">
      <c r="B2622" s="68"/>
      <c r="C2622" s="50"/>
      <c r="D2622" s="15"/>
    </row>
    <row r="2623" spans="2:4" x14ac:dyDescent="0.25">
      <c r="B2623" s="68"/>
      <c r="C2623" s="50"/>
      <c r="D2623" s="15"/>
    </row>
    <row r="2624" spans="2:4" x14ac:dyDescent="0.25">
      <c r="B2624" s="68"/>
      <c r="C2624" s="50"/>
      <c r="D2624" s="15"/>
    </row>
    <row r="2625" spans="2:4" x14ac:dyDescent="0.25">
      <c r="B2625" s="68"/>
      <c r="C2625" s="50"/>
      <c r="D2625" s="15"/>
    </row>
    <row r="2626" spans="2:4" x14ac:dyDescent="0.25">
      <c r="B2626" s="68"/>
      <c r="C2626" s="50"/>
      <c r="D2626" s="15"/>
    </row>
    <row r="2627" spans="2:4" x14ac:dyDescent="0.25">
      <c r="B2627" s="68"/>
      <c r="C2627" s="50"/>
      <c r="D2627" s="15"/>
    </row>
    <row r="2628" spans="2:4" x14ac:dyDescent="0.25">
      <c r="B2628" s="68"/>
      <c r="C2628" s="50"/>
      <c r="D2628" s="15"/>
    </row>
    <row r="2629" spans="2:4" x14ac:dyDescent="0.25">
      <c r="B2629" s="68"/>
      <c r="C2629" s="50"/>
      <c r="D2629" s="15"/>
    </row>
    <row r="2630" spans="2:4" x14ac:dyDescent="0.25">
      <c r="B2630" s="68"/>
      <c r="C2630" s="50"/>
      <c r="D2630" s="15"/>
    </row>
    <row r="2631" spans="2:4" x14ac:dyDescent="0.25">
      <c r="B2631" s="68"/>
      <c r="C2631" s="50"/>
      <c r="D2631" s="15"/>
    </row>
    <row r="2632" spans="2:4" x14ac:dyDescent="0.25">
      <c r="B2632" s="68"/>
      <c r="C2632" s="50"/>
      <c r="D2632" s="15"/>
    </row>
    <row r="2633" spans="2:4" x14ac:dyDescent="0.25">
      <c r="B2633" s="68"/>
      <c r="C2633" s="50"/>
      <c r="D2633" s="15"/>
    </row>
    <row r="2634" spans="2:4" x14ac:dyDescent="0.25">
      <c r="B2634" s="68"/>
      <c r="C2634" s="50"/>
      <c r="D2634" s="15"/>
    </row>
    <row r="2635" spans="2:4" x14ac:dyDescent="0.25">
      <c r="B2635" s="68"/>
      <c r="C2635" s="50"/>
      <c r="D2635" s="15"/>
    </row>
    <row r="2636" spans="2:4" x14ac:dyDescent="0.25">
      <c r="B2636" s="68"/>
      <c r="C2636" s="50"/>
      <c r="D2636" s="15"/>
    </row>
    <row r="2637" spans="2:4" x14ac:dyDescent="0.25">
      <c r="B2637" s="68"/>
      <c r="C2637" s="50"/>
      <c r="D2637" s="15"/>
    </row>
    <row r="2638" spans="2:4" x14ac:dyDescent="0.25">
      <c r="B2638" s="68"/>
      <c r="C2638" s="50"/>
      <c r="D2638" s="15"/>
    </row>
    <row r="2639" spans="2:4" x14ac:dyDescent="0.25">
      <c r="B2639" s="68"/>
      <c r="C2639" s="50"/>
      <c r="D2639" s="15"/>
    </row>
    <row r="2640" spans="2:4" x14ac:dyDescent="0.25">
      <c r="B2640" s="68"/>
      <c r="C2640" s="50"/>
      <c r="D2640" s="15"/>
    </row>
    <row r="2641" spans="2:4" x14ac:dyDescent="0.25">
      <c r="B2641" s="68"/>
      <c r="C2641" s="50"/>
      <c r="D2641" s="15"/>
    </row>
    <row r="2642" spans="2:4" x14ac:dyDescent="0.25">
      <c r="B2642" s="68"/>
      <c r="C2642" s="50"/>
      <c r="D2642" s="15"/>
    </row>
    <row r="2643" spans="2:4" x14ac:dyDescent="0.25">
      <c r="B2643" s="68"/>
      <c r="C2643" s="50"/>
      <c r="D2643" s="15"/>
    </row>
    <row r="2644" spans="2:4" x14ac:dyDescent="0.25">
      <c r="B2644" s="68"/>
      <c r="C2644" s="50"/>
      <c r="D2644" s="15"/>
    </row>
    <row r="2645" spans="2:4" x14ac:dyDescent="0.25">
      <c r="B2645" s="68"/>
      <c r="C2645" s="50"/>
      <c r="D2645" s="15"/>
    </row>
    <row r="2646" spans="2:4" x14ac:dyDescent="0.25">
      <c r="B2646" s="68"/>
      <c r="C2646" s="50"/>
      <c r="D2646" s="15"/>
    </row>
    <row r="2647" spans="2:4" x14ac:dyDescent="0.25">
      <c r="B2647" s="68"/>
      <c r="C2647" s="50"/>
      <c r="D2647" s="15"/>
    </row>
    <row r="2648" spans="2:4" x14ac:dyDescent="0.25">
      <c r="B2648" s="68"/>
      <c r="C2648" s="50"/>
      <c r="D2648" s="15"/>
    </row>
    <row r="2649" spans="2:4" x14ac:dyDescent="0.25">
      <c r="B2649" s="68"/>
      <c r="C2649" s="50"/>
      <c r="D2649" s="15"/>
    </row>
    <row r="2650" spans="2:4" x14ac:dyDescent="0.25">
      <c r="B2650" s="68"/>
      <c r="C2650" s="50"/>
      <c r="D2650" s="15"/>
    </row>
    <row r="2651" spans="2:4" x14ac:dyDescent="0.25">
      <c r="B2651" s="68"/>
      <c r="C2651" s="50"/>
      <c r="D2651" s="15"/>
    </row>
    <row r="2652" spans="2:4" x14ac:dyDescent="0.25">
      <c r="B2652" s="68"/>
      <c r="C2652" s="50"/>
      <c r="D2652" s="15"/>
    </row>
    <row r="2653" spans="2:4" x14ac:dyDescent="0.25">
      <c r="B2653" s="68"/>
      <c r="C2653" s="50"/>
      <c r="D2653" s="15"/>
    </row>
    <row r="2654" spans="2:4" x14ac:dyDescent="0.25">
      <c r="B2654" s="68"/>
      <c r="C2654" s="50"/>
      <c r="D2654" s="15"/>
    </row>
    <row r="2655" spans="2:4" x14ac:dyDescent="0.25">
      <c r="B2655" s="68"/>
      <c r="C2655" s="50"/>
      <c r="D2655" s="15"/>
    </row>
    <row r="2656" spans="2:4" x14ac:dyDescent="0.25">
      <c r="B2656" s="68"/>
      <c r="C2656" s="50"/>
      <c r="D2656" s="15"/>
    </row>
    <row r="2657" spans="2:4" x14ac:dyDescent="0.25">
      <c r="B2657" s="68"/>
      <c r="C2657" s="50"/>
      <c r="D2657" s="15"/>
    </row>
    <row r="2658" spans="2:4" x14ac:dyDescent="0.25">
      <c r="B2658" s="68"/>
      <c r="C2658" s="50"/>
      <c r="D2658" s="15"/>
    </row>
    <row r="2659" spans="2:4" x14ac:dyDescent="0.25">
      <c r="B2659" s="68"/>
      <c r="C2659" s="50"/>
      <c r="D2659" s="15"/>
    </row>
    <row r="2660" spans="2:4" x14ac:dyDescent="0.25">
      <c r="B2660" s="68"/>
      <c r="C2660" s="50"/>
      <c r="D2660" s="15"/>
    </row>
    <row r="2661" spans="2:4" x14ac:dyDescent="0.25">
      <c r="B2661" s="68"/>
      <c r="C2661" s="50"/>
      <c r="D2661" s="15"/>
    </row>
    <row r="2662" spans="2:4" x14ac:dyDescent="0.25">
      <c r="B2662" s="68"/>
      <c r="C2662" s="50"/>
      <c r="D2662" s="15"/>
    </row>
    <row r="2663" spans="2:4" x14ac:dyDescent="0.25">
      <c r="B2663" s="68"/>
      <c r="C2663" s="50"/>
      <c r="D2663" s="15"/>
    </row>
    <row r="2664" spans="2:4" x14ac:dyDescent="0.25">
      <c r="B2664" s="68"/>
      <c r="C2664" s="50"/>
      <c r="D2664" s="15"/>
    </row>
    <row r="2665" spans="2:4" x14ac:dyDescent="0.25">
      <c r="B2665" s="68"/>
      <c r="C2665" s="50"/>
      <c r="D2665" s="15"/>
    </row>
    <row r="2666" spans="2:4" x14ac:dyDescent="0.25">
      <c r="B2666" s="68"/>
      <c r="C2666" s="50"/>
      <c r="D2666" s="15"/>
    </row>
    <row r="2667" spans="2:4" x14ac:dyDescent="0.25">
      <c r="B2667" s="68"/>
      <c r="C2667" s="50"/>
      <c r="D2667" s="15"/>
    </row>
    <row r="2668" spans="2:4" x14ac:dyDescent="0.25">
      <c r="B2668" s="68"/>
      <c r="C2668" s="50"/>
      <c r="D2668" s="15"/>
    </row>
    <row r="2669" spans="2:4" x14ac:dyDescent="0.25">
      <c r="B2669" s="68"/>
      <c r="C2669" s="50"/>
      <c r="D2669" s="15"/>
    </row>
    <row r="2670" spans="2:4" x14ac:dyDescent="0.25">
      <c r="B2670" s="68"/>
      <c r="C2670" s="50"/>
      <c r="D2670" s="15"/>
    </row>
    <row r="2671" spans="2:4" x14ac:dyDescent="0.25">
      <c r="B2671" s="68"/>
      <c r="C2671" s="50"/>
      <c r="D2671" s="15"/>
    </row>
    <row r="2672" spans="2:4" x14ac:dyDescent="0.25">
      <c r="B2672" s="68"/>
      <c r="C2672" s="50"/>
      <c r="D2672" s="15"/>
    </row>
    <row r="2673" spans="2:4" x14ac:dyDescent="0.25">
      <c r="B2673" s="68"/>
      <c r="C2673" s="50"/>
      <c r="D2673" s="15"/>
    </row>
    <row r="2674" spans="2:4" x14ac:dyDescent="0.25">
      <c r="B2674" s="68"/>
      <c r="C2674" s="50"/>
      <c r="D2674" s="15"/>
    </row>
    <row r="2675" spans="2:4" x14ac:dyDescent="0.25">
      <c r="B2675" s="68"/>
      <c r="C2675" s="50"/>
      <c r="D2675" s="15"/>
    </row>
    <row r="2676" spans="2:4" x14ac:dyDescent="0.25">
      <c r="B2676" s="68"/>
      <c r="C2676" s="50"/>
      <c r="D2676" s="15"/>
    </row>
    <row r="2677" spans="2:4" x14ac:dyDescent="0.25">
      <c r="B2677" s="68"/>
      <c r="C2677" s="50"/>
      <c r="D2677" s="15"/>
    </row>
    <row r="2678" spans="2:4" x14ac:dyDescent="0.25">
      <c r="B2678" s="68"/>
      <c r="C2678" s="50"/>
      <c r="D2678" s="15"/>
    </row>
    <row r="2679" spans="2:4" x14ac:dyDescent="0.25">
      <c r="B2679" s="68"/>
      <c r="C2679" s="50"/>
      <c r="D2679" s="15"/>
    </row>
    <row r="2680" spans="2:4" x14ac:dyDescent="0.25">
      <c r="B2680" s="68"/>
      <c r="C2680" s="50"/>
      <c r="D2680" s="15"/>
    </row>
    <row r="2681" spans="2:4" x14ac:dyDescent="0.25">
      <c r="B2681" s="68"/>
      <c r="C2681" s="50"/>
      <c r="D2681" s="15"/>
    </row>
    <row r="2682" spans="2:4" x14ac:dyDescent="0.25">
      <c r="B2682" s="68"/>
      <c r="C2682" s="50"/>
      <c r="D2682" s="15"/>
    </row>
    <row r="2683" spans="2:4" x14ac:dyDescent="0.25">
      <c r="B2683" s="68"/>
      <c r="C2683" s="50"/>
      <c r="D2683" s="15"/>
    </row>
    <row r="2684" spans="2:4" x14ac:dyDescent="0.25">
      <c r="B2684" s="68"/>
      <c r="C2684" s="50"/>
      <c r="D2684" s="15"/>
    </row>
    <row r="2685" spans="2:4" x14ac:dyDescent="0.25">
      <c r="B2685" s="68"/>
      <c r="C2685" s="50"/>
      <c r="D2685" s="15"/>
    </row>
    <row r="2686" spans="2:4" x14ac:dyDescent="0.25">
      <c r="B2686" s="68"/>
      <c r="C2686" s="50"/>
      <c r="D2686" s="15"/>
    </row>
    <row r="2687" spans="2:4" x14ac:dyDescent="0.25">
      <c r="B2687" s="68"/>
      <c r="C2687" s="50"/>
      <c r="D2687" s="15"/>
    </row>
    <row r="2688" spans="2:4" x14ac:dyDescent="0.25">
      <c r="B2688" s="68"/>
      <c r="C2688" s="50"/>
      <c r="D2688" s="15"/>
    </row>
    <row r="2689" spans="2:4" x14ac:dyDescent="0.25">
      <c r="B2689" s="68"/>
      <c r="C2689" s="50"/>
      <c r="D2689" s="15"/>
    </row>
    <row r="2690" spans="2:4" x14ac:dyDescent="0.25">
      <c r="B2690" s="68"/>
      <c r="C2690" s="50"/>
      <c r="D2690" s="15"/>
    </row>
    <row r="2691" spans="2:4" x14ac:dyDescent="0.25">
      <c r="B2691" s="68"/>
      <c r="C2691" s="50"/>
      <c r="D2691" s="15"/>
    </row>
    <row r="2692" spans="2:4" x14ac:dyDescent="0.25">
      <c r="B2692" s="68"/>
      <c r="C2692" s="50"/>
      <c r="D2692" s="15"/>
    </row>
    <row r="2693" spans="2:4" x14ac:dyDescent="0.25">
      <c r="B2693" s="68"/>
      <c r="C2693" s="50"/>
      <c r="D2693" s="15"/>
    </row>
    <row r="2694" spans="2:4" x14ac:dyDescent="0.25">
      <c r="B2694" s="68"/>
      <c r="C2694" s="50"/>
      <c r="D2694" s="15"/>
    </row>
    <row r="2695" spans="2:4" x14ac:dyDescent="0.25">
      <c r="B2695" s="68"/>
      <c r="C2695" s="50"/>
      <c r="D2695" s="15"/>
    </row>
    <row r="2696" spans="2:4" x14ac:dyDescent="0.25">
      <c r="B2696" s="68"/>
      <c r="C2696" s="50"/>
      <c r="D2696" s="15"/>
    </row>
    <row r="2697" spans="2:4" x14ac:dyDescent="0.25">
      <c r="B2697" s="68"/>
      <c r="C2697" s="50"/>
      <c r="D2697" s="15"/>
    </row>
    <row r="2698" spans="2:4" x14ac:dyDescent="0.25">
      <c r="B2698" s="68"/>
      <c r="C2698" s="50"/>
      <c r="D2698" s="15"/>
    </row>
    <row r="2699" spans="2:4" x14ac:dyDescent="0.25">
      <c r="B2699" s="68"/>
      <c r="C2699" s="50"/>
      <c r="D2699" s="15"/>
    </row>
    <row r="2700" spans="2:4" x14ac:dyDescent="0.25">
      <c r="B2700" s="68"/>
      <c r="C2700" s="50"/>
      <c r="D2700" s="15"/>
    </row>
    <row r="2701" spans="2:4" x14ac:dyDescent="0.25">
      <c r="B2701" s="68"/>
      <c r="C2701" s="50"/>
      <c r="D2701" s="15"/>
    </row>
    <row r="2702" spans="2:4" x14ac:dyDescent="0.25">
      <c r="B2702" s="68"/>
      <c r="C2702" s="50"/>
      <c r="D2702" s="15"/>
    </row>
    <row r="2703" spans="2:4" x14ac:dyDescent="0.25">
      <c r="B2703" s="68"/>
      <c r="C2703" s="50"/>
      <c r="D2703" s="15"/>
    </row>
    <row r="2704" spans="2:4" x14ac:dyDescent="0.25">
      <c r="B2704" s="68"/>
      <c r="C2704" s="50"/>
      <c r="D2704" s="15"/>
    </row>
    <row r="2705" spans="2:4" x14ac:dyDescent="0.25">
      <c r="B2705" s="68"/>
      <c r="C2705" s="50"/>
      <c r="D2705" s="15"/>
    </row>
    <row r="2706" spans="2:4" x14ac:dyDescent="0.25">
      <c r="B2706" s="68"/>
      <c r="C2706" s="50"/>
      <c r="D2706" s="15"/>
    </row>
    <row r="2707" spans="2:4" x14ac:dyDescent="0.25">
      <c r="B2707" s="68"/>
      <c r="C2707" s="50"/>
      <c r="D2707" s="15"/>
    </row>
    <row r="2708" spans="2:4" x14ac:dyDescent="0.25">
      <c r="B2708" s="68"/>
      <c r="C2708" s="50"/>
      <c r="D2708" s="15"/>
    </row>
    <row r="2709" spans="2:4" x14ac:dyDescent="0.25">
      <c r="B2709" s="68"/>
      <c r="C2709" s="50"/>
      <c r="D2709" s="15"/>
    </row>
    <row r="2710" spans="2:4" x14ac:dyDescent="0.25">
      <c r="B2710" s="68"/>
      <c r="C2710" s="50"/>
      <c r="D2710" s="15"/>
    </row>
    <row r="2711" spans="2:4" x14ac:dyDescent="0.25">
      <c r="B2711" s="68"/>
      <c r="C2711" s="50"/>
      <c r="D2711" s="15"/>
    </row>
    <row r="2712" spans="2:4" x14ac:dyDescent="0.25">
      <c r="B2712" s="68"/>
      <c r="C2712" s="50"/>
      <c r="D2712" s="15"/>
    </row>
    <row r="2713" spans="2:4" x14ac:dyDescent="0.25">
      <c r="B2713" s="68"/>
      <c r="C2713" s="50"/>
      <c r="D2713" s="15"/>
    </row>
    <row r="2714" spans="2:4" x14ac:dyDescent="0.25">
      <c r="B2714" s="68"/>
      <c r="C2714" s="50"/>
      <c r="D2714" s="15"/>
    </row>
    <row r="2715" spans="2:4" x14ac:dyDescent="0.25">
      <c r="B2715" s="68"/>
      <c r="C2715" s="50"/>
      <c r="D2715" s="15"/>
    </row>
    <row r="2716" spans="2:4" x14ac:dyDescent="0.25">
      <c r="B2716" s="68"/>
      <c r="C2716" s="50"/>
      <c r="D2716" s="15"/>
    </row>
    <row r="2717" spans="2:4" x14ac:dyDescent="0.25">
      <c r="B2717" s="68"/>
      <c r="C2717" s="50"/>
      <c r="D2717" s="15"/>
    </row>
    <row r="2718" spans="2:4" x14ac:dyDescent="0.25">
      <c r="B2718" s="68"/>
      <c r="C2718" s="50"/>
      <c r="D2718" s="15"/>
    </row>
    <row r="2719" spans="2:4" x14ac:dyDescent="0.25">
      <c r="B2719" s="68"/>
      <c r="C2719" s="50"/>
      <c r="D2719" s="15"/>
    </row>
    <row r="2720" spans="2:4" x14ac:dyDescent="0.25">
      <c r="B2720" s="68"/>
      <c r="C2720" s="50"/>
      <c r="D2720" s="15"/>
    </row>
    <row r="2721" spans="2:4" x14ac:dyDescent="0.25">
      <c r="B2721" s="68"/>
      <c r="C2721" s="50"/>
      <c r="D2721" s="15"/>
    </row>
    <row r="2722" spans="2:4" x14ac:dyDescent="0.25">
      <c r="B2722" s="68"/>
      <c r="C2722" s="50"/>
      <c r="D2722" s="15"/>
    </row>
    <row r="2723" spans="2:4" x14ac:dyDescent="0.25">
      <c r="B2723" s="68"/>
      <c r="C2723" s="50"/>
      <c r="D2723" s="15"/>
    </row>
    <row r="2724" spans="2:4" x14ac:dyDescent="0.25">
      <c r="B2724" s="68"/>
      <c r="C2724" s="50"/>
      <c r="D2724" s="15"/>
    </row>
    <row r="2725" spans="2:4" x14ac:dyDescent="0.25">
      <c r="B2725" s="68"/>
      <c r="C2725" s="50"/>
      <c r="D2725" s="15"/>
    </row>
    <row r="2726" spans="2:4" x14ac:dyDescent="0.25">
      <c r="B2726" s="68"/>
      <c r="C2726" s="50"/>
      <c r="D2726" s="15"/>
    </row>
    <row r="2727" spans="2:4" x14ac:dyDescent="0.25">
      <c r="B2727" s="68"/>
      <c r="C2727" s="50"/>
      <c r="D2727" s="15"/>
    </row>
    <row r="2728" spans="2:4" x14ac:dyDescent="0.25">
      <c r="B2728" s="68"/>
      <c r="C2728" s="50"/>
      <c r="D2728" s="15"/>
    </row>
    <row r="2729" spans="2:4" x14ac:dyDescent="0.25">
      <c r="B2729" s="68"/>
      <c r="C2729" s="50"/>
      <c r="D2729" s="15"/>
    </row>
    <row r="2730" spans="2:4" x14ac:dyDescent="0.25">
      <c r="B2730" s="68"/>
      <c r="C2730" s="50"/>
      <c r="D2730" s="15"/>
    </row>
    <row r="2731" spans="2:4" x14ac:dyDescent="0.25">
      <c r="B2731" s="68"/>
      <c r="C2731" s="50"/>
      <c r="D2731" s="15"/>
    </row>
    <row r="2732" spans="2:4" x14ac:dyDescent="0.25">
      <c r="B2732" s="68"/>
      <c r="C2732" s="50"/>
      <c r="D2732" s="15"/>
    </row>
    <row r="2733" spans="2:4" x14ac:dyDescent="0.25">
      <c r="B2733" s="68"/>
      <c r="C2733" s="50"/>
      <c r="D2733" s="15"/>
    </row>
    <row r="2734" spans="2:4" x14ac:dyDescent="0.25">
      <c r="B2734" s="68"/>
      <c r="C2734" s="50"/>
      <c r="D2734" s="15"/>
    </row>
    <row r="2735" spans="2:4" x14ac:dyDescent="0.25">
      <c r="B2735" s="68"/>
      <c r="C2735" s="50"/>
      <c r="D2735" s="15"/>
    </row>
    <row r="2736" spans="2:4" x14ac:dyDescent="0.25">
      <c r="B2736" s="68"/>
      <c r="C2736" s="50"/>
      <c r="D2736" s="15"/>
    </row>
    <row r="2737" spans="2:4" x14ac:dyDescent="0.25">
      <c r="B2737" s="68"/>
      <c r="C2737" s="50"/>
      <c r="D2737" s="15"/>
    </row>
    <row r="2738" spans="2:4" x14ac:dyDescent="0.25">
      <c r="B2738" s="68"/>
      <c r="C2738" s="50"/>
      <c r="D2738" s="15"/>
    </row>
    <row r="2739" spans="2:4" x14ac:dyDescent="0.25">
      <c r="B2739" s="68"/>
      <c r="C2739" s="50"/>
      <c r="D2739" s="15"/>
    </row>
    <row r="2740" spans="2:4" x14ac:dyDescent="0.25">
      <c r="B2740" s="68"/>
      <c r="C2740" s="50"/>
      <c r="D2740" s="15"/>
    </row>
    <row r="2741" spans="2:4" x14ac:dyDescent="0.25">
      <c r="B2741" s="68"/>
      <c r="C2741" s="50"/>
      <c r="D2741" s="15"/>
    </row>
    <row r="2742" spans="2:4" x14ac:dyDescent="0.25">
      <c r="B2742" s="68"/>
      <c r="C2742" s="50"/>
      <c r="D2742" s="15"/>
    </row>
    <row r="2743" spans="2:4" x14ac:dyDescent="0.25">
      <c r="B2743" s="68"/>
      <c r="C2743" s="50"/>
      <c r="D2743" s="15"/>
    </row>
    <row r="2744" spans="2:4" x14ac:dyDescent="0.25">
      <c r="B2744" s="68"/>
      <c r="C2744" s="50"/>
      <c r="D2744" s="15"/>
    </row>
    <row r="2745" spans="2:4" x14ac:dyDescent="0.25">
      <c r="B2745" s="68"/>
      <c r="C2745" s="50"/>
      <c r="D2745" s="15"/>
    </row>
    <row r="2746" spans="2:4" x14ac:dyDescent="0.25">
      <c r="B2746" s="68"/>
      <c r="C2746" s="50"/>
      <c r="D2746" s="15"/>
    </row>
    <row r="2747" spans="2:4" x14ac:dyDescent="0.25">
      <c r="B2747" s="68"/>
      <c r="C2747" s="50"/>
      <c r="D2747" s="15"/>
    </row>
    <row r="2748" spans="2:4" x14ac:dyDescent="0.25">
      <c r="B2748" s="68"/>
      <c r="C2748" s="50"/>
      <c r="D2748" s="15"/>
    </row>
    <row r="2749" spans="2:4" x14ac:dyDescent="0.25">
      <c r="B2749" s="68"/>
      <c r="C2749" s="50"/>
      <c r="D2749" s="15"/>
    </row>
    <row r="2750" spans="2:4" x14ac:dyDescent="0.25">
      <c r="B2750" s="68"/>
      <c r="C2750" s="50"/>
      <c r="D2750" s="15"/>
    </row>
    <row r="2751" spans="2:4" x14ac:dyDescent="0.25">
      <c r="B2751" s="68"/>
      <c r="C2751" s="50"/>
      <c r="D2751" s="15"/>
    </row>
    <row r="2752" spans="2:4" x14ac:dyDescent="0.25">
      <c r="B2752" s="68"/>
      <c r="C2752" s="50"/>
      <c r="D2752" s="15"/>
    </row>
    <row r="2753" spans="2:4" x14ac:dyDescent="0.25">
      <c r="B2753" s="68"/>
      <c r="C2753" s="50"/>
      <c r="D2753" s="15"/>
    </row>
    <row r="2754" spans="2:4" x14ac:dyDescent="0.25">
      <c r="B2754" s="68"/>
      <c r="C2754" s="50"/>
      <c r="D2754" s="15"/>
    </row>
    <row r="2755" spans="2:4" x14ac:dyDescent="0.25">
      <c r="B2755" s="68"/>
      <c r="C2755" s="50"/>
      <c r="D2755" s="15"/>
    </row>
    <row r="2756" spans="2:4" x14ac:dyDescent="0.25">
      <c r="B2756" s="68"/>
      <c r="C2756" s="50"/>
      <c r="D2756" s="15"/>
    </row>
    <row r="2757" spans="2:4" x14ac:dyDescent="0.25">
      <c r="B2757" s="68"/>
      <c r="C2757" s="50"/>
      <c r="D2757" s="15"/>
    </row>
    <row r="2758" spans="2:4" x14ac:dyDescent="0.25">
      <c r="B2758" s="68"/>
      <c r="C2758" s="50"/>
      <c r="D2758" s="15"/>
    </row>
    <row r="2759" spans="2:4" x14ac:dyDescent="0.25">
      <c r="B2759" s="68"/>
      <c r="C2759" s="50"/>
      <c r="D2759" s="15"/>
    </row>
    <row r="2760" spans="2:4" x14ac:dyDescent="0.25">
      <c r="B2760" s="68"/>
      <c r="C2760" s="50"/>
      <c r="D2760" s="15"/>
    </row>
    <row r="2761" spans="2:4" x14ac:dyDescent="0.25">
      <c r="B2761" s="68"/>
      <c r="C2761" s="50"/>
      <c r="D2761" s="15"/>
    </row>
    <row r="2762" spans="2:4" x14ac:dyDescent="0.25">
      <c r="B2762" s="68"/>
      <c r="C2762" s="50"/>
      <c r="D2762" s="15"/>
    </row>
    <row r="2763" spans="2:4" x14ac:dyDescent="0.25">
      <c r="B2763" s="68"/>
      <c r="C2763" s="50"/>
      <c r="D2763" s="15"/>
    </row>
    <row r="2764" spans="2:4" x14ac:dyDescent="0.25">
      <c r="B2764" s="68"/>
      <c r="C2764" s="50"/>
      <c r="D2764" s="15"/>
    </row>
    <row r="2765" spans="2:4" x14ac:dyDescent="0.25">
      <c r="B2765" s="68"/>
      <c r="C2765" s="50"/>
      <c r="D2765" s="15"/>
    </row>
    <row r="2766" spans="2:4" x14ac:dyDescent="0.25">
      <c r="B2766" s="68"/>
      <c r="C2766" s="50"/>
      <c r="D2766" s="15"/>
    </row>
    <row r="2767" spans="2:4" x14ac:dyDescent="0.25">
      <c r="B2767" s="68"/>
      <c r="C2767" s="50"/>
      <c r="D2767" s="15"/>
    </row>
    <row r="2768" spans="2:4" x14ac:dyDescent="0.25">
      <c r="B2768" s="68"/>
      <c r="C2768" s="50"/>
      <c r="D2768" s="15"/>
    </row>
    <row r="2769" spans="2:4" x14ac:dyDescent="0.25">
      <c r="B2769" s="68"/>
      <c r="C2769" s="50"/>
      <c r="D2769" s="15"/>
    </row>
    <row r="2770" spans="2:4" x14ac:dyDescent="0.25">
      <c r="B2770" s="68"/>
      <c r="C2770" s="50"/>
      <c r="D2770" s="15"/>
    </row>
    <row r="2771" spans="2:4" x14ac:dyDescent="0.25">
      <c r="B2771" s="68"/>
      <c r="C2771" s="50"/>
      <c r="D2771" s="15"/>
    </row>
    <row r="2772" spans="2:4" x14ac:dyDescent="0.25">
      <c r="B2772" s="68"/>
      <c r="C2772" s="50"/>
      <c r="D2772" s="15"/>
    </row>
    <row r="2773" spans="2:4" x14ac:dyDescent="0.25">
      <c r="B2773" s="68"/>
      <c r="C2773" s="50"/>
      <c r="D2773" s="15"/>
    </row>
    <row r="2774" spans="2:4" x14ac:dyDescent="0.25">
      <c r="B2774" s="68"/>
      <c r="C2774" s="50"/>
      <c r="D2774" s="15"/>
    </row>
    <row r="2775" spans="2:4" x14ac:dyDescent="0.25">
      <c r="B2775" s="68"/>
      <c r="C2775" s="50"/>
      <c r="D2775" s="15"/>
    </row>
    <row r="2776" spans="2:4" x14ac:dyDescent="0.25">
      <c r="B2776" s="68"/>
      <c r="C2776" s="50"/>
      <c r="D2776" s="15"/>
    </row>
    <row r="2777" spans="2:4" x14ac:dyDescent="0.25">
      <c r="B2777" s="68"/>
      <c r="C2777" s="50"/>
      <c r="D2777" s="15"/>
    </row>
    <row r="2778" spans="2:4" x14ac:dyDescent="0.25">
      <c r="B2778" s="68"/>
      <c r="C2778" s="50"/>
      <c r="D2778" s="15"/>
    </row>
    <row r="2779" spans="2:4" x14ac:dyDescent="0.25">
      <c r="B2779" s="68"/>
      <c r="C2779" s="50"/>
      <c r="D2779" s="15"/>
    </row>
    <row r="2780" spans="2:4" x14ac:dyDescent="0.25">
      <c r="B2780" s="68"/>
      <c r="C2780" s="50"/>
      <c r="D2780" s="15"/>
    </row>
    <row r="2781" spans="2:4" x14ac:dyDescent="0.25">
      <c r="B2781" s="68"/>
      <c r="C2781" s="50"/>
      <c r="D2781" s="15"/>
    </row>
    <row r="2782" spans="2:4" x14ac:dyDescent="0.25">
      <c r="B2782" s="68"/>
      <c r="C2782" s="50"/>
      <c r="D2782" s="15"/>
    </row>
    <row r="2783" spans="2:4" x14ac:dyDescent="0.25">
      <c r="B2783" s="68"/>
      <c r="C2783" s="50"/>
      <c r="D2783" s="15"/>
    </row>
    <row r="2784" spans="2:4" x14ac:dyDescent="0.25">
      <c r="B2784" s="68"/>
      <c r="C2784" s="50"/>
      <c r="D2784" s="15"/>
    </row>
    <row r="2785" spans="2:4" x14ac:dyDescent="0.25">
      <c r="B2785" s="68"/>
      <c r="C2785" s="50"/>
      <c r="D2785" s="15"/>
    </row>
    <row r="2786" spans="2:4" x14ac:dyDescent="0.25">
      <c r="B2786" s="68"/>
      <c r="C2786" s="50"/>
      <c r="D2786" s="15"/>
    </row>
    <row r="2787" spans="2:4" x14ac:dyDescent="0.25">
      <c r="B2787" s="68"/>
      <c r="C2787" s="50"/>
      <c r="D2787" s="15"/>
    </row>
    <row r="2788" spans="2:4" x14ac:dyDescent="0.25">
      <c r="B2788" s="68"/>
      <c r="C2788" s="50"/>
      <c r="D2788" s="15"/>
    </row>
    <row r="2789" spans="2:4" x14ac:dyDescent="0.25">
      <c r="B2789" s="68"/>
      <c r="C2789" s="50"/>
      <c r="D2789" s="15"/>
    </row>
    <row r="2790" spans="2:4" x14ac:dyDescent="0.25">
      <c r="B2790" s="68"/>
      <c r="C2790" s="50"/>
      <c r="D2790" s="15"/>
    </row>
    <row r="2791" spans="2:4" x14ac:dyDescent="0.25">
      <c r="B2791" s="68"/>
      <c r="C2791" s="50"/>
      <c r="D2791" s="15"/>
    </row>
    <row r="2792" spans="2:4" x14ac:dyDescent="0.25">
      <c r="B2792" s="68"/>
      <c r="C2792" s="50"/>
      <c r="D2792" s="15"/>
    </row>
    <row r="2793" spans="2:4" x14ac:dyDescent="0.25">
      <c r="B2793" s="68"/>
      <c r="C2793" s="50"/>
      <c r="D2793" s="15"/>
    </row>
    <row r="2794" spans="2:4" x14ac:dyDescent="0.25">
      <c r="B2794" s="68"/>
      <c r="C2794" s="50"/>
      <c r="D2794" s="15"/>
    </row>
    <row r="2795" spans="2:4" x14ac:dyDescent="0.25">
      <c r="B2795" s="68"/>
      <c r="C2795" s="50"/>
      <c r="D2795" s="15"/>
    </row>
    <row r="2796" spans="2:4" x14ac:dyDescent="0.25">
      <c r="B2796" s="68"/>
      <c r="C2796" s="50"/>
      <c r="D2796" s="15"/>
    </row>
    <row r="2797" spans="2:4" x14ac:dyDescent="0.25">
      <c r="B2797" s="68"/>
      <c r="C2797" s="50"/>
      <c r="D2797" s="15"/>
    </row>
    <row r="2798" spans="2:4" x14ac:dyDescent="0.25">
      <c r="B2798" s="68"/>
      <c r="C2798" s="50"/>
      <c r="D2798" s="15"/>
    </row>
    <row r="2799" spans="2:4" x14ac:dyDescent="0.25">
      <c r="B2799" s="68"/>
      <c r="C2799" s="50"/>
      <c r="D2799" s="15"/>
    </row>
    <row r="2800" spans="2:4" x14ac:dyDescent="0.25">
      <c r="B2800" s="68"/>
      <c r="C2800" s="50"/>
      <c r="D2800" s="15"/>
    </row>
    <row r="2801" spans="2:4" x14ac:dyDescent="0.25">
      <c r="B2801" s="68"/>
      <c r="C2801" s="50"/>
      <c r="D2801" s="15"/>
    </row>
    <row r="2802" spans="2:4" x14ac:dyDescent="0.25">
      <c r="B2802" s="68"/>
      <c r="C2802" s="50"/>
      <c r="D2802" s="15"/>
    </row>
    <row r="2803" spans="2:4" x14ac:dyDescent="0.25">
      <c r="B2803" s="68"/>
      <c r="C2803" s="50"/>
      <c r="D2803" s="15"/>
    </row>
    <row r="2804" spans="2:4" x14ac:dyDescent="0.25">
      <c r="B2804" s="68"/>
      <c r="C2804" s="50"/>
      <c r="D2804" s="15"/>
    </row>
    <row r="2805" spans="2:4" x14ac:dyDescent="0.25">
      <c r="B2805" s="68"/>
      <c r="C2805" s="50"/>
      <c r="D2805" s="15"/>
    </row>
    <row r="2806" spans="2:4" x14ac:dyDescent="0.25">
      <c r="B2806" s="68"/>
      <c r="C2806" s="50"/>
      <c r="D2806" s="15"/>
    </row>
    <row r="2807" spans="2:4" x14ac:dyDescent="0.25">
      <c r="B2807" s="68"/>
      <c r="C2807" s="50"/>
      <c r="D2807" s="15"/>
    </row>
    <row r="2808" spans="2:4" x14ac:dyDescent="0.25">
      <c r="B2808" s="68"/>
      <c r="C2808" s="50"/>
      <c r="D2808" s="15"/>
    </row>
    <row r="2809" spans="2:4" x14ac:dyDescent="0.25">
      <c r="B2809" s="68"/>
      <c r="C2809" s="50"/>
      <c r="D2809" s="15"/>
    </row>
    <row r="2810" spans="2:4" x14ac:dyDescent="0.25">
      <c r="B2810" s="68"/>
      <c r="C2810" s="50"/>
      <c r="D2810" s="15"/>
    </row>
    <row r="2811" spans="2:4" x14ac:dyDescent="0.25">
      <c r="B2811" s="68"/>
      <c r="C2811" s="50"/>
      <c r="D2811" s="15"/>
    </row>
    <row r="2812" spans="2:4" x14ac:dyDescent="0.25">
      <c r="B2812" s="68"/>
      <c r="C2812" s="50"/>
      <c r="D2812" s="15"/>
    </row>
    <row r="2813" spans="2:4" x14ac:dyDescent="0.25">
      <c r="B2813" s="68"/>
      <c r="C2813" s="50"/>
      <c r="D2813" s="15"/>
    </row>
    <row r="2814" spans="2:4" x14ac:dyDescent="0.25">
      <c r="B2814" s="68"/>
      <c r="C2814" s="50"/>
      <c r="D2814" s="15"/>
    </row>
    <row r="2815" spans="2:4" x14ac:dyDescent="0.25">
      <c r="B2815" s="68"/>
      <c r="C2815" s="50"/>
      <c r="D2815" s="15"/>
    </row>
    <row r="2816" spans="2:4" x14ac:dyDescent="0.25">
      <c r="B2816" s="68"/>
      <c r="C2816" s="50"/>
      <c r="D2816" s="15"/>
    </row>
    <row r="2817" spans="2:4" x14ac:dyDescent="0.25">
      <c r="B2817" s="68"/>
      <c r="C2817" s="50"/>
      <c r="D2817" s="15"/>
    </row>
    <row r="2818" spans="2:4" x14ac:dyDescent="0.25">
      <c r="B2818" s="68"/>
      <c r="C2818" s="50"/>
      <c r="D2818" s="15"/>
    </row>
    <row r="2819" spans="2:4" x14ac:dyDescent="0.25">
      <c r="B2819" s="68"/>
      <c r="C2819" s="50"/>
      <c r="D2819" s="15"/>
    </row>
    <row r="2820" spans="2:4" x14ac:dyDescent="0.25">
      <c r="B2820" s="68"/>
      <c r="C2820" s="50"/>
      <c r="D2820" s="15"/>
    </row>
    <row r="2821" spans="2:4" x14ac:dyDescent="0.25">
      <c r="B2821" s="68"/>
      <c r="C2821" s="50"/>
      <c r="D2821" s="15"/>
    </row>
    <row r="2822" spans="2:4" x14ac:dyDescent="0.25">
      <c r="B2822" s="68"/>
      <c r="C2822" s="50"/>
      <c r="D2822" s="15"/>
    </row>
    <row r="2823" spans="2:4" x14ac:dyDescent="0.25">
      <c r="B2823" s="68"/>
      <c r="C2823" s="50"/>
      <c r="D2823" s="15"/>
    </row>
    <row r="2824" spans="2:4" x14ac:dyDescent="0.25">
      <c r="B2824" s="68"/>
      <c r="C2824" s="50"/>
      <c r="D2824" s="15"/>
    </row>
    <row r="2825" spans="2:4" x14ac:dyDescent="0.25">
      <c r="B2825" s="68"/>
      <c r="C2825" s="50"/>
      <c r="D2825" s="15"/>
    </row>
    <row r="2826" spans="2:4" x14ac:dyDescent="0.25">
      <c r="B2826" s="68"/>
      <c r="C2826" s="50"/>
      <c r="D2826" s="15"/>
    </row>
    <row r="2827" spans="2:4" x14ac:dyDescent="0.25">
      <c r="B2827" s="68"/>
      <c r="C2827" s="50"/>
      <c r="D2827" s="15"/>
    </row>
    <row r="2828" spans="2:4" x14ac:dyDescent="0.25">
      <c r="B2828" s="68"/>
      <c r="C2828" s="50"/>
      <c r="D2828" s="15"/>
    </row>
    <row r="2829" spans="2:4" x14ac:dyDescent="0.25">
      <c r="B2829" s="68"/>
      <c r="C2829" s="50"/>
      <c r="D2829" s="15"/>
    </row>
    <row r="2830" spans="2:4" x14ac:dyDescent="0.25">
      <c r="B2830" s="68"/>
      <c r="C2830" s="50"/>
      <c r="D2830" s="15"/>
    </row>
    <row r="2831" spans="2:4" x14ac:dyDescent="0.25">
      <c r="B2831" s="68"/>
      <c r="C2831" s="50"/>
      <c r="D2831" s="15"/>
    </row>
    <row r="2832" spans="2:4" x14ac:dyDescent="0.25">
      <c r="B2832" s="68"/>
      <c r="C2832" s="50"/>
      <c r="D2832" s="15"/>
    </row>
    <row r="2833" spans="2:4" x14ac:dyDescent="0.25">
      <c r="B2833" s="68"/>
      <c r="C2833" s="50"/>
      <c r="D2833" s="15"/>
    </row>
    <row r="2834" spans="2:4" x14ac:dyDescent="0.25">
      <c r="B2834" s="68"/>
      <c r="C2834" s="50"/>
      <c r="D2834" s="15"/>
    </row>
    <row r="2835" spans="2:4" x14ac:dyDescent="0.25">
      <c r="B2835" s="68"/>
      <c r="C2835" s="50"/>
      <c r="D2835" s="15"/>
    </row>
    <row r="2836" spans="2:4" x14ac:dyDescent="0.25">
      <c r="B2836" s="68"/>
      <c r="C2836" s="50"/>
      <c r="D2836" s="15"/>
    </row>
    <row r="2837" spans="2:4" x14ac:dyDescent="0.25">
      <c r="B2837" s="68"/>
      <c r="C2837" s="50"/>
      <c r="D2837" s="15"/>
    </row>
    <row r="2838" spans="2:4" x14ac:dyDescent="0.25">
      <c r="B2838" s="68"/>
      <c r="C2838" s="50"/>
      <c r="D2838" s="15"/>
    </row>
    <row r="2839" spans="2:4" x14ac:dyDescent="0.25">
      <c r="B2839" s="68"/>
      <c r="C2839" s="50"/>
      <c r="D2839" s="15"/>
    </row>
    <row r="2840" spans="2:4" x14ac:dyDescent="0.25">
      <c r="B2840" s="68"/>
      <c r="C2840" s="50"/>
      <c r="D2840" s="15"/>
    </row>
    <row r="2841" spans="2:4" x14ac:dyDescent="0.25">
      <c r="B2841" s="68"/>
      <c r="C2841" s="50"/>
      <c r="D2841" s="15"/>
    </row>
    <row r="2842" spans="2:4" x14ac:dyDescent="0.25">
      <c r="B2842" s="68"/>
      <c r="C2842" s="50"/>
      <c r="D2842" s="15"/>
    </row>
    <row r="2843" spans="2:4" x14ac:dyDescent="0.25">
      <c r="B2843" s="68"/>
      <c r="C2843" s="50"/>
      <c r="D2843" s="15"/>
    </row>
    <row r="2844" spans="2:4" x14ac:dyDescent="0.25">
      <c r="B2844" s="68"/>
      <c r="C2844" s="50"/>
      <c r="D2844" s="15"/>
    </row>
    <row r="2845" spans="2:4" x14ac:dyDescent="0.25">
      <c r="B2845" s="68"/>
      <c r="C2845" s="50"/>
      <c r="D2845" s="15"/>
    </row>
    <row r="2846" spans="2:4" x14ac:dyDescent="0.25">
      <c r="B2846" s="68"/>
      <c r="C2846" s="50"/>
      <c r="D2846" s="15"/>
    </row>
    <row r="2847" spans="2:4" x14ac:dyDescent="0.25">
      <c r="B2847" s="68"/>
      <c r="C2847" s="50"/>
      <c r="D2847" s="15"/>
    </row>
    <row r="2848" spans="2:4" x14ac:dyDescent="0.25">
      <c r="B2848" s="68"/>
      <c r="C2848" s="50"/>
      <c r="D2848" s="15"/>
    </row>
    <row r="2849" spans="2:4" x14ac:dyDescent="0.25">
      <c r="B2849" s="68"/>
      <c r="C2849" s="50"/>
      <c r="D2849" s="15"/>
    </row>
    <row r="2850" spans="2:4" x14ac:dyDescent="0.25">
      <c r="B2850" s="68"/>
      <c r="C2850" s="50"/>
      <c r="D2850" s="15"/>
    </row>
    <row r="2851" spans="2:4" x14ac:dyDescent="0.25">
      <c r="B2851" s="68"/>
      <c r="C2851" s="50"/>
      <c r="D2851" s="15"/>
    </row>
    <row r="2852" spans="2:4" x14ac:dyDescent="0.25">
      <c r="B2852" s="68"/>
      <c r="C2852" s="50"/>
      <c r="D2852" s="15"/>
    </row>
    <row r="2853" spans="2:4" x14ac:dyDescent="0.25">
      <c r="B2853" s="68"/>
      <c r="C2853" s="50"/>
      <c r="D2853" s="15"/>
    </row>
    <row r="2854" spans="2:4" x14ac:dyDescent="0.25">
      <c r="B2854" s="68"/>
      <c r="C2854" s="50"/>
      <c r="D2854" s="15"/>
    </row>
    <row r="2855" spans="2:4" x14ac:dyDescent="0.25">
      <c r="B2855" s="68"/>
      <c r="C2855" s="50"/>
      <c r="D2855" s="15"/>
    </row>
    <row r="2856" spans="2:4" x14ac:dyDescent="0.25">
      <c r="B2856" s="68"/>
      <c r="C2856" s="50"/>
      <c r="D2856" s="15"/>
    </row>
    <row r="2857" spans="2:4" x14ac:dyDescent="0.25">
      <c r="B2857" s="68"/>
      <c r="C2857" s="50"/>
      <c r="D2857" s="15"/>
    </row>
    <row r="2858" spans="2:4" x14ac:dyDescent="0.25">
      <c r="B2858" s="68"/>
      <c r="C2858" s="50"/>
      <c r="D2858" s="15"/>
    </row>
    <row r="2859" spans="2:4" x14ac:dyDescent="0.25">
      <c r="B2859" s="68"/>
      <c r="C2859" s="50"/>
      <c r="D2859" s="15"/>
    </row>
    <row r="2860" spans="2:4" x14ac:dyDescent="0.25">
      <c r="B2860" s="68"/>
      <c r="C2860" s="50"/>
      <c r="D2860" s="15"/>
    </row>
    <row r="2861" spans="2:4" x14ac:dyDescent="0.25">
      <c r="B2861" s="68"/>
      <c r="C2861" s="50"/>
      <c r="D2861" s="15"/>
    </row>
    <row r="2862" spans="2:4" x14ac:dyDescent="0.25">
      <c r="B2862" s="68"/>
      <c r="C2862" s="50"/>
      <c r="D2862" s="15"/>
    </row>
    <row r="2863" spans="2:4" x14ac:dyDescent="0.25">
      <c r="B2863" s="68"/>
      <c r="C2863" s="50"/>
      <c r="D2863" s="15"/>
    </row>
    <row r="2864" spans="2:4" x14ac:dyDescent="0.25">
      <c r="B2864" s="68"/>
      <c r="C2864" s="50"/>
      <c r="D2864" s="15"/>
    </row>
    <row r="2865" spans="2:4" x14ac:dyDescent="0.25">
      <c r="B2865" s="68"/>
      <c r="C2865" s="50"/>
      <c r="D2865" s="15"/>
    </row>
    <row r="2866" spans="2:4" x14ac:dyDescent="0.25">
      <c r="B2866" s="68"/>
      <c r="C2866" s="50"/>
      <c r="D2866" s="15"/>
    </row>
    <row r="2867" spans="2:4" x14ac:dyDescent="0.25">
      <c r="B2867" s="68"/>
      <c r="C2867" s="50"/>
      <c r="D2867" s="15"/>
    </row>
    <row r="2868" spans="2:4" x14ac:dyDescent="0.25">
      <c r="B2868" s="68"/>
      <c r="C2868" s="50"/>
      <c r="D2868" s="15"/>
    </row>
    <row r="2869" spans="2:4" x14ac:dyDescent="0.25">
      <c r="B2869" s="68"/>
      <c r="C2869" s="50"/>
      <c r="D2869" s="15"/>
    </row>
    <row r="2870" spans="2:4" x14ac:dyDescent="0.25">
      <c r="B2870" s="68"/>
      <c r="C2870" s="50"/>
      <c r="D2870" s="15"/>
    </row>
    <row r="2871" spans="2:4" x14ac:dyDescent="0.25">
      <c r="B2871" s="68"/>
      <c r="C2871" s="50"/>
      <c r="D2871" s="15"/>
    </row>
    <row r="2872" spans="2:4" x14ac:dyDescent="0.25">
      <c r="B2872" s="68"/>
      <c r="C2872" s="50"/>
      <c r="D2872" s="15"/>
    </row>
    <row r="2873" spans="2:4" x14ac:dyDescent="0.25">
      <c r="B2873" s="68"/>
      <c r="C2873" s="50"/>
      <c r="D2873" s="15"/>
    </row>
    <row r="2874" spans="2:4" x14ac:dyDescent="0.25">
      <c r="B2874" s="68"/>
      <c r="C2874" s="50"/>
      <c r="D2874" s="15"/>
    </row>
    <row r="2875" spans="2:4" x14ac:dyDescent="0.25">
      <c r="B2875" s="68"/>
      <c r="C2875" s="50"/>
      <c r="D2875" s="15"/>
    </row>
    <row r="2876" spans="2:4" x14ac:dyDescent="0.25">
      <c r="B2876" s="68"/>
      <c r="C2876" s="50"/>
      <c r="D2876" s="15"/>
    </row>
    <row r="2877" spans="2:4" x14ac:dyDescent="0.25">
      <c r="B2877" s="68"/>
      <c r="C2877" s="50"/>
      <c r="D2877" s="15"/>
    </row>
    <row r="2878" spans="2:4" x14ac:dyDescent="0.25">
      <c r="B2878" s="68"/>
      <c r="C2878" s="50"/>
      <c r="D2878" s="15"/>
    </row>
    <row r="2879" spans="2:4" x14ac:dyDescent="0.25">
      <c r="B2879" s="68"/>
      <c r="C2879" s="50"/>
      <c r="D2879" s="15"/>
    </row>
    <row r="2880" spans="2:4" x14ac:dyDescent="0.25">
      <c r="B2880" s="68"/>
      <c r="C2880" s="50"/>
      <c r="D2880" s="15"/>
    </row>
    <row r="2881" spans="2:4" x14ac:dyDescent="0.25">
      <c r="B2881" s="68"/>
      <c r="C2881" s="50"/>
      <c r="D2881" s="15"/>
    </row>
    <row r="2882" spans="2:4" x14ac:dyDescent="0.25">
      <c r="B2882" s="68"/>
      <c r="C2882" s="50"/>
      <c r="D2882" s="15"/>
    </row>
    <row r="2883" spans="2:4" x14ac:dyDescent="0.25">
      <c r="B2883" s="68"/>
      <c r="C2883" s="50"/>
      <c r="D2883" s="15"/>
    </row>
    <row r="2884" spans="2:4" x14ac:dyDescent="0.25">
      <c r="B2884" s="68"/>
      <c r="C2884" s="50"/>
      <c r="D2884" s="15"/>
    </row>
    <row r="2885" spans="2:4" x14ac:dyDescent="0.25">
      <c r="B2885" s="68"/>
      <c r="C2885" s="50"/>
      <c r="D2885" s="15"/>
    </row>
    <row r="2886" spans="2:4" x14ac:dyDescent="0.25">
      <c r="B2886" s="68"/>
      <c r="C2886" s="50"/>
      <c r="D2886" s="15"/>
    </row>
    <row r="2887" spans="2:4" x14ac:dyDescent="0.25">
      <c r="B2887" s="68"/>
      <c r="C2887" s="50"/>
      <c r="D2887" s="15"/>
    </row>
    <row r="2888" spans="2:4" x14ac:dyDescent="0.25">
      <c r="B2888" s="68"/>
      <c r="C2888" s="50"/>
      <c r="D2888" s="15"/>
    </row>
    <row r="2889" spans="2:4" x14ac:dyDescent="0.25">
      <c r="B2889" s="68"/>
      <c r="C2889" s="50"/>
      <c r="D2889" s="15"/>
    </row>
    <row r="2890" spans="2:4" x14ac:dyDescent="0.25">
      <c r="B2890" s="68"/>
      <c r="C2890" s="50"/>
      <c r="D2890" s="15"/>
    </row>
    <row r="2891" spans="2:4" x14ac:dyDescent="0.25">
      <c r="B2891" s="68"/>
      <c r="C2891" s="50"/>
      <c r="D2891" s="15"/>
    </row>
    <row r="2892" spans="2:4" x14ac:dyDescent="0.25">
      <c r="B2892" s="68"/>
      <c r="C2892" s="50"/>
      <c r="D2892" s="15"/>
    </row>
    <row r="2893" spans="2:4" x14ac:dyDescent="0.25">
      <c r="B2893" s="68"/>
      <c r="C2893" s="50"/>
      <c r="D2893" s="15"/>
    </row>
    <row r="2894" spans="2:4" x14ac:dyDescent="0.25">
      <c r="B2894" s="68"/>
      <c r="C2894" s="50"/>
      <c r="D2894" s="15"/>
    </row>
    <row r="2895" spans="2:4" x14ac:dyDescent="0.25">
      <c r="B2895" s="68"/>
      <c r="C2895" s="50"/>
      <c r="D2895" s="15"/>
    </row>
    <row r="2896" spans="2:4" x14ac:dyDescent="0.25">
      <c r="B2896" s="68"/>
      <c r="C2896" s="50"/>
      <c r="D2896" s="15"/>
    </row>
    <row r="2897" spans="2:4" x14ac:dyDescent="0.25">
      <c r="B2897" s="68"/>
      <c r="C2897" s="50"/>
      <c r="D2897" s="15"/>
    </row>
    <row r="2898" spans="2:4" x14ac:dyDescent="0.25">
      <c r="B2898" s="68"/>
      <c r="C2898" s="50"/>
      <c r="D2898" s="15"/>
    </row>
    <row r="2899" spans="2:4" x14ac:dyDescent="0.25">
      <c r="B2899" s="68"/>
      <c r="C2899" s="50"/>
      <c r="D2899" s="15"/>
    </row>
    <row r="2900" spans="2:4" x14ac:dyDescent="0.25">
      <c r="B2900" s="68"/>
      <c r="C2900" s="50"/>
      <c r="D2900" s="15"/>
    </row>
    <row r="2901" spans="2:4" x14ac:dyDescent="0.25">
      <c r="B2901" s="68"/>
      <c r="C2901" s="50"/>
      <c r="D2901" s="15"/>
    </row>
    <row r="2902" spans="2:4" x14ac:dyDescent="0.25">
      <c r="B2902" s="68"/>
      <c r="C2902" s="50"/>
      <c r="D2902" s="15"/>
    </row>
    <row r="2903" spans="2:4" x14ac:dyDescent="0.25">
      <c r="B2903" s="68"/>
      <c r="C2903" s="50"/>
      <c r="D2903" s="15"/>
    </row>
    <row r="2904" spans="2:4" x14ac:dyDescent="0.25">
      <c r="B2904" s="68"/>
      <c r="C2904" s="50"/>
      <c r="D2904" s="15"/>
    </row>
    <row r="2905" spans="2:4" x14ac:dyDescent="0.25">
      <c r="B2905" s="68"/>
      <c r="C2905" s="50"/>
      <c r="D2905" s="15"/>
    </row>
    <row r="2906" spans="2:4" x14ac:dyDescent="0.25">
      <c r="B2906" s="68"/>
      <c r="C2906" s="50"/>
      <c r="D2906" s="15"/>
    </row>
    <row r="2907" spans="2:4" x14ac:dyDescent="0.25">
      <c r="B2907" s="68"/>
      <c r="C2907" s="50"/>
      <c r="D2907" s="15"/>
    </row>
    <row r="2908" spans="2:4" x14ac:dyDescent="0.25">
      <c r="B2908" s="68"/>
      <c r="C2908" s="50"/>
      <c r="D2908" s="15"/>
    </row>
    <row r="2909" spans="2:4" x14ac:dyDescent="0.25">
      <c r="B2909" s="68"/>
      <c r="C2909" s="50"/>
      <c r="D2909" s="15"/>
    </row>
    <row r="2910" spans="2:4" x14ac:dyDescent="0.25">
      <c r="B2910" s="68"/>
      <c r="C2910" s="50"/>
      <c r="D2910" s="15"/>
    </row>
    <row r="2911" spans="2:4" x14ac:dyDescent="0.25">
      <c r="B2911" s="68"/>
      <c r="C2911" s="50"/>
      <c r="D2911" s="15"/>
    </row>
    <row r="2912" spans="2:4" x14ac:dyDescent="0.25">
      <c r="B2912" s="68"/>
      <c r="C2912" s="50"/>
      <c r="D2912" s="15"/>
    </row>
    <row r="2913" spans="2:4" x14ac:dyDescent="0.25">
      <c r="B2913" s="68"/>
      <c r="C2913" s="50"/>
      <c r="D2913" s="15"/>
    </row>
    <row r="2914" spans="2:4" x14ac:dyDescent="0.25">
      <c r="B2914" s="68"/>
      <c r="C2914" s="50"/>
      <c r="D2914" s="15"/>
    </row>
    <row r="2915" spans="2:4" x14ac:dyDescent="0.25">
      <c r="B2915" s="68"/>
      <c r="C2915" s="50"/>
      <c r="D2915" s="15"/>
    </row>
    <row r="2916" spans="2:4" x14ac:dyDescent="0.25">
      <c r="B2916" s="68"/>
      <c r="C2916" s="50"/>
      <c r="D2916" s="15"/>
    </row>
    <row r="2917" spans="2:4" x14ac:dyDescent="0.25">
      <c r="B2917" s="68"/>
      <c r="C2917" s="50"/>
      <c r="D2917" s="15"/>
    </row>
    <row r="2918" spans="2:4" x14ac:dyDescent="0.25">
      <c r="B2918" s="68"/>
      <c r="C2918" s="50"/>
      <c r="D2918" s="15"/>
    </row>
    <row r="2919" spans="2:4" x14ac:dyDescent="0.25">
      <c r="B2919" s="68"/>
      <c r="C2919" s="50"/>
      <c r="D2919" s="15"/>
    </row>
    <row r="2920" spans="2:4" x14ac:dyDescent="0.25">
      <c r="B2920" s="68"/>
      <c r="C2920" s="50"/>
      <c r="D2920" s="15"/>
    </row>
    <row r="2921" spans="2:4" x14ac:dyDescent="0.25">
      <c r="B2921" s="68"/>
      <c r="C2921" s="50"/>
      <c r="D2921" s="15"/>
    </row>
    <row r="2922" spans="2:4" x14ac:dyDescent="0.25">
      <c r="B2922" s="68"/>
      <c r="C2922" s="50"/>
      <c r="D2922" s="15"/>
    </row>
    <row r="2923" spans="2:4" x14ac:dyDescent="0.25">
      <c r="B2923" s="68"/>
      <c r="C2923" s="50"/>
      <c r="D2923" s="15"/>
    </row>
    <row r="2924" spans="2:4" x14ac:dyDescent="0.25">
      <c r="B2924" s="68"/>
      <c r="C2924" s="50"/>
      <c r="D2924" s="15"/>
    </row>
    <row r="2925" spans="2:4" x14ac:dyDescent="0.25">
      <c r="B2925" s="68"/>
      <c r="C2925" s="50"/>
      <c r="D2925" s="15"/>
    </row>
    <row r="2926" spans="2:4" x14ac:dyDescent="0.25">
      <c r="B2926" s="68"/>
      <c r="C2926" s="50"/>
      <c r="D2926" s="15"/>
    </row>
    <row r="2927" spans="2:4" x14ac:dyDescent="0.25">
      <c r="B2927" s="68"/>
      <c r="C2927" s="50"/>
      <c r="D2927" s="15"/>
    </row>
    <row r="2928" spans="2:4" x14ac:dyDescent="0.25">
      <c r="B2928" s="68"/>
      <c r="C2928" s="50"/>
      <c r="D2928" s="15"/>
    </row>
    <row r="2929" spans="2:4" x14ac:dyDescent="0.25">
      <c r="B2929" s="68"/>
      <c r="C2929" s="50"/>
      <c r="D2929" s="15"/>
    </row>
    <row r="2930" spans="2:4" x14ac:dyDescent="0.25">
      <c r="B2930" s="68"/>
      <c r="C2930" s="50"/>
      <c r="D2930" s="15"/>
    </row>
    <row r="2931" spans="2:4" x14ac:dyDescent="0.25">
      <c r="B2931" s="68"/>
      <c r="C2931" s="50"/>
      <c r="D2931" s="15"/>
    </row>
    <row r="2932" spans="2:4" x14ac:dyDescent="0.25">
      <c r="B2932" s="68"/>
      <c r="C2932" s="50"/>
      <c r="D2932" s="15"/>
    </row>
    <row r="2933" spans="2:4" x14ac:dyDescent="0.25">
      <c r="B2933" s="68"/>
      <c r="C2933" s="50"/>
      <c r="D2933" s="15"/>
    </row>
    <row r="2934" spans="2:4" x14ac:dyDescent="0.25">
      <c r="B2934" s="68"/>
      <c r="C2934" s="50"/>
      <c r="D2934" s="15"/>
    </row>
    <row r="2935" spans="2:4" x14ac:dyDescent="0.25">
      <c r="B2935" s="68"/>
      <c r="C2935" s="50"/>
      <c r="D2935" s="15"/>
    </row>
    <row r="2936" spans="2:4" x14ac:dyDescent="0.25">
      <c r="B2936" s="68"/>
      <c r="C2936" s="50"/>
      <c r="D2936" s="15"/>
    </row>
    <row r="2937" spans="2:4" x14ac:dyDescent="0.25">
      <c r="B2937" s="68"/>
      <c r="C2937" s="50"/>
      <c r="D2937" s="15"/>
    </row>
    <row r="2938" spans="2:4" x14ac:dyDescent="0.25">
      <c r="B2938" s="68"/>
      <c r="C2938" s="50"/>
      <c r="D2938" s="15"/>
    </row>
    <row r="2939" spans="2:4" x14ac:dyDescent="0.25">
      <c r="B2939" s="68"/>
      <c r="C2939" s="50"/>
      <c r="D2939" s="15"/>
    </row>
    <row r="2940" spans="2:4" x14ac:dyDescent="0.25">
      <c r="B2940" s="68"/>
      <c r="C2940" s="50"/>
      <c r="D2940" s="15"/>
    </row>
    <row r="2941" spans="2:4" x14ac:dyDescent="0.25">
      <c r="B2941" s="68"/>
      <c r="C2941" s="50"/>
      <c r="D2941" s="15"/>
    </row>
    <row r="2942" spans="2:4" x14ac:dyDescent="0.25">
      <c r="B2942" s="68"/>
      <c r="C2942" s="50"/>
      <c r="D2942" s="15"/>
    </row>
    <row r="2943" spans="2:4" x14ac:dyDescent="0.25">
      <c r="B2943" s="68"/>
      <c r="C2943" s="50"/>
      <c r="D2943" s="15"/>
    </row>
    <row r="2944" spans="2:4" x14ac:dyDescent="0.25">
      <c r="B2944" s="68"/>
      <c r="C2944" s="50"/>
      <c r="D2944" s="15"/>
    </row>
    <row r="2945" spans="2:4" x14ac:dyDescent="0.25">
      <c r="B2945" s="68"/>
      <c r="C2945" s="50"/>
      <c r="D2945" s="15"/>
    </row>
    <row r="2946" spans="2:4" x14ac:dyDescent="0.25">
      <c r="B2946" s="68"/>
      <c r="C2946" s="50"/>
      <c r="D2946" s="15"/>
    </row>
    <row r="2947" spans="2:4" x14ac:dyDescent="0.25">
      <c r="B2947" s="68"/>
      <c r="C2947" s="50"/>
      <c r="D2947" s="15"/>
    </row>
    <row r="2948" spans="2:4" x14ac:dyDescent="0.25">
      <c r="B2948" s="68"/>
      <c r="C2948" s="50"/>
      <c r="D2948" s="15"/>
    </row>
    <row r="2949" spans="2:4" x14ac:dyDescent="0.25">
      <c r="B2949" s="68"/>
      <c r="C2949" s="50"/>
      <c r="D2949" s="15"/>
    </row>
    <row r="2950" spans="2:4" x14ac:dyDescent="0.25">
      <c r="B2950" s="68"/>
      <c r="C2950" s="50"/>
      <c r="D2950" s="15"/>
    </row>
    <row r="2951" spans="2:4" x14ac:dyDescent="0.25">
      <c r="B2951" s="68"/>
      <c r="C2951" s="50"/>
      <c r="D2951" s="15"/>
    </row>
    <row r="2952" spans="2:4" x14ac:dyDescent="0.25">
      <c r="B2952" s="68"/>
      <c r="C2952" s="50"/>
      <c r="D2952" s="15"/>
    </row>
    <row r="2953" spans="2:4" x14ac:dyDescent="0.25">
      <c r="B2953" s="68"/>
      <c r="C2953" s="50"/>
      <c r="D2953" s="15"/>
    </row>
    <row r="2954" spans="2:4" x14ac:dyDescent="0.25">
      <c r="B2954" s="68"/>
      <c r="C2954" s="50"/>
      <c r="D2954" s="15"/>
    </row>
    <row r="2955" spans="2:4" x14ac:dyDescent="0.25">
      <c r="B2955" s="68"/>
      <c r="C2955" s="50"/>
      <c r="D2955" s="15"/>
    </row>
    <row r="2956" spans="2:4" x14ac:dyDescent="0.25">
      <c r="B2956" s="68"/>
      <c r="C2956" s="50"/>
      <c r="D2956" s="15"/>
    </row>
    <row r="2957" spans="2:4" x14ac:dyDescent="0.25">
      <c r="B2957" s="68"/>
      <c r="C2957" s="50"/>
      <c r="D2957" s="15"/>
    </row>
    <row r="2958" spans="2:4" x14ac:dyDescent="0.25">
      <c r="B2958" s="68"/>
      <c r="C2958" s="50"/>
      <c r="D2958" s="15"/>
    </row>
    <row r="2959" spans="2:4" x14ac:dyDescent="0.25">
      <c r="B2959" s="68"/>
      <c r="C2959" s="50"/>
      <c r="D2959" s="15"/>
    </row>
    <row r="2960" spans="2:4" x14ac:dyDescent="0.25">
      <c r="B2960" s="68"/>
      <c r="C2960" s="50"/>
      <c r="D2960" s="15"/>
    </row>
    <row r="2961" spans="2:4" x14ac:dyDescent="0.25">
      <c r="B2961" s="68"/>
      <c r="C2961" s="50"/>
      <c r="D2961" s="15"/>
    </row>
    <row r="2962" spans="2:4" x14ac:dyDescent="0.25">
      <c r="B2962" s="68"/>
      <c r="C2962" s="50"/>
      <c r="D2962" s="15"/>
    </row>
    <row r="2963" spans="2:4" x14ac:dyDescent="0.25">
      <c r="B2963" s="68"/>
      <c r="C2963" s="50"/>
      <c r="D2963" s="15"/>
    </row>
    <row r="2964" spans="2:4" x14ac:dyDescent="0.25">
      <c r="B2964" s="68"/>
      <c r="C2964" s="50"/>
      <c r="D2964" s="15"/>
    </row>
    <row r="2965" spans="2:4" x14ac:dyDescent="0.25">
      <c r="B2965" s="68"/>
      <c r="C2965" s="50"/>
      <c r="D2965" s="15"/>
    </row>
    <row r="2966" spans="2:4" x14ac:dyDescent="0.25">
      <c r="B2966" s="68"/>
      <c r="C2966" s="50"/>
      <c r="D2966" s="15"/>
    </row>
    <row r="2967" spans="2:4" x14ac:dyDescent="0.25">
      <c r="B2967" s="68"/>
      <c r="C2967" s="50"/>
      <c r="D2967" s="15"/>
    </row>
    <row r="2968" spans="2:4" x14ac:dyDescent="0.25">
      <c r="B2968" s="68"/>
      <c r="C2968" s="50"/>
      <c r="D2968" s="15"/>
    </row>
    <row r="2969" spans="2:4" x14ac:dyDescent="0.25">
      <c r="B2969" s="68"/>
      <c r="C2969" s="50"/>
      <c r="D2969" s="15"/>
    </row>
    <row r="2970" spans="2:4" x14ac:dyDescent="0.25">
      <c r="B2970" s="68"/>
      <c r="C2970" s="50"/>
      <c r="D2970" s="15"/>
    </row>
    <row r="2971" spans="2:4" x14ac:dyDescent="0.25">
      <c r="B2971" s="68"/>
      <c r="C2971" s="50"/>
      <c r="D2971" s="15"/>
    </row>
    <row r="2972" spans="2:4" x14ac:dyDescent="0.25">
      <c r="B2972" s="68"/>
      <c r="C2972" s="50"/>
      <c r="D2972" s="15"/>
    </row>
    <row r="2973" spans="2:4" x14ac:dyDescent="0.25">
      <c r="B2973" s="68"/>
      <c r="C2973" s="50"/>
      <c r="D2973" s="15"/>
    </row>
    <row r="2974" spans="2:4" x14ac:dyDescent="0.25">
      <c r="B2974" s="68"/>
      <c r="C2974" s="50"/>
      <c r="D2974" s="15"/>
    </row>
    <row r="2975" spans="2:4" x14ac:dyDescent="0.25">
      <c r="B2975" s="68"/>
      <c r="C2975" s="50"/>
      <c r="D2975" s="15"/>
    </row>
    <row r="2976" spans="2:4" x14ac:dyDescent="0.25">
      <c r="B2976" s="68"/>
      <c r="C2976" s="50"/>
      <c r="D2976" s="15"/>
    </row>
    <row r="2977" spans="2:4" x14ac:dyDescent="0.25">
      <c r="B2977" s="68"/>
      <c r="C2977" s="50"/>
      <c r="D2977" s="15"/>
    </row>
    <row r="2978" spans="2:4" x14ac:dyDescent="0.25">
      <c r="B2978" s="68"/>
      <c r="C2978" s="50"/>
      <c r="D2978" s="15"/>
    </row>
    <row r="2979" spans="2:4" x14ac:dyDescent="0.25">
      <c r="B2979" s="68"/>
      <c r="C2979" s="50"/>
      <c r="D2979" s="15"/>
    </row>
    <row r="2980" spans="2:4" x14ac:dyDescent="0.25">
      <c r="B2980" s="68"/>
      <c r="C2980" s="50"/>
      <c r="D2980" s="15"/>
    </row>
    <row r="2981" spans="2:4" x14ac:dyDescent="0.25">
      <c r="B2981" s="68"/>
      <c r="C2981" s="50"/>
      <c r="D2981" s="15"/>
    </row>
    <row r="2982" spans="2:4" x14ac:dyDescent="0.25">
      <c r="B2982" s="68"/>
      <c r="C2982" s="50"/>
      <c r="D2982" s="15"/>
    </row>
    <row r="2983" spans="2:4" x14ac:dyDescent="0.25">
      <c r="B2983" s="68"/>
      <c r="C2983" s="50"/>
      <c r="D2983" s="15"/>
    </row>
    <row r="2984" spans="2:4" x14ac:dyDescent="0.25">
      <c r="B2984" s="68"/>
      <c r="C2984" s="50"/>
      <c r="D2984" s="15"/>
    </row>
    <row r="2985" spans="2:4" x14ac:dyDescent="0.25">
      <c r="B2985" s="68"/>
      <c r="C2985" s="50"/>
      <c r="D2985" s="15"/>
    </row>
    <row r="2986" spans="2:4" x14ac:dyDescent="0.25">
      <c r="B2986" s="68"/>
      <c r="C2986" s="50"/>
      <c r="D2986" s="15"/>
    </row>
    <row r="2987" spans="2:4" x14ac:dyDescent="0.25">
      <c r="B2987" s="68"/>
      <c r="C2987" s="50"/>
      <c r="D2987" s="15"/>
    </row>
    <row r="2988" spans="2:4" x14ac:dyDescent="0.25">
      <c r="B2988" s="68"/>
      <c r="C2988" s="50"/>
      <c r="D2988" s="15"/>
    </row>
    <row r="2989" spans="2:4" x14ac:dyDescent="0.25">
      <c r="B2989" s="68"/>
      <c r="C2989" s="50"/>
      <c r="D2989" s="15"/>
    </row>
    <row r="2990" spans="2:4" x14ac:dyDescent="0.25">
      <c r="B2990" s="68"/>
      <c r="C2990" s="50"/>
      <c r="D2990" s="15"/>
    </row>
    <row r="2991" spans="2:4" x14ac:dyDescent="0.25">
      <c r="B2991" s="68"/>
      <c r="C2991" s="50"/>
      <c r="D2991" s="15"/>
    </row>
    <row r="2992" spans="2:4" x14ac:dyDescent="0.25">
      <c r="B2992" s="68"/>
      <c r="C2992" s="50"/>
      <c r="D2992" s="15"/>
    </row>
    <row r="2993" spans="2:4" x14ac:dyDescent="0.25">
      <c r="B2993" s="68"/>
      <c r="C2993" s="50"/>
      <c r="D2993" s="15"/>
    </row>
    <row r="2994" spans="2:4" x14ac:dyDescent="0.25">
      <c r="B2994" s="68"/>
      <c r="C2994" s="50"/>
      <c r="D2994" s="15"/>
    </row>
    <row r="2995" spans="2:4" x14ac:dyDescent="0.25">
      <c r="B2995" s="68"/>
      <c r="C2995" s="50"/>
      <c r="D2995" s="15"/>
    </row>
    <row r="2996" spans="2:4" x14ac:dyDescent="0.25">
      <c r="B2996" s="68"/>
      <c r="C2996" s="50"/>
      <c r="D2996" s="15"/>
    </row>
    <row r="2997" spans="2:4" x14ac:dyDescent="0.25">
      <c r="B2997" s="68"/>
      <c r="C2997" s="50"/>
      <c r="D2997" s="15"/>
    </row>
    <row r="2998" spans="2:4" x14ac:dyDescent="0.25">
      <c r="B2998" s="68"/>
      <c r="C2998" s="50"/>
      <c r="D2998" s="15"/>
    </row>
    <row r="2999" spans="2:4" x14ac:dyDescent="0.25">
      <c r="B2999" s="68"/>
      <c r="C2999" s="50"/>
      <c r="D2999" s="15"/>
    </row>
    <row r="3000" spans="2:4" x14ac:dyDescent="0.25">
      <c r="B3000" s="68"/>
      <c r="C3000" s="50"/>
      <c r="D3000" s="15"/>
    </row>
    <row r="3001" spans="2:4" x14ac:dyDescent="0.25">
      <c r="B3001" s="68"/>
      <c r="C3001" s="50"/>
      <c r="D3001" s="15"/>
    </row>
    <row r="3002" spans="2:4" x14ac:dyDescent="0.25">
      <c r="B3002" s="68"/>
      <c r="C3002" s="50"/>
      <c r="D3002" s="15"/>
    </row>
    <row r="3003" spans="2:4" x14ac:dyDescent="0.25">
      <c r="B3003" s="68"/>
      <c r="C3003" s="50"/>
      <c r="D3003" s="15"/>
    </row>
    <row r="3004" spans="2:4" x14ac:dyDescent="0.25">
      <c r="B3004" s="68"/>
      <c r="C3004" s="50"/>
      <c r="D3004" s="15"/>
    </row>
    <row r="3005" spans="2:4" x14ac:dyDescent="0.25">
      <c r="B3005" s="68"/>
      <c r="C3005" s="50"/>
      <c r="D3005" s="15"/>
    </row>
    <row r="3006" spans="2:4" x14ac:dyDescent="0.25">
      <c r="B3006" s="68"/>
      <c r="C3006" s="50"/>
      <c r="D3006" s="15"/>
    </row>
    <row r="3007" spans="2:4" x14ac:dyDescent="0.25">
      <c r="B3007" s="68"/>
      <c r="C3007" s="50"/>
      <c r="D3007" s="15"/>
    </row>
    <row r="3008" spans="2:4" x14ac:dyDescent="0.25">
      <c r="B3008" s="68"/>
      <c r="C3008" s="50"/>
      <c r="D3008" s="15"/>
    </row>
    <row r="3009" spans="2:4" x14ac:dyDescent="0.25">
      <c r="B3009" s="68"/>
      <c r="C3009" s="50"/>
      <c r="D3009" s="15"/>
    </row>
    <row r="3010" spans="2:4" x14ac:dyDescent="0.25">
      <c r="B3010" s="68"/>
      <c r="C3010" s="50"/>
      <c r="D3010" s="15"/>
    </row>
    <row r="3011" spans="2:4" x14ac:dyDescent="0.25">
      <c r="B3011" s="68"/>
      <c r="C3011" s="50"/>
      <c r="D3011" s="15"/>
    </row>
    <row r="3012" spans="2:4" x14ac:dyDescent="0.25">
      <c r="B3012" s="68"/>
      <c r="C3012" s="50"/>
      <c r="D3012" s="15"/>
    </row>
    <row r="3013" spans="2:4" x14ac:dyDescent="0.25">
      <c r="B3013" s="68"/>
      <c r="C3013" s="50"/>
      <c r="D3013" s="15"/>
    </row>
    <row r="3014" spans="2:4" x14ac:dyDescent="0.25">
      <c r="B3014" s="68"/>
      <c r="C3014" s="50"/>
      <c r="D3014" s="15"/>
    </row>
    <row r="3015" spans="2:4" x14ac:dyDescent="0.25">
      <c r="B3015" s="68"/>
      <c r="C3015" s="50"/>
      <c r="D3015" s="15"/>
    </row>
    <row r="3016" spans="2:4" x14ac:dyDescent="0.25">
      <c r="B3016" s="68"/>
      <c r="C3016" s="50"/>
      <c r="D3016" s="15"/>
    </row>
    <row r="3017" spans="2:4" x14ac:dyDescent="0.25">
      <c r="B3017" s="68"/>
      <c r="C3017" s="50"/>
      <c r="D3017" s="15"/>
    </row>
    <row r="3018" spans="2:4" x14ac:dyDescent="0.25">
      <c r="B3018" s="68"/>
      <c r="C3018" s="50"/>
      <c r="D3018" s="15"/>
    </row>
    <row r="3019" spans="2:4" x14ac:dyDescent="0.25">
      <c r="B3019" s="68"/>
      <c r="C3019" s="50"/>
      <c r="D3019" s="15"/>
    </row>
    <row r="3020" spans="2:4" x14ac:dyDescent="0.25">
      <c r="B3020" s="68"/>
      <c r="C3020" s="50"/>
      <c r="D3020" s="15"/>
    </row>
    <row r="3021" spans="2:4" x14ac:dyDescent="0.25">
      <c r="B3021" s="68"/>
      <c r="C3021" s="50"/>
      <c r="D3021" s="15"/>
    </row>
    <row r="3022" spans="2:4" x14ac:dyDescent="0.25">
      <c r="B3022" s="68"/>
      <c r="C3022" s="50"/>
      <c r="D3022" s="15"/>
    </row>
    <row r="3023" spans="2:4" x14ac:dyDescent="0.25">
      <c r="B3023" s="68"/>
      <c r="C3023" s="50"/>
      <c r="D3023" s="15"/>
    </row>
    <row r="3024" spans="2:4" x14ac:dyDescent="0.25">
      <c r="B3024" s="68"/>
      <c r="C3024" s="50"/>
      <c r="D3024" s="15"/>
    </row>
    <row r="3025" spans="2:4" x14ac:dyDescent="0.25">
      <c r="B3025" s="68"/>
      <c r="C3025" s="50"/>
      <c r="D3025" s="15"/>
    </row>
    <row r="3026" spans="2:4" x14ac:dyDescent="0.25">
      <c r="B3026" s="68"/>
      <c r="C3026" s="50"/>
      <c r="D3026" s="15"/>
    </row>
    <row r="3027" spans="2:4" x14ac:dyDescent="0.25">
      <c r="B3027" s="68"/>
      <c r="C3027" s="50"/>
      <c r="D3027" s="15"/>
    </row>
    <row r="3028" spans="2:4" x14ac:dyDescent="0.25">
      <c r="B3028" s="68"/>
      <c r="C3028" s="50"/>
      <c r="D3028" s="15"/>
    </row>
    <row r="3029" spans="2:4" x14ac:dyDescent="0.25">
      <c r="B3029" s="68"/>
      <c r="C3029" s="50"/>
      <c r="D3029" s="15"/>
    </row>
    <row r="3030" spans="2:4" x14ac:dyDescent="0.25">
      <c r="B3030" s="68"/>
      <c r="C3030" s="50"/>
      <c r="D3030" s="15"/>
    </row>
    <row r="3031" spans="2:4" x14ac:dyDescent="0.25">
      <c r="B3031" s="68"/>
      <c r="C3031" s="50"/>
      <c r="D3031" s="15"/>
    </row>
    <row r="3032" spans="2:4" x14ac:dyDescent="0.25">
      <c r="B3032" s="68"/>
      <c r="C3032" s="50"/>
      <c r="D3032" s="15"/>
    </row>
    <row r="3033" spans="2:4" x14ac:dyDescent="0.25">
      <c r="B3033" s="68"/>
      <c r="C3033" s="50"/>
      <c r="D3033" s="15"/>
    </row>
    <row r="3034" spans="2:4" x14ac:dyDescent="0.25">
      <c r="B3034" s="68"/>
      <c r="C3034" s="50"/>
      <c r="D3034" s="15"/>
    </row>
    <row r="3035" spans="2:4" x14ac:dyDescent="0.25">
      <c r="B3035" s="68"/>
      <c r="C3035" s="50"/>
      <c r="D3035" s="15"/>
    </row>
    <row r="3036" spans="2:4" x14ac:dyDescent="0.25">
      <c r="B3036" s="68"/>
      <c r="C3036" s="50"/>
      <c r="D3036" s="15"/>
    </row>
    <row r="3037" spans="2:4" x14ac:dyDescent="0.25">
      <c r="B3037" s="68"/>
      <c r="C3037" s="50"/>
      <c r="D3037" s="15"/>
    </row>
    <row r="3038" spans="2:4" x14ac:dyDescent="0.25">
      <c r="B3038" s="68"/>
      <c r="C3038" s="50"/>
      <c r="D3038" s="15"/>
    </row>
    <row r="3039" spans="2:4" x14ac:dyDescent="0.25">
      <c r="B3039" s="68"/>
      <c r="C3039" s="50"/>
      <c r="D3039" s="15"/>
    </row>
    <row r="3040" spans="2:4" x14ac:dyDescent="0.25">
      <c r="B3040" s="68"/>
      <c r="C3040" s="50"/>
      <c r="D3040" s="15"/>
    </row>
    <row r="3041" spans="2:4" x14ac:dyDescent="0.25">
      <c r="B3041" s="68"/>
      <c r="C3041" s="50"/>
      <c r="D3041" s="15"/>
    </row>
    <row r="3042" spans="2:4" x14ac:dyDescent="0.25">
      <c r="B3042" s="68"/>
      <c r="C3042" s="50"/>
      <c r="D3042" s="15"/>
    </row>
    <row r="3043" spans="2:4" x14ac:dyDescent="0.25">
      <c r="B3043" s="68"/>
      <c r="C3043" s="50"/>
      <c r="D3043" s="15"/>
    </row>
    <row r="3044" spans="2:4" x14ac:dyDescent="0.25">
      <c r="B3044" s="68"/>
      <c r="C3044" s="50"/>
      <c r="D3044" s="15"/>
    </row>
    <row r="3045" spans="2:4" x14ac:dyDescent="0.25">
      <c r="B3045" s="68"/>
      <c r="C3045" s="50"/>
      <c r="D3045" s="15"/>
    </row>
    <row r="3046" spans="2:4" x14ac:dyDescent="0.25">
      <c r="B3046" s="68"/>
      <c r="C3046" s="50"/>
      <c r="D3046" s="15"/>
    </row>
    <row r="3047" spans="2:4" x14ac:dyDescent="0.25">
      <c r="B3047" s="68"/>
      <c r="C3047" s="50"/>
      <c r="D3047" s="15"/>
    </row>
    <row r="3048" spans="2:4" x14ac:dyDescent="0.25">
      <c r="B3048" s="68"/>
      <c r="C3048" s="50"/>
      <c r="D3048" s="15"/>
    </row>
    <row r="3049" spans="2:4" x14ac:dyDescent="0.25">
      <c r="B3049" s="68"/>
      <c r="C3049" s="50"/>
      <c r="D3049" s="15"/>
    </row>
    <row r="3050" spans="2:4" x14ac:dyDescent="0.25">
      <c r="B3050" s="68"/>
      <c r="C3050" s="50"/>
      <c r="D3050" s="15"/>
    </row>
    <row r="3051" spans="2:4" x14ac:dyDescent="0.25">
      <c r="B3051" s="68"/>
      <c r="C3051" s="50"/>
      <c r="D3051" s="15"/>
    </row>
    <row r="3052" spans="2:4" x14ac:dyDescent="0.25">
      <c r="B3052" s="68"/>
      <c r="C3052" s="50"/>
      <c r="D3052" s="15"/>
    </row>
    <row r="3053" spans="2:4" x14ac:dyDescent="0.25">
      <c r="B3053" s="68"/>
      <c r="C3053" s="50"/>
      <c r="D3053" s="15"/>
    </row>
    <row r="3054" spans="2:4" x14ac:dyDescent="0.25">
      <c r="B3054" s="68"/>
      <c r="C3054" s="50"/>
      <c r="D3054" s="15"/>
    </row>
    <row r="3055" spans="2:4" x14ac:dyDescent="0.25">
      <c r="B3055" s="68"/>
      <c r="C3055" s="50"/>
      <c r="D3055" s="15"/>
    </row>
    <row r="3056" spans="2:4" x14ac:dyDescent="0.25">
      <c r="B3056" s="68"/>
      <c r="C3056" s="50"/>
      <c r="D3056" s="15"/>
    </row>
    <row r="3057" spans="2:4" x14ac:dyDescent="0.25">
      <c r="B3057" s="68"/>
      <c r="C3057" s="50"/>
      <c r="D3057" s="15"/>
    </row>
    <row r="3058" spans="2:4" x14ac:dyDescent="0.25">
      <c r="B3058" s="68"/>
      <c r="C3058" s="50"/>
      <c r="D3058" s="15"/>
    </row>
    <row r="3059" spans="2:4" x14ac:dyDescent="0.25">
      <c r="B3059" s="68"/>
      <c r="C3059" s="50"/>
      <c r="D3059" s="15"/>
    </row>
    <row r="3060" spans="2:4" x14ac:dyDescent="0.25">
      <c r="B3060" s="68"/>
      <c r="C3060" s="50"/>
      <c r="D3060" s="15"/>
    </row>
    <row r="3061" spans="2:4" x14ac:dyDescent="0.25">
      <c r="B3061" s="68"/>
      <c r="C3061" s="50"/>
      <c r="D3061" s="15"/>
    </row>
    <row r="3062" spans="2:4" x14ac:dyDescent="0.25">
      <c r="B3062" s="68"/>
      <c r="C3062" s="50"/>
      <c r="D3062" s="15"/>
    </row>
    <row r="3063" spans="2:4" x14ac:dyDescent="0.25">
      <c r="B3063" s="68"/>
      <c r="C3063" s="50"/>
      <c r="D3063" s="15"/>
    </row>
    <row r="3064" spans="2:4" x14ac:dyDescent="0.25">
      <c r="B3064" s="68"/>
      <c r="C3064" s="50"/>
      <c r="D3064" s="15"/>
    </row>
    <row r="3065" spans="2:4" x14ac:dyDescent="0.25">
      <c r="B3065" s="68"/>
      <c r="C3065" s="50"/>
      <c r="D3065" s="15"/>
    </row>
    <row r="3066" spans="2:4" x14ac:dyDescent="0.25">
      <c r="B3066" s="68"/>
      <c r="C3066" s="50"/>
      <c r="D3066" s="15"/>
    </row>
    <row r="3067" spans="2:4" x14ac:dyDescent="0.25">
      <c r="B3067" s="68"/>
      <c r="C3067" s="50"/>
      <c r="D3067" s="15"/>
    </row>
    <row r="3068" spans="2:4" x14ac:dyDescent="0.25">
      <c r="B3068" s="68"/>
      <c r="C3068" s="50"/>
      <c r="D3068" s="15"/>
    </row>
    <row r="3069" spans="2:4" x14ac:dyDescent="0.25">
      <c r="B3069" s="68"/>
      <c r="C3069" s="50"/>
      <c r="D3069" s="15"/>
    </row>
    <row r="3070" spans="2:4" x14ac:dyDescent="0.25">
      <c r="B3070" s="68"/>
      <c r="C3070" s="50"/>
      <c r="D3070" s="15"/>
    </row>
    <row r="3071" spans="2:4" x14ac:dyDescent="0.25">
      <c r="B3071" s="68"/>
      <c r="C3071" s="50"/>
      <c r="D3071" s="15"/>
    </row>
    <row r="3072" spans="2:4" x14ac:dyDescent="0.25">
      <c r="B3072" s="68"/>
      <c r="C3072" s="50"/>
      <c r="D3072" s="15"/>
    </row>
    <row r="3073" spans="2:4" x14ac:dyDescent="0.25">
      <c r="B3073" s="68"/>
      <c r="C3073" s="50"/>
      <c r="D3073" s="15"/>
    </row>
    <row r="3074" spans="2:4" x14ac:dyDescent="0.25">
      <c r="B3074" s="68"/>
      <c r="C3074" s="50"/>
      <c r="D3074" s="15"/>
    </row>
    <row r="3075" spans="2:4" x14ac:dyDescent="0.25">
      <c r="B3075" s="68"/>
      <c r="C3075" s="50"/>
      <c r="D3075" s="15"/>
    </row>
    <row r="3076" spans="2:4" x14ac:dyDescent="0.25">
      <c r="B3076" s="68"/>
      <c r="C3076" s="50"/>
      <c r="D3076" s="15"/>
    </row>
    <row r="3077" spans="2:4" x14ac:dyDescent="0.25">
      <c r="B3077" s="68"/>
      <c r="C3077" s="50"/>
      <c r="D3077" s="15"/>
    </row>
    <row r="3078" spans="2:4" x14ac:dyDescent="0.25">
      <c r="B3078" s="68"/>
      <c r="C3078" s="50"/>
      <c r="D3078" s="15"/>
    </row>
    <row r="3079" spans="2:4" x14ac:dyDescent="0.25">
      <c r="B3079" s="68"/>
      <c r="C3079" s="50"/>
      <c r="D3079" s="15"/>
    </row>
    <row r="3080" spans="2:4" x14ac:dyDescent="0.25">
      <c r="B3080" s="68"/>
      <c r="C3080" s="50"/>
      <c r="D3080" s="15"/>
    </row>
    <row r="3081" spans="2:4" x14ac:dyDescent="0.25">
      <c r="B3081" s="68"/>
      <c r="C3081" s="50"/>
      <c r="D3081" s="15"/>
    </row>
    <row r="3082" spans="2:4" x14ac:dyDescent="0.25">
      <c r="B3082" s="68"/>
      <c r="C3082" s="50"/>
      <c r="D3082" s="15"/>
    </row>
    <row r="3083" spans="2:4" x14ac:dyDescent="0.25">
      <c r="B3083" s="68"/>
      <c r="C3083" s="50"/>
      <c r="D3083" s="15"/>
    </row>
    <row r="3084" spans="2:4" x14ac:dyDescent="0.25">
      <c r="B3084" s="68"/>
      <c r="C3084" s="50"/>
      <c r="D3084" s="15"/>
    </row>
    <row r="3085" spans="2:4" x14ac:dyDescent="0.25">
      <c r="B3085" s="68"/>
      <c r="C3085" s="50"/>
      <c r="D3085" s="15"/>
    </row>
    <row r="3086" spans="2:4" x14ac:dyDescent="0.25">
      <c r="B3086" s="68"/>
      <c r="C3086" s="50"/>
      <c r="D3086" s="15"/>
    </row>
    <row r="3087" spans="2:4" x14ac:dyDescent="0.25">
      <c r="B3087" s="68"/>
      <c r="C3087" s="50"/>
      <c r="D3087" s="15"/>
    </row>
    <row r="3088" spans="2:4" x14ac:dyDescent="0.25">
      <c r="B3088" s="68"/>
      <c r="C3088" s="50"/>
      <c r="D3088" s="15"/>
    </row>
    <row r="3089" spans="2:4" x14ac:dyDescent="0.25">
      <c r="B3089" s="68"/>
      <c r="C3089" s="50"/>
      <c r="D3089" s="15"/>
    </row>
    <row r="3090" spans="2:4" x14ac:dyDescent="0.25">
      <c r="B3090" s="68"/>
      <c r="C3090" s="50"/>
      <c r="D3090" s="15"/>
    </row>
    <row r="3091" spans="2:4" x14ac:dyDescent="0.25">
      <c r="B3091" s="68"/>
      <c r="C3091" s="50"/>
      <c r="D3091" s="15"/>
    </row>
    <row r="3092" spans="2:4" x14ac:dyDescent="0.25">
      <c r="B3092" s="68"/>
      <c r="C3092" s="50"/>
      <c r="D3092" s="15"/>
    </row>
    <row r="3093" spans="2:4" x14ac:dyDescent="0.25">
      <c r="B3093" s="68"/>
      <c r="C3093" s="50"/>
      <c r="D3093" s="15"/>
    </row>
    <row r="3094" spans="2:4" x14ac:dyDescent="0.25">
      <c r="B3094" s="68"/>
      <c r="C3094" s="50"/>
      <c r="D3094" s="15"/>
    </row>
    <row r="3095" spans="2:4" x14ac:dyDescent="0.25">
      <c r="B3095" s="68"/>
      <c r="C3095" s="50"/>
      <c r="D3095" s="15"/>
    </row>
    <row r="3096" spans="2:4" x14ac:dyDescent="0.25">
      <c r="B3096" s="68"/>
      <c r="C3096" s="50"/>
      <c r="D3096" s="15"/>
    </row>
    <row r="3097" spans="2:4" x14ac:dyDescent="0.25">
      <c r="B3097" s="68"/>
      <c r="C3097" s="50"/>
      <c r="D3097" s="15"/>
    </row>
    <row r="3098" spans="2:4" x14ac:dyDescent="0.25">
      <c r="B3098" s="68"/>
      <c r="C3098" s="50"/>
      <c r="D3098" s="15"/>
    </row>
    <row r="3099" spans="2:4" x14ac:dyDescent="0.25">
      <c r="B3099" s="68"/>
      <c r="C3099" s="50"/>
      <c r="D3099" s="15"/>
    </row>
    <row r="3100" spans="2:4" x14ac:dyDescent="0.25">
      <c r="B3100" s="68"/>
      <c r="C3100" s="50"/>
      <c r="D3100" s="15"/>
    </row>
    <row r="3101" spans="2:4" x14ac:dyDescent="0.25">
      <c r="B3101" s="68"/>
      <c r="C3101" s="50"/>
      <c r="D3101" s="15"/>
    </row>
    <row r="3102" spans="2:4" x14ac:dyDescent="0.25">
      <c r="B3102" s="68"/>
      <c r="C3102" s="50"/>
      <c r="D3102" s="15"/>
    </row>
    <row r="3103" spans="2:4" x14ac:dyDescent="0.25">
      <c r="B3103" s="68"/>
      <c r="C3103" s="50"/>
      <c r="D3103" s="15"/>
    </row>
    <row r="3104" spans="2:4" x14ac:dyDescent="0.25">
      <c r="B3104" s="68"/>
      <c r="C3104" s="50"/>
      <c r="D3104" s="15"/>
    </row>
    <row r="3105" spans="2:4" x14ac:dyDescent="0.25">
      <c r="B3105" s="68"/>
      <c r="C3105" s="50"/>
      <c r="D3105" s="15"/>
    </row>
    <row r="3106" spans="2:4" x14ac:dyDescent="0.25">
      <c r="B3106" s="68"/>
      <c r="C3106" s="50"/>
      <c r="D3106" s="15"/>
    </row>
    <row r="3107" spans="2:4" x14ac:dyDescent="0.25">
      <c r="B3107" s="68"/>
      <c r="C3107" s="50"/>
      <c r="D3107" s="15"/>
    </row>
    <row r="3108" spans="2:4" x14ac:dyDescent="0.25">
      <c r="B3108" s="68"/>
      <c r="C3108" s="50"/>
      <c r="D3108" s="15"/>
    </row>
    <row r="3109" spans="2:4" x14ac:dyDescent="0.25">
      <c r="B3109" s="68"/>
      <c r="C3109" s="50"/>
      <c r="D3109" s="15"/>
    </row>
    <row r="3110" spans="2:4" x14ac:dyDescent="0.25">
      <c r="B3110" s="68"/>
      <c r="C3110" s="50"/>
      <c r="D3110" s="15"/>
    </row>
    <row r="3111" spans="2:4" x14ac:dyDescent="0.25">
      <c r="B3111" s="68"/>
      <c r="C3111" s="50"/>
      <c r="D3111" s="15"/>
    </row>
    <row r="3112" spans="2:4" x14ac:dyDescent="0.25">
      <c r="B3112" s="68"/>
      <c r="C3112" s="50"/>
      <c r="D3112" s="15"/>
    </row>
    <row r="3113" spans="2:4" x14ac:dyDescent="0.25">
      <c r="B3113" s="68"/>
      <c r="C3113" s="50"/>
      <c r="D3113" s="15"/>
    </row>
    <row r="3114" spans="2:4" x14ac:dyDescent="0.25">
      <c r="B3114" s="68"/>
      <c r="C3114" s="50"/>
      <c r="D3114" s="15"/>
    </row>
    <row r="3115" spans="2:4" x14ac:dyDescent="0.25">
      <c r="B3115" s="68"/>
      <c r="C3115" s="50"/>
      <c r="D3115" s="15"/>
    </row>
    <row r="3116" spans="2:4" x14ac:dyDescent="0.25">
      <c r="B3116" s="68"/>
      <c r="C3116" s="50"/>
      <c r="D3116" s="15"/>
    </row>
    <row r="3117" spans="2:4" x14ac:dyDescent="0.25">
      <c r="B3117" s="68"/>
      <c r="C3117" s="50"/>
      <c r="D3117" s="15"/>
    </row>
    <row r="3118" spans="2:4" x14ac:dyDescent="0.25">
      <c r="B3118" s="68"/>
      <c r="C3118" s="50"/>
      <c r="D3118" s="15"/>
    </row>
    <row r="3119" spans="2:4" x14ac:dyDescent="0.25">
      <c r="B3119" s="68"/>
      <c r="C3119" s="50"/>
      <c r="D3119" s="15"/>
    </row>
    <row r="3120" spans="2:4" x14ac:dyDescent="0.25">
      <c r="B3120" s="68"/>
      <c r="C3120" s="50"/>
      <c r="D3120" s="15"/>
    </row>
    <row r="3121" spans="2:4" x14ac:dyDescent="0.25">
      <c r="B3121" s="68"/>
      <c r="C3121" s="50"/>
      <c r="D3121" s="15"/>
    </row>
    <row r="3122" spans="2:4" x14ac:dyDescent="0.25">
      <c r="B3122" s="68"/>
      <c r="C3122" s="50"/>
      <c r="D3122" s="15"/>
    </row>
    <row r="3123" spans="2:4" x14ac:dyDescent="0.25">
      <c r="B3123" s="68"/>
      <c r="C3123" s="50"/>
      <c r="D3123" s="15"/>
    </row>
    <row r="3124" spans="2:4" x14ac:dyDescent="0.25">
      <c r="B3124" s="68"/>
      <c r="C3124" s="50"/>
      <c r="D3124" s="15"/>
    </row>
    <row r="3125" spans="2:4" x14ac:dyDescent="0.25">
      <c r="B3125" s="68"/>
      <c r="C3125" s="50"/>
      <c r="D3125" s="15"/>
    </row>
    <row r="3126" spans="2:4" x14ac:dyDescent="0.25">
      <c r="B3126" s="68"/>
      <c r="C3126" s="50"/>
      <c r="D3126" s="15"/>
    </row>
    <row r="3127" spans="2:4" x14ac:dyDescent="0.25">
      <c r="B3127" s="68"/>
      <c r="C3127" s="50"/>
      <c r="D3127" s="15"/>
    </row>
    <row r="3128" spans="2:4" x14ac:dyDescent="0.25">
      <c r="B3128" s="68"/>
      <c r="C3128" s="50"/>
      <c r="D3128" s="15"/>
    </row>
    <row r="3129" spans="2:4" x14ac:dyDescent="0.25">
      <c r="B3129" s="68"/>
      <c r="C3129" s="50"/>
      <c r="D3129" s="15"/>
    </row>
    <row r="3130" spans="2:4" x14ac:dyDescent="0.25">
      <c r="B3130" s="68"/>
      <c r="C3130" s="50"/>
      <c r="D3130" s="15"/>
    </row>
    <row r="3131" spans="2:4" x14ac:dyDescent="0.25">
      <c r="B3131" s="68"/>
      <c r="C3131" s="50"/>
      <c r="D3131" s="15"/>
    </row>
    <row r="3132" spans="2:4" x14ac:dyDescent="0.25">
      <c r="B3132" s="68"/>
      <c r="C3132" s="50"/>
      <c r="D3132" s="15"/>
    </row>
    <row r="3133" spans="2:4" x14ac:dyDescent="0.25">
      <c r="B3133" s="68"/>
      <c r="C3133" s="50"/>
      <c r="D3133" s="15"/>
    </row>
    <row r="3134" spans="2:4" x14ac:dyDescent="0.25">
      <c r="B3134" s="68"/>
      <c r="C3134" s="50"/>
      <c r="D3134" s="15"/>
    </row>
    <row r="3135" spans="2:4" x14ac:dyDescent="0.25">
      <c r="B3135" s="68"/>
      <c r="C3135" s="50"/>
      <c r="D3135" s="15"/>
    </row>
    <row r="3136" spans="2:4" x14ac:dyDescent="0.25">
      <c r="B3136" s="68"/>
      <c r="C3136" s="50"/>
      <c r="D3136" s="15"/>
    </row>
    <row r="3137" spans="2:4" x14ac:dyDescent="0.25">
      <c r="B3137" s="68"/>
      <c r="C3137" s="50"/>
      <c r="D3137" s="15"/>
    </row>
    <row r="3138" spans="2:4" x14ac:dyDescent="0.25">
      <c r="B3138" s="68"/>
      <c r="C3138" s="50"/>
      <c r="D3138" s="15"/>
    </row>
    <row r="3139" spans="2:4" x14ac:dyDescent="0.25">
      <c r="B3139" s="68"/>
      <c r="C3139" s="50"/>
      <c r="D3139" s="15"/>
    </row>
    <row r="3140" spans="2:4" x14ac:dyDescent="0.25">
      <c r="B3140" s="68"/>
      <c r="C3140" s="50"/>
      <c r="D3140" s="15"/>
    </row>
    <row r="3141" spans="2:4" x14ac:dyDescent="0.25">
      <c r="B3141" s="68"/>
      <c r="C3141" s="50"/>
      <c r="D3141" s="15"/>
    </row>
    <row r="3142" spans="2:4" x14ac:dyDescent="0.25">
      <c r="B3142" s="68"/>
      <c r="C3142" s="50"/>
      <c r="D3142" s="15"/>
    </row>
    <row r="3143" spans="2:4" x14ac:dyDescent="0.25">
      <c r="B3143" s="68"/>
      <c r="C3143" s="50"/>
      <c r="D3143" s="15"/>
    </row>
    <row r="3144" spans="2:4" x14ac:dyDescent="0.25">
      <c r="B3144" s="68"/>
      <c r="C3144" s="50"/>
      <c r="D3144" s="15"/>
    </row>
    <row r="3145" spans="2:4" x14ac:dyDescent="0.25">
      <c r="B3145" s="68"/>
      <c r="C3145" s="50"/>
      <c r="D3145" s="15"/>
    </row>
    <row r="3146" spans="2:4" x14ac:dyDescent="0.25">
      <c r="B3146" s="68"/>
      <c r="C3146" s="50"/>
      <c r="D3146" s="15"/>
    </row>
    <row r="3147" spans="2:4" x14ac:dyDescent="0.25">
      <c r="B3147" s="68"/>
      <c r="C3147" s="50"/>
      <c r="D3147" s="15"/>
    </row>
    <row r="3148" spans="2:4" x14ac:dyDescent="0.25">
      <c r="B3148" s="68"/>
      <c r="C3148" s="50"/>
      <c r="D3148" s="15"/>
    </row>
    <row r="3149" spans="2:4" x14ac:dyDescent="0.25">
      <c r="B3149" s="68"/>
      <c r="C3149" s="50"/>
      <c r="D3149" s="15"/>
    </row>
    <row r="3150" spans="2:4" x14ac:dyDescent="0.25">
      <c r="B3150" s="68"/>
      <c r="C3150" s="50"/>
      <c r="D3150" s="15"/>
    </row>
    <row r="3151" spans="2:4" x14ac:dyDescent="0.25">
      <c r="B3151" s="68"/>
      <c r="C3151" s="50"/>
      <c r="D3151" s="15"/>
    </row>
    <row r="3152" spans="2:4" x14ac:dyDescent="0.25">
      <c r="B3152" s="68"/>
      <c r="C3152" s="50"/>
      <c r="D3152" s="15"/>
    </row>
    <row r="3153" spans="2:4" x14ac:dyDescent="0.25">
      <c r="B3153" s="68"/>
      <c r="C3153" s="50"/>
      <c r="D3153" s="15"/>
    </row>
    <row r="3154" spans="2:4" x14ac:dyDescent="0.25">
      <c r="B3154" s="68"/>
      <c r="C3154" s="50"/>
      <c r="D3154" s="15"/>
    </row>
    <row r="3155" spans="2:4" x14ac:dyDescent="0.25">
      <c r="B3155" s="68"/>
      <c r="C3155" s="50"/>
      <c r="D3155" s="15"/>
    </row>
    <row r="3156" spans="2:4" x14ac:dyDescent="0.25">
      <c r="B3156" s="68"/>
      <c r="C3156" s="50"/>
      <c r="D3156" s="15"/>
    </row>
    <row r="3157" spans="2:4" x14ac:dyDescent="0.25">
      <c r="B3157" s="68"/>
      <c r="C3157" s="50"/>
      <c r="D3157" s="15"/>
    </row>
    <row r="3158" spans="2:4" x14ac:dyDescent="0.25">
      <c r="B3158" s="68"/>
      <c r="C3158" s="50"/>
      <c r="D3158" s="15"/>
    </row>
    <row r="3159" spans="2:4" x14ac:dyDescent="0.25">
      <c r="B3159" s="68"/>
      <c r="C3159" s="50"/>
      <c r="D3159" s="15"/>
    </row>
    <row r="3160" spans="2:4" x14ac:dyDescent="0.25">
      <c r="B3160" s="68"/>
      <c r="C3160" s="50"/>
      <c r="D3160" s="15"/>
    </row>
    <row r="3161" spans="2:4" x14ac:dyDescent="0.25">
      <c r="B3161" s="68"/>
      <c r="C3161" s="50"/>
      <c r="D3161" s="15"/>
    </row>
    <row r="3162" spans="2:4" x14ac:dyDescent="0.25">
      <c r="B3162" s="68"/>
      <c r="C3162" s="50"/>
      <c r="D3162" s="15"/>
    </row>
    <row r="3163" spans="2:4" x14ac:dyDescent="0.25">
      <c r="B3163" s="68"/>
      <c r="C3163" s="50"/>
      <c r="D3163" s="15"/>
    </row>
    <row r="3164" spans="2:4" x14ac:dyDescent="0.25">
      <c r="B3164" s="68"/>
      <c r="C3164" s="50"/>
      <c r="D3164" s="15"/>
    </row>
    <row r="3165" spans="2:4" x14ac:dyDescent="0.25">
      <c r="B3165" s="68"/>
      <c r="C3165" s="50"/>
      <c r="D3165" s="15"/>
    </row>
    <row r="3166" spans="2:4" x14ac:dyDescent="0.25">
      <c r="B3166" s="68"/>
      <c r="C3166" s="50"/>
      <c r="D3166" s="15"/>
    </row>
    <row r="3167" spans="2:4" x14ac:dyDescent="0.25">
      <c r="B3167" s="68"/>
      <c r="C3167" s="50"/>
      <c r="D3167" s="15"/>
    </row>
    <row r="3168" spans="2:4" x14ac:dyDescent="0.25">
      <c r="B3168" s="68"/>
      <c r="C3168" s="50"/>
      <c r="D3168" s="15"/>
    </row>
    <row r="3169" spans="2:4" x14ac:dyDescent="0.25">
      <c r="B3169" s="68"/>
      <c r="C3169" s="50"/>
      <c r="D3169" s="15"/>
    </row>
    <row r="3170" spans="2:4" x14ac:dyDescent="0.25">
      <c r="B3170" s="68"/>
      <c r="C3170" s="50"/>
      <c r="D3170" s="15"/>
    </row>
    <row r="3171" spans="2:4" x14ac:dyDescent="0.25">
      <c r="B3171" s="68"/>
      <c r="C3171" s="50"/>
      <c r="D3171" s="15"/>
    </row>
    <row r="3172" spans="2:4" x14ac:dyDescent="0.25">
      <c r="B3172" s="68"/>
      <c r="C3172" s="50"/>
      <c r="D3172" s="15"/>
    </row>
    <row r="3173" spans="2:4" x14ac:dyDescent="0.25">
      <c r="B3173" s="68"/>
      <c r="C3173" s="50"/>
      <c r="D3173" s="15"/>
    </row>
    <row r="3174" spans="2:4" x14ac:dyDescent="0.25">
      <c r="B3174" s="68"/>
      <c r="C3174" s="50"/>
      <c r="D3174" s="15"/>
    </row>
    <row r="3175" spans="2:4" x14ac:dyDescent="0.25">
      <c r="B3175" s="68"/>
      <c r="C3175" s="50"/>
      <c r="D3175" s="15"/>
    </row>
    <row r="3176" spans="2:4" x14ac:dyDescent="0.25">
      <c r="B3176" s="68"/>
      <c r="C3176" s="50"/>
      <c r="D3176" s="15"/>
    </row>
    <row r="3177" spans="2:4" x14ac:dyDescent="0.25">
      <c r="B3177" s="68"/>
      <c r="C3177" s="50"/>
      <c r="D3177" s="15"/>
    </row>
    <row r="3178" spans="2:4" x14ac:dyDescent="0.25">
      <c r="B3178" s="68"/>
      <c r="C3178" s="50"/>
      <c r="D3178" s="15"/>
    </row>
    <row r="3179" spans="2:4" x14ac:dyDescent="0.25">
      <c r="B3179" s="68"/>
      <c r="C3179" s="50"/>
      <c r="D3179" s="15"/>
    </row>
    <row r="3180" spans="2:4" x14ac:dyDescent="0.25">
      <c r="B3180" s="68"/>
      <c r="C3180" s="50"/>
      <c r="D3180" s="15"/>
    </row>
    <row r="3181" spans="2:4" x14ac:dyDescent="0.25">
      <c r="B3181" s="68"/>
      <c r="C3181" s="50"/>
      <c r="D3181" s="15"/>
    </row>
    <row r="3182" spans="2:4" x14ac:dyDescent="0.25">
      <c r="B3182" s="68"/>
      <c r="C3182" s="50"/>
      <c r="D3182" s="15"/>
    </row>
    <row r="3183" spans="2:4" x14ac:dyDescent="0.25">
      <c r="B3183" s="68"/>
      <c r="C3183" s="50"/>
      <c r="D3183" s="15"/>
    </row>
    <row r="3184" spans="2:4" x14ac:dyDescent="0.25">
      <c r="B3184" s="68"/>
      <c r="C3184" s="50"/>
      <c r="D3184" s="15"/>
    </row>
    <row r="3185" spans="2:4" x14ac:dyDescent="0.25">
      <c r="B3185" s="68"/>
      <c r="C3185" s="50"/>
      <c r="D3185" s="15"/>
    </row>
    <row r="3186" spans="2:4" x14ac:dyDescent="0.25">
      <c r="B3186" s="68"/>
      <c r="C3186" s="50"/>
      <c r="D3186" s="15"/>
    </row>
    <row r="3187" spans="2:4" x14ac:dyDescent="0.25">
      <c r="B3187" s="68"/>
      <c r="C3187" s="50"/>
      <c r="D3187" s="15"/>
    </row>
    <row r="3188" spans="2:4" x14ac:dyDescent="0.25">
      <c r="B3188" s="68"/>
      <c r="C3188" s="50"/>
      <c r="D3188" s="15"/>
    </row>
    <row r="3189" spans="2:4" x14ac:dyDescent="0.25">
      <c r="B3189" s="68"/>
      <c r="C3189" s="50"/>
      <c r="D3189" s="15"/>
    </row>
    <row r="3190" spans="2:4" x14ac:dyDescent="0.25">
      <c r="B3190" s="68"/>
      <c r="C3190" s="50"/>
      <c r="D3190" s="15"/>
    </row>
    <row r="3191" spans="2:4" x14ac:dyDescent="0.25">
      <c r="B3191" s="68"/>
      <c r="C3191" s="50"/>
      <c r="D3191" s="15"/>
    </row>
    <row r="3192" spans="2:4" x14ac:dyDescent="0.25">
      <c r="B3192" s="68"/>
      <c r="C3192" s="50"/>
      <c r="D3192" s="15"/>
    </row>
    <row r="3193" spans="2:4" x14ac:dyDescent="0.25">
      <c r="B3193" s="68"/>
      <c r="C3193" s="50"/>
      <c r="D3193" s="15"/>
    </row>
    <row r="3194" spans="2:4" x14ac:dyDescent="0.25">
      <c r="B3194" s="68"/>
      <c r="C3194" s="50"/>
      <c r="D3194" s="15"/>
    </row>
    <row r="3195" spans="2:4" x14ac:dyDescent="0.25">
      <c r="B3195" s="68"/>
      <c r="C3195" s="50"/>
      <c r="D3195" s="15"/>
    </row>
    <row r="3196" spans="2:4" x14ac:dyDescent="0.25">
      <c r="B3196" s="68"/>
      <c r="C3196" s="50"/>
      <c r="D3196" s="15"/>
    </row>
    <row r="3197" spans="2:4" x14ac:dyDescent="0.25">
      <c r="B3197" s="68"/>
      <c r="C3197" s="50"/>
      <c r="D3197" s="15"/>
    </row>
    <row r="3198" spans="2:4" x14ac:dyDescent="0.25">
      <c r="B3198" s="68"/>
      <c r="C3198" s="50"/>
      <c r="D3198" s="15"/>
    </row>
    <row r="3199" spans="2:4" x14ac:dyDescent="0.25">
      <c r="B3199" s="68"/>
      <c r="C3199" s="50"/>
      <c r="D3199" s="15"/>
    </row>
    <row r="3200" spans="2:4" x14ac:dyDescent="0.25">
      <c r="B3200" s="68"/>
      <c r="C3200" s="50"/>
      <c r="D3200" s="15"/>
    </row>
    <row r="3201" spans="2:4" x14ac:dyDescent="0.25">
      <c r="B3201" s="68"/>
      <c r="C3201" s="50"/>
      <c r="D3201" s="15"/>
    </row>
    <row r="3202" spans="2:4" x14ac:dyDescent="0.25">
      <c r="B3202" s="68"/>
      <c r="C3202" s="50"/>
      <c r="D3202" s="15"/>
    </row>
    <row r="3203" spans="2:4" x14ac:dyDescent="0.25">
      <c r="B3203" s="68"/>
      <c r="C3203" s="50"/>
      <c r="D3203" s="15"/>
    </row>
    <row r="3204" spans="2:4" x14ac:dyDescent="0.25">
      <c r="B3204" s="68"/>
      <c r="C3204" s="50"/>
      <c r="D3204" s="15"/>
    </row>
    <row r="3205" spans="2:4" x14ac:dyDescent="0.25">
      <c r="B3205" s="68"/>
      <c r="C3205" s="50"/>
      <c r="D3205" s="15"/>
    </row>
    <row r="3206" spans="2:4" x14ac:dyDescent="0.25">
      <c r="B3206" s="68"/>
      <c r="C3206" s="50"/>
      <c r="D3206" s="15"/>
    </row>
    <row r="3207" spans="2:4" x14ac:dyDescent="0.25">
      <c r="B3207" s="68"/>
      <c r="C3207" s="50"/>
      <c r="D3207" s="15"/>
    </row>
    <row r="3208" spans="2:4" x14ac:dyDescent="0.25">
      <c r="B3208" s="68"/>
      <c r="C3208" s="50"/>
      <c r="D3208" s="15"/>
    </row>
    <row r="3209" spans="2:4" x14ac:dyDescent="0.25">
      <c r="B3209" s="68"/>
      <c r="C3209" s="50"/>
      <c r="D3209" s="15"/>
    </row>
    <row r="3210" spans="2:4" x14ac:dyDescent="0.25">
      <c r="B3210" s="68"/>
      <c r="C3210" s="50"/>
      <c r="D3210" s="15"/>
    </row>
    <row r="3211" spans="2:4" x14ac:dyDescent="0.25">
      <c r="B3211" s="68"/>
      <c r="C3211" s="50"/>
      <c r="D3211" s="15"/>
    </row>
    <row r="3212" spans="2:4" x14ac:dyDescent="0.25">
      <c r="B3212" s="68"/>
      <c r="C3212" s="50"/>
      <c r="D3212" s="15"/>
    </row>
    <row r="3213" spans="2:4" x14ac:dyDescent="0.25">
      <c r="B3213" s="68"/>
      <c r="C3213" s="50"/>
      <c r="D3213" s="15"/>
    </row>
    <row r="3214" spans="2:4" x14ac:dyDescent="0.25">
      <c r="B3214" s="68"/>
      <c r="C3214" s="50"/>
      <c r="D3214" s="15"/>
    </row>
    <row r="3215" spans="2:4" x14ac:dyDescent="0.25">
      <c r="B3215" s="68"/>
      <c r="C3215" s="50"/>
      <c r="D3215" s="15"/>
    </row>
    <row r="3216" spans="2:4" x14ac:dyDescent="0.25">
      <c r="B3216" s="68"/>
      <c r="C3216" s="50"/>
      <c r="D3216" s="15"/>
    </row>
    <row r="3217" spans="2:4" x14ac:dyDescent="0.25">
      <c r="B3217" s="68"/>
      <c r="C3217" s="50"/>
      <c r="D3217" s="15"/>
    </row>
    <row r="3218" spans="2:4" x14ac:dyDescent="0.25">
      <c r="B3218" s="68"/>
      <c r="C3218" s="50"/>
      <c r="D3218" s="15"/>
    </row>
    <row r="3219" spans="2:4" x14ac:dyDescent="0.25">
      <c r="B3219" s="68"/>
      <c r="C3219" s="50"/>
      <c r="D3219" s="15"/>
    </row>
    <row r="3220" spans="2:4" x14ac:dyDescent="0.25">
      <c r="B3220" s="68"/>
      <c r="C3220" s="50"/>
      <c r="D3220" s="15"/>
    </row>
    <row r="3221" spans="2:4" x14ac:dyDescent="0.25">
      <c r="B3221" s="68"/>
      <c r="C3221" s="50"/>
      <c r="D3221" s="15"/>
    </row>
    <row r="3222" spans="2:4" x14ac:dyDescent="0.25">
      <c r="B3222" s="68"/>
      <c r="C3222" s="50"/>
      <c r="D3222" s="15"/>
    </row>
    <row r="3223" spans="2:4" x14ac:dyDescent="0.25">
      <c r="B3223" s="68"/>
      <c r="C3223" s="50"/>
      <c r="D3223" s="15"/>
    </row>
    <row r="3224" spans="2:4" x14ac:dyDescent="0.25">
      <c r="B3224" s="68"/>
      <c r="C3224" s="50"/>
      <c r="D3224" s="15"/>
    </row>
    <row r="3225" spans="2:4" x14ac:dyDescent="0.25">
      <c r="B3225" s="68"/>
      <c r="C3225" s="50"/>
      <c r="D3225" s="15"/>
    </row>
    <row r="3226" spans="2:4" x14ac:dyDescent="0.25">
      <c r="B3226" s="68"/>
      <c r="C3226" s="50"/>
      <c r="D3226" s="15"/>
    </row>
    <row r="3227" spans="2:4" x14ac:dyDescent="0.25">
      <c r="B3227" s="68"/>
      <c r="C3227" s="50"/>
      <c r="D3227" s="15"/>
    </row>
    <row r="3228" spans="2:4" x14ac:dyDescent="0.25">
      <c r="B3228" s="68"/>
      <c r="C3228" s="50"/>
      <c r="D3228" s="15"/>
    </row>
    <row r="3229" spans="2:4" x14ac:dyDescent="0.25">
      <c r="B3229" s="68"/>
      <c r="C3229" s="50"/>
      <c r="D3229" s="15"/>
    </row>
    <row r="3230" spans="2:4" x14ac:dyDescent="0.25">
      <c r="B3230" s="68"/>
      <c r="C3230" s="50"/>
      <c r="D3230" s="15"/>
    </row>
    <row r="3231" spans="2:4" x14ac:dyDescent="0.25">
      <c r="B3231" s="68"/>
      <c r="C3231" s="50"/>
      <c r="D3231" s="15"/>
    </row>
    <row r="3232" spans="2:4" x14ac:dyDescent="0.25">
      <c r="B3232" s="68"/>
      <c r="C3232" s="50"/>
      <c r="D3232" s="15"/>
    </row>
    <row r="3233" spans="2:4" x14ac:dyDescent="0.25">
      <c r="B3233" s="68"/>
      <c r="C3233" s="50"/>
      <c r="D3233" s="15"/>
    </row>
    <row r="3234" spans="2:4" x14ac:dyDescent="0.25">
      <c r="B3234" s="68"/>
      <c r="C3234" s="50"/>
      <c r="D3234" s="15"/>
    </row>
    <row r="3235" spans="2:4" x14ac:dyDescent="0.25">
      <c r="B3235" s="68"/>
      <c r="C3235" s="50"/>
      <c r="D3235" s="15"/>
    </row>
    <row r="3236" spans="2:4" x14ac:dyDescent="0.25">
      <c r="B3236" s="68"/>
      <c r="C3236" s="50"/>
      <c r="D3236" s="15"/>
    </row>
    <row r="3237" spans="2:4" x14ac:dyDescent="0.25">
      <c r="B3237" s="68"/>
      <c r="C3237" s="50"/>
      <c r="D3237" s="15"/>
    </row>
    <row r="3238" spans="2:4" x14ac:dyDescent="0.25">
      <c r="B3238" s="68"/>
      <c r="C3238" s="50"/>
      <c r="D3238" s="15"/>
    </row>
    <row r="3239" spans="2:4" x14ac:dyDescent="0.25">
      <c r="B3239" s="68"/>
      <c r="C3239" s="50"/>
      <c r="D3239" s="15"/>
    </row>
    <row r="3240" spans="2:4" x14ac:dyDescent="0.25">
      <c r="B3240" s="68"/>
      <c r="C3240" s="50"/>
      <c r="D3240" s="15"/>
    </row>
    <row r="3241" spans="2:4" x14ac:dyDescent="0.25">
      <c r="B3241" s="68"/>
      <c r="C3241" s="50"/>
      <c r="D3241" s="15"/>
    </row>
    <row r="3242" spans="2:4" x14ac:dyDescent="0.25">
      <c r="B3242" s="68"/>
      <c r="C3242" s="50"/>
      <c r="D3242" s="15"/>
    </row>
    <row r="3243" spans="2:4" x14ac:dyDescent="0.25">
      <c r="B3243" s="68"/>
      <c r="C3243" s="50"/>
      <c r="D3243" s="15"/>
    </row>
    <row r="3244" spans="2:4" x14ac:dyDescent="0.25">
      <c r="B3244" s="68"/>
      <c r="C3244" s="50"/>
      <c r="D3244" s="15"/>
    </row>
    <row r="3245" spans="2:4" x14ac:dyDescent="0.25">
      <c r="B3245" s="68"/>
      <c r="C3245" s="50"/>
      <c r="D3245" s="15"/>
    </row>
    <row r="3246" spans="2:4" x14ac:dyDescent="0.25">
      <c r="B3246" s="68"/>
      <c r="C3246" s="50"/>
      <c r="D3246" s="15"/>
    </row>
    <row r="3247" spans="2:4" x14ac:dyDescent="0.25">
      <c r="B3247" s="68"/>
      <c r="C3247" s="50"/>
      <c r="D3247" s="15"/>
    </row>
    <row r="3248" spans="2:4" x14ac:dyDescent="0.25">
      <c r="B3248" s="68"/>
      <c r="C3248" s="50"/>
      <c r="D3248" s="15"/>
    </row>
    <row r="3249" spans="2:4" x14ac:dyDescent="0.25">
      <c r="B3249" s="68"/>
      <c r="C3249" s="50"/>
      <c r="D3249" s="15"/>
    </row>
    <row r="3250" spans="2:4" x14ac:dyDescent="0.25">
      <c r="B3250" s="68"/>
      <c r="C3250" s="50"/>
      <c r="D3250" s="15"/>
    </row>
    <row r="3251" spans="2:4" x14ac:dyDescent="0.25">
      <c r="B3251" s="68"/>
      <c r="C3251" s="50"/>
      <c r="D3251" s="15"/>
    </row>
    <row r="3252" spans="2:4" x14ac:dyDescent="0.25">
      <c r="B3252" s="68"/>
      <c r="C3252" s="50"/>
      <c r="D3252" s="15"/>
    </row>
    <row r="3253" spans="2:4" x14ac:dyDescent="0.25">
      <c r="B3253" s="68"/>
      <c r="C3253" s="50"/>
      <c r="D3253" s="15"/>
    </row>
    <row r="3254" spans="2:4" x14ac:dyDescent="0.25">
      <c r="B3254" s="68"/>
      <c r="C3254" s="50"/>
      <c r="D3254" s="15"/>
    </row>
    <row r="3255" spans="2:4" x14ac:dyDescent="0.25">
      <c r="B3255" s="68"/>
      <c r="C3255" s="50"/>
      <c r="D3255" s="15"/>
    </row>
    <row r="3256" spans="2:4" x14ac:dyDescent="0.25">
      <c r="B3256" s="68"/>
      <c r="C3256" s="50"/>
      <c r="D3256" s="15"/>
    </row>
    <row r="3257" spans="2:4" x14ac:dyDescent="0.25">
      <c r="B3257" s="68"/>
      <c r="C3257" s="50"/>
      <c r="D3257" s="15"/>
    </row>
    <row r="3258" spans="2:4" x14ac:dyDescent="0.25">
      <c r="B3258" s="68"/>
      <c r="C3258" s="50"/>
      <c r="D3258" s="15"/>
    </row>
    <row r="3259" spans="2:4" x14ac:dyDescent="0.25">
      <c r="B3259" s="68"/>
      <c r="C3259" s="50"/>
      <c r="D3259" s="15"/>
    </row>
    <row r="3260" spans="2:4" x14ac:dyDescent="0.25">
      <c r="B3260" s="68"/>
      <c r="C3260" s="50"/>
      <c r="D3260" s="15"/>
    </row>
    <row r="3261" spans="2:4" x14ac:dyDescent="0.25">
      <c r="B3261" s="68"/>
      <c r="C3261" s="50"/>
      <c r="D3261" s="15"/>
    </row>
    <row r="3262" spans="2:4" x14ac:dyDescent="0.25">
      <c r="B3262" s="68"/>
      <c r="C3262" s="50"/>
      <c r="D3262" s="15"/>
    </row>
    <row r="3263" spans="2:4" x14ac:dyDescent="0.25">
      <c r="B3263" s="68"/>
      <c r="C3263" s="50"/>
      <c r="D3263" s="15"/>
    </row>
    <row r="3264" spans="2:4" x14ac:dyDescent="0.25">
      <c r="B3264" s="68"/>
      <c r="C3264" s="50"/>
      <c r="D3264" s="15"/>
    </row>
    <row r="3265" spans="2:4" x14ac:dyDescent="0.25">
      <c r="B3265" s="68"/>
      <c r="C3265" s="50"/>
      <c r="D3265" s="15"/>
    </row>
    <row r="3266" spans="2:4" x14ac:dyDescent="0.25">
      <c r="B3266" s="68"/>
      <c r="C3266" s="50"/>
      <c r="D3266" s="15"/>
    </row>
    <row r="3267" spans="2:4" x14ac:dyDescent="0.25">
      <c r="B3267" s="68"/>
      <c r="C3267" s="50"/>
      <c r="D3267" s="15"/>
    </row>
    <row r="3268" spans="2:4" x14ac:dyDescent="0.25">
      <c r="B3268" s="68"/>
      <c r="C3268" s="50"/>
      <c r="D3268" s="15"/>
    </row>
    <row r="3269" spans="2:4" x14ac:dyDescent="0.25">
      <c r="B3269" s="68"/>
      <c r="C3269" s="50"/>
      <c r="D3269" s="15"/>
    </row>
    <row r="3270" spans="2:4" x14ac:dyDescent="0.25">
      <c r="B3270" s="68"/>
      <c r="C3270" s="50"/>
      <c r="D3270" s="15"/>
    </row>
    <row r="3271" spans="2:4" x14ac:dyDescent="0.25">
      <c r="B3271" s="68"/>
      <c r="C3271" s="50"/>
      <c r="D3271" s="15"/>
    </row>
    <row r="3272" spans="2:4" x14ac:dyDescent="0.25">
      <c r="B3272" s="68"/>
      <c r="C3272" s="50"/>
      <c r="D3272" s="15"/>
    </row>
    <row r="3273" spans="2:4" x14ac:dyDescent="0.25">
      <c r="B3273" s="68"/>
      <c r="C3273" s="50"/>
      <c r="D3273" s="15"/>
    </row>
    <row r="3274" spans="2:4" x14ac:dyDescent="0.25">
      <c r="B3274" s="68"/>
      <c r="C3274" s="50"/>
      <c r="D3274" s="15"/>
    </row>
    <row r="3275" spans="2:4" x14ac:dyDescent="0.25">
      <c r="B3275" s="68"/>
      <c r="C3275" s="50"/>
      <c r="D3275" s="15"/>
    </row>
    <row r="3276" spans="2:4" x14ac:dyDescent="0.25">
      <c r="B3276" s="68"/>
      <c r="C3276" s="50"/>
      <c r="D3276" s="15"/>
    </row>
    <row r="3277" spans="2:4" x14ac:dyDescent="0.25">
      <c r="B3277" s="68"/>
      <c r="C3277" s="50"/>
      <c r="D3277" s="15"/>
    </row>
    <row r="3278" spans="2:4" x14ac:dyDescent="0.25">
      <c r="B3278" s="68"/>
      <c r="C3278" s="50"/>
      <c r="D3278" s="15"/>
    </row>
    <row r="3279" spans="2:4" x14ac:dyDescent="0.25">
      <c r="B3279" s="68"/>
      <c r="C3279" s="50"/>
      <c r="D3279" s="15"/>
    </row>
    <row r="3280" spans="2:4" x14ac:dyDescent="0.25">
      <c r="B3280" s="68"/>
      <c r="C3280" s="50"/>
      <c r="D3280" s="15"/>
    </row>
    <row r="3281" spans="2:4" x14ac:dyDescent="0.25">
      <c r="B3281" s="68"/>
      <c r="C3281" s="50"/>
      <c r="D3281" s="15"/>
    </row>
    <row r="3282" spans="2:4" x14ac:dyDescent="0.25">
      <c r="B3282" s="68"/>
      <c r="C3282" s="50"/>
      <c r="D3282" s="15"/>
    </row>
    <row r="3283" spans="2:4" x14ac:dyDescent="0.25">
      <c r="B3283" s="68"/>
      <c r="C3283" s="50"/>
      <c r="D3283" s="15"/>
    </row>
    <row r="3284" spans="2:4" x14ac:dyDescent="0.25">
      <c r="B3284" s="68"/>
      <c r="C3284" s="50"/>
      <c r="D3284" s="15"/>
    </row>
    <row r="3285" spans="2:4" x14ac:dyDescent="0.25">
      <c r="B3285" s="68"/>
      <c r="C3285" s="50"/>
      <c r="D3285" s="15"/>
    </row>
    <row r="3286" spans="2:4" x14ac:dyDescent="0.25">
      <c r="B3286" s="68"/>
      <c r="C3286" s="50"/>
      <c r="D3286" s="15"/>
    </row>
    <row r="3287" spans="2:4" x14ac:dyDescent="0.25">
      <c r="B3287" s="68"/>
      <c r="C3287" s="50"/>
      <c r="D3287" s="15"/>
    </row>
    <row r="3288" spans="2:4" x14ac:dyDescent="0.25">
      <c r="B3288" s="68"/>
      <c r="C3288" s="50"/>
      <c r="D3288" s="15"/>
    </row>
    <row r="3289" spans="2:4" x14ac:dyDescent="0.25">
      <c r="B3289" s="68"/>
      <c r="C3289" s="50"/>
      <c r="D3289" s="15"/>
    </row>
    <row r="3290" spans="2:4" x14ac:dyDescent="0.25">
      <c r="B3290" s="68"/>
      <c r="C3290" s="50"/>
      <c r="D3290" s="15"/>
    </row>
    <row r="3291" spans="2:4" x14ac:dyDescent="0.25">
      <c r="B3291" s="68"/>
      <c r="C3291" s="50"/>
      <c r="D3291" s="15"/>
    </row>
    <row r="3292" spans="2:4" x14ac:dyDescent="0.25">
      <c r="B3292" s="68"/>
      <c r="C3292" s="50"/>
      <c r="D3292" s="15"/>
    </row>
    <row r="3293" spans="2:4" x14ac:dyDescent="0.25">
      <c r="B3293" s="68"/>
      <c r="C3293" s="50"/>
      <c r="D3293" s="15"/>
    </row>
    <row r="3294" spans="2:4" x14ac:dyDescent="0.25">
      <c r="B3294" s="68"/>
      <c r="C3294" s="50"/>
      <c r="D3294" s="15"/>
    </row>
    <row r="3295" spans="2:4" x14ac:dyDescent="0.25">
      <c r="B3295" s="68"/>
      <c r="C3295" s="50"/>
      <c r="D3295" s="15"/>
    </row>
    <row r="3296" spans="2:4" x14ac:dyDescent="0.25">
      <c r="B3296" s="68"/>
      <c r="C3296" s="50"/>
      <c r="D3296" s="15"/>
    </row>
    <row r="3297" spans="2:4" x14ac:dyDescent="0.25">
      <c r="B3297" s="68"/>
      <c r="C3297" s="50"/>
      <c r="D3297" s="15"/>
    </row>
    <row r="3298" spans="2:4" x14ac:dyDescent="0.25">
      <c r="B3298" s="68"/>
      <c r="C3298" s="50"/>
      <c r="D3298" s="15"/>
    </row>
    <row r="3299" spans="2:4" x14ac:dyDescent="0.25">
      <c r="B3299" s="68"/>
      <c r="C3299" s="50"/>
      <c r="D3299" s="15"/>
    </row>
    <row r="3300" spans="2:4" x14ac:dyDescent="0.25">
      <c r="B3300" s="68"/>
      <c r="C3300" s="50"/>
      <c r="D3300" s="15"/>
    </row>
    <row r="3301" spans="2:4" x14ac:dyDescent="0.25">
      <c r="B3301" s="68"/>
      <c r="C3301" s="50"/>
      <c r="D3301" s="15"/>
    </row>
    <row r="3302" spans="2:4" x14ac:dyDescent="0.25">
      <c r="B3302" s="68"/>
      <c r="C3302" s="50"/>
      <c r="D3302" s="15"/>
    </row>
    <row r="3303" spans="2:4" x14ac:dyDescent="0.25">
      <c r="B3303" s="68"/>
      <c r="C3303" s="50"/>
      <c r="D3303" s="15"/>
    </row>
    <row r="3304" spans="2:4" x14ac:dyDescent="0.25">
      <c r="B3304" s="68"/>
      <c r="C3304" s="50"/>
      <c r="D3304" s="15"/>
    </row>
    <row r="3305" spans="2:4" x14ac:dyDescent="0.25">
      <c r="B3305" s="68"/>
      <c r="C3305" s="50"/>
      <c r="D3305" s="15"/>
    </row>
    <row r="3306" spans="2:4" x14ac:dyDescent="0.25">
      <c r="B3306" s="68"/>
      <c r="C3306" s="50"/>
      <c r="D3306" s="15"/>
    </row>
    <row r="3307" spans="2:4" x14ac:dyDescent="0.25">
      <c r="B3307" s="68"/>
      <c r="C3307" s="50"/>
      <c r="D3307" s="15"/>
    </row>
    <row r="3308" spans="2:4" x14ac:dyDescent="0.25">
      <c r="B3308" s="68"/>
      <c r="C3308" s="50"/>
      <c r="D3308" s="15"/>
    </row>
    <row r="3309" spans="2:4" x14ac:dyDescent="0.25">
      <c r="B3309" s="68"/>
      <c r="C3309" s="50"/>
      <c r="D3309" s="15"/>
    </row>
    <row r="3310" spans="2:4" x14ac:dyDescent="0.25">
      <c r="B3310" s="68"/>
      <c r="C3310" s="50"/>
      <c r="D3310" s="15"/>
    </row>
    <row r="3311" spans="2:4" x14ac:dyDescent="0.25">
      <c r="B3311" s="68"/>
      <c r="C3311" s="50"/>
      <c r="D3311" s="15"/>
    </row>
    <row r="3312" spans="2:4" x14ac:dyDescent="0.25">
      <c r="B3312" s="68"/>
      <c r="C3312" s="50"/>
      <c r="D3312" s="15"/>
    </row>
    <row r="3313" spans="2:4" x14ac:dyDescent="0.25">
      <c r="B3313" s="68"/>
      <c r="C3313" s="50"/>
      <c r="D3313" s="15"/>
    </row>
    <row r="3314" spans="2:4" x14ac:dyDescent="0.25">
      <c r="B3314" s="68"/>
      <c r="C3314" s="50"/>
      <c r="D3314" s="15"/>
    </row>
    <row r="3315" spans="2:4" x14ac:dyDescent="0.25">
      <c r="B3315" s="68"/>
      <c r="C3315" s="50"/>
      <c r="D3315" s="15"/>
    </row>
    <row r="3316" spans="2:4" x14ac:dyDescent="0.25">
      <c r="B3316" s="68"/>
      <c r="C3316" s="50"/>
      <c r="D3316" s="15"/>
    </row>
    <row r="3317" spans="2:4" x14ac:dyDescent="0.25">
      <c r="B3317" s="68"/>
      <c r="C3317" s="50"/>
      <c r="D3317" s="15"/>
    </row>
    <row r="3318" spans="2:4" x14ac:dyDescent="0.25">
      <c r="B3318" s="68"/>
      <c r="C3318" s="50"/>
      <c r="D3318" s="15"/>
    </row>
    <row r="3319" spans="2:4" x14ac:dyDescent="0.25">
      <c r="B3319" s="68"/>
      <c r="C3319" s="50"/>
      <c r="D3319" s="15"/>
    </row>
    <row r="3320" spans="2:4" x14ac:dyDescent="0.25">
      <c r="B3320" s="68"/>
      <c r="C3320" s="50"/>
      <c r="D3320" s="15"/>
    </row>
    <row r="3321" spans="2:4" x14ac:dyDescent="0.25">
      <c r="B3321" s="68"/>
      <c r="C3321" s="50"/>
      <c r="D3321" s="15"/>
    </row>
    <row r="3322" spans="2:4" x14ac:dyDescent="0.25">
      <c r="B3322" s="68"/>
      <c r="C3322" s="50"/>
      <c r="D3322" s="15"/>
    </row>
    <row r="3323" spans="2:4" x14ac:dyDescent="0.25">
      <c r="B3323" s="68"/>
      <c r="C3323" s="50"/>
      <c r="D3323" s="15"/>
    </row>
    <row r="3324" spans="2:4" x14ac:dyDescent="0.25">
      <c r="B3324" s="68"/>
      <c r="C3324" s="50"/>
      <c r="D3324" s="15"/>
    </row>
    <row r="3325" spans="2:4" x14ac:dyDescent="0.25">
      <c r="B3325" s="68"/>
      <c r="C3325" s="50"/>
      <c r="D3325" s="15"/>
    </row>
    <row r="3326" spans="2:4" x14ac:dyDescent="0.25">
      <c r="B3326" s="68"/>
      <c r="C3326" s="50"/>
      <c r="D3326" s="15"/>
    </row>
    <row r="3327" spans="2:4" x14ac:dyDescent="0.25">
      <c r="B3327" s="68"/>
      <c r="C3327" s="50"/>
      <c r="D3327" s="15"/>
    </row>
    <row r="3328" spans="2:4" x14ac:dyDescent="0.25">
      <c r="B3328" s="68"/>
      <c r="C3328" s="50"/>
      <c r="D3328" s="15"/>
    </row>
    <row r="3329" spans="2:4" x14ac:dyDescent="0.25">
      <c r="B3329" s="68"/>
      <c r="C3329" s="50"/>
      <c r="D3329" s="15"/>
    </row>
    <row r="3330" spans="2:4" x14ac:dyDescent="0.25">
      <c r="B3330" s="68"/>
      <c r="C3330" s="50"/>
      <c r="D3330" s="15"/>
    </row>
    <row r="3331" spans="2:4" x14ac:dyDescent="0.25">
      <c r="B3331" s="68"/>
      <c r="C3331" s="50"/>
      <c r="D3331" s="15"/>
    </row>
    <row r="3332" spans="2:4" x14ac:dyDescent="0.25">
      <c r="B3332" s="68"/>
      <c r="C3332" s="50"/>
      <c r="D3332" s="15"/>
    </row>
    <row r="3333" spans="2:4" x14ac:dyDescent="0.25">
      <c r="B3333" s="68"/>
      <c r="C3333" s="50"/>
      <c r="D3333" s="15"/>
    </row>
    <row r="3334" spans="2:4" x14ac:dyDescent="0.25">
      <c r="B3334" s="68"/>
      <c r="C3334" s="50"/>
      <c r="D3334" s="15"/>
    </row>
    <row r="3335" spans="2:4" x14ac:dyDescent="0.25">
      <c r="B3335" s="68"/>
      <c r="C3335" s="50"/>
      <c r="D3335" s="15"/>
    </row>
    <row r="3336" spans="2:4" x14ac:dyDescent="0.25">
      <c r="B3336" s="68"/>
      <c r="C3336" s="50"/>
      <c r="D3336" s="15"/>
    </row>
    <row r="3337" spans="2:4" x14ac:dyDescent="0.25">
      <c r="B3337" s="68"/>
      <c r="C3337" s="50"/>
      <c r="D3337" s="15"/>
    </row>
    <row r="3338" spans="2:4" x14ac:dyDescent="0.25">
      <c r="B3338" s="68"/>
      <c r="C3338" s="50"/>
      <c r="D3338" s="15"/>
    </row>
    <row r="3339" spans="2:4" x14ac:dyDescent="0.25">
      <c r="B3339" s="68"/>
      <c r="C3339" s="50"/>
      <c r="D3339" s="15"/>
    </row>
    <row r="3340" spans="2:4" x14ac:dyDescent="0.25">
      <c r="B3340" s="68"/>
      <c r="C3340" s="50"/>
      <c r="D3340" s="15"/>
    </row>
    <row r="3341" spans="2:4" x14ac:dyDescent="0.25">
      <c r="B3341" s="68"/>
      <c r="C3341" s="50"/>
      <c r="D3341" s="15"/>
    </row>
    <row r="3342" spans="2:4" x14ac:dyDescent="0.25">
      <c r="B3342" s="68"/>
      <c r="C3342" s="50"/>
      <c r="D3342" s="15"/>
    </row>
    <row r="3343" spans="2:4" x14ac:dyDescent="0.25">
      <c r="B3343" s="68"/>
      <c r="C3343" s="50"/>
      <c r="D3343" s="15"/>
    </row>
    <row r="3344" spans="2:4" x14ac:dyDescent="0.25">
      <c r="B3344" s="68"/>
      <c r="C3344" s="50"/>
      <c r="D3344" s="15"/>
    </row>
    <row r="3345" spans="2:4" x14ac:dyDescent="0.25">
      <c r="B3345" s="68"/>
      <c r="C3345" s="50"/>
      <c r="D3345" s="15"/>
    </row>
    <row r="3346" spans="2:4" x14ac:dyDescent="0.25">
      <c r="B3346" s="68"/>
      <c r="C3346" s="50"/>
      <c r="D3346" s="15"/>
    </row>
    <row r="3347" spans="2:4" x14ac:dyDescent="0.25">
      <c r="B3347" s="68"/>
      <c r="C3347" s="50"/>
      <c r="D3347" s="15"/>
    </row>
    <row r="3348" spans="2:4" x14ac:dyDescent="0.25">
      <c r="B3348" s="68"/>
      <c r="C3348" s="50"/>
      <c r="D3348" s="15"/>
    </row>
    <row r="3349" spans="2:4" x14ac:dyDescent="0.25">
      <c r="B3349" s="68"/>
      <c r="C3349" s="50"/>
      <c r="D3349" s="15"/>
    </row>
    <row r="3350" spans="2:4" x14ac:dyDescent="0.25">
      <c r="B3350" s="68"/>
      <c r="C3350" s="50"/>
      <c r="D3350" s="15"/>
    </row>
    <row r="3351" spans="2:4" x14ac:dyDescent="0.25">
      <c r="B3351" s="68"/>
      <c r="C3351" s="50"/>
      <c r="D3351" s="15"/>
    </row>
    <row r="3352" spans="2:4" x14ac:dyDescent="0.25">
      <c r="B3352" s="68"/>
      <c r="C3352" s="50"/>
      <c r="D3352" s="15"/>
    </row>
    <row r="3353" spans="2:4" x14ac:dyDescent="0.25">
      <c r="B3353" s="68"/>
      <c r="C3353" s="50"/>
      <c r="D3353" s="15"/>
    </row>
    <row r="3354" spans="2:4" x14ac:dyDescent="0.25">
      <c r="B3354" s="68"/>
      <c r="C3354" s="50"/>
      <c r="D3354" s="15"/>
    </row>
    <row r="3355" spans="2:4" x14ac:dyDescent="0.25">
      <c r="B3355" s="68"/>
      <c r="C3355" s="50"/>
      <c r="D3355" s="15"/>
    </row>
    <row r="3356" spans="2:4" x14ac:dyDescent="0.25">
      <c r="B3356" s="68"/>
      <c r="C3356" s="50"/>
      <c r="D3356" s="15"/>
    </row>
    <row r="3357" spans="2:4" x14ac:dyDescent="0.25">
      <c r="B3357" s="68"/>
      <c r="C3357" s="50"/>
      <c r="D3357" s="15"/>
    </row>
    <row r="3358" spans="2:4" x14ac:dyDescent="0.25">
      <c r="B3358" s="68"/>
      <c r="C3358" s="50"/>
      <c r="D3358" s="15"/>
    </row>
    <row r="3359" spans="2:4" x14ac:dyDescent="0.25">
      <c r="B3359" s="68"/>
      <c r="C3359" s="50"/>
      <c r="D3359" s="15"/>
    </row>
    <row r="3360" spans="2:4" x14ac:dyDescent="0.25">
      <c r="B3360" s="68"/>
      <c r="C3360" s="50"/>
      <c r="D3360" s="15"/>
    </row>
    <row r="3361" spans="2:4" x14ac:dyDescent="0.25">
      <c r="B3361" s="68"/>
      <c r="C3361" s="50"/>
      <c r="D3361" s="15"/>
    </row>
    <row r="3362" spans="2:4" x14ac:dyDescent="0.25">
      <c r="B3362" s="68"/>
      <c r="C3362" s="50"/>
      <c r="D3362" s="15"/>
    </row>
    <row r="3363" spans="2:4" x14ac:dyDescent="0.25">
      <c r="B3363" s="68"/>
      <c r="C3363" s="50"/>
      <c r="D3363" s="15"/>
    </row>
    <row r="3364" spans="2:4" x14ac:dyDescent="0.25">
      <c r="B3364" s="68"/>
      <c r="C3364" s="50"/>
      <c r="D3364" s="15"/>
    </row>
    <row r="3365" spans="2:4" x14ac:dyDescent="0.25">
      <c r="B3365" s="68"/>
      <c r="C3365" s="50"/>
      <c r="D3365" s="15"/>
    </row>
    <row r="3366" spans="2:4" x14ac:dyDescent="0.25">
      <c r="B3366" s="68"/>
      <c r="C3366" s="50"/>
      <c r="D3366" s="15"/>
    </row>
    <row r="3367" spans="2:4" x14ac:dyDescent="0.25">
      <c r="B3367" s="68"/>
      <c r="C3367" s="50"/>
      <c r="D3367" s="15"/>
    </row>
    <row r="3368" spans="2:4" x14ac:dyDescent="0.25">
      <c r="B3368" s="68"/>
      <c r="C3368" s="50"/>
      <c r="D3368" s="15"/>
    </row>
    <row r="3369" spans="2:4" x14ac:dyDescent="0.25">
      <c r="B3369" s="68"/>
      <c r="C3369" s="50"/>
      <c r="D3369" s="15"/>
    </row>
    <row r="3370" spans="2:4" x14ac:dyDescent="0.25">
      <c r="B3370" s="68"/>
      <c r="C3370" s="50"/>
      <c r="D3370" s="15"/>
    </row>
    <row r="3371" spans="2:4" x14ac:dyDescent="0.25">
      <c r="B3371" s="68"/>
      <c r="C3371" s="50"/>
      <c r="D3371" s="15"/>
    </row>
    <row r="3372" spans="2:4" x14ac:dyDescent="0.25">
      <c r="B3372" s="68"/>
      <c r="C3372" s="50"/>
      <c r="D3372" s="15"/>
    </row>
    <row r="3373" spans="2:4" x14ac:dyDescent="0.25">
      <c r="B3373" s="68"/>
      <c r="C3373" s="50"/>
      <c r="D3373" s="15"/>
    </row>
    <row r="3374" spans="2:4" x14ac:dyDescent="0.25">
      <c r="B3374" s="68"/>
      <c r="C3374" s="50"/>
      <c r="D3374" s="15"/>
    </row>
    <row r="3375" spans="2:4" x14ac:dyDescent="0.25">
      <c r="B3375" s="68"/>
      <c r="C3375" s="50"/>
      <c r="D3375" s="15"/>
    </row>
    <row r="3376" spans="2:4" x14ac:dyDescent="0.25">
      <c r="B3376" s="68"/>
      <c r="C3376" s="50"/>
      <c r="D3376" s="15"/>
    </row>
    <row r="3377" spans="2:4" x14ac:dyDescent="0.25">
      <c r="B3377" s="68"/>
      <c r="C3377" s="50"/>
      <c r="D3377" s="15"/>
    </row>
    <row r="3378" spans="2:4" x14ac:dyDescent="0.25">
      <c r="B3378" s="68"/>
      <c r="C3378" s="50"/>
      <c r="D3378" s="15"/>
    </row>
    <row r="3379" spans="2:4" x14ac:dyDescent="0.25">
      <c r="B3379" s="68"/>
      <c r="C3379" s="50"/>
      <c r="D3379" s="15"/>
    </row>
    <row r="3380" spans="2:4" x14ac:dyDescent="0.25">
      <c r="B3380" s="68"/>
      <c r="C3380" s="50"/>
      <c r="D3380" s="15"/>
    </row>
    <row r="3381" spans="2:4" x14ac:dyDescent="0.25">
      <c r="B3381" s="68"/>
      <c r="C3381" s="50"/>
      <c r="D3381" s="15"/>
    </row>
    <row r="3382" spans="2:4" x14ac:dyDescent="0.25">
      <c r="B3382" s="68"/>
      <c r="C3382" s="50"/>
      <c r="D3382" s="15"/>
    </row>
    <row r="3383" spans="2:4" x14ac:dyDescent="0.25">
      <c r="B3383" s="68"/>
      <c r="C3383" s="50"/>
      <c r="D3383" s="15"/>
    </row>
    <row r="3384" spans="2:4" x14ac:dyDescent="0.25">
      <c r="B3384" s="68"/>
      <c r="C3384" s="50"/>
      <c r="D3384" s="15"/>
    </row>
    <row r="3385" spans="2:4" x14ac:dyDescent="0.25">
      <c r="B3385" s="68"/>
      <c r="C3385" s="50"/>
      <c r="D3385" s="15"/>
    </row>
    <row r="3386" spans="2:4" x14ac:dyDescent="0.25">
      <c r="B3386" s="68"/>
      <c r="C3386" s="50"/>
      <c r="D3386" s="15"/>
    </row>
    <row r="3387" spans="2:4" x14ac:dyDescent="0.25">
      <c r="B3387" s="68"/>
      <c r="C3387" s="50"/>
      <c r="D3387" s="15"/>
    </row>
    <row r="3388" spans="2:4" x14ac:dyDescent="0.25">
      <c r="B3388" s="68"/>
      <c r="C3388" s="50"/>
      <c r="D3388" s="15"/>
    </row>
    <row r="3389" spans="2:4" x14ac:dyDescent="0.25">
      <c r="B3389" s="68"/>
      <c r="C3389" s="50"/>
      <c r="D3389" s="15"/>
    </row>
    <row r="3390" spans="2:4" x14ac:dyDescent="0.25">
      <c r="B3390" s="68"/>
      <c r="C3390" s="50"/>
      <c r="D3390" s="15"/>
    </row>
    <row r="3391" spans="2:4" x14ac:dyDescent="0.25">
      <c r="B3391" s="68"/>
      <c r="C3391" s="50"/>
      <c r="D3391" s="15"/>
    </row>
    <row r="3392" spans="2:4" x14ac:dyDescent="0.25">
      <c r="B3392" s="68"/>
      <c r="C3392" s="50"/>
      <c r="D3392" s="15"/>
    </row>
    <row r="3393" spans="2:4" x14ac:dyDescent="0.25">
      <c r="B3393" s="68"/>
      <c r="C3393" s="50"/>
      <c r="D3393" s="15"/>
    </row>
    <row r="3394" spans="2:4" x14ac:dyDescent="0.25">
      <c r="B3394" s="68"/>
      <c r="C3394" s="50"/>
      <c r="D3394" s="15"/>
    </row>
    <row r="3395" spans="2:4" x14ac:dyDescent="0.25">
      <c r="B3395" s="68"/>
      <c r="C3395" s="50"/>
      <c r="D3395" s="15"/>
    </row>
    <row r="3396" spans="2:4" x14ac:dyDescent="0.25">
      <c r="B3396" s="68"/>
      <c r="C3396" s="50"/>
      <c r="D3396" s="15"/>
    </row>
    <row r="3397" spans="2:4" x14ac:dyDescent="0.25">
      <c r="B3397" s="68"/>
      <c r="C3397" s="50"/>
      <c r="D3397" s="15"/>
    </row>
    <row r="3398" spans="2:4" x14ac:dyDescent="0.25">
      <c r="B3398" s="68"/>
      <c r="C3398" s="50"/>
      <c r="D3398" s="15"/>
    </row>
    <row r="3399" spans="2:4" x14ac:dyDescent="0.25">
      <c r="B3399" s="68"/>
      <c r="C3399" s="50"/>
      <c r="D3399" s="15"/>
    </row>
    <row r="3400" spans="2:4" x14ac:dyDescent="0.25">
      <c r="B3400" s="68"/>
      <c r="C3400" s="50"/>
      <c r="D3400" s="15"/>
    </row>
    <row r="3401" spans="2:4" x14ac:dyDescent="0.25">
      <c r="B3401" s="68"/>
      <c r="C3401" s="50"/>
      <c r="D3401" s="15"/>
    </row>
    <row r="3402" spans="2:4" x14ac:dyDescent="0.25">
      <c r="B3402" s="68"/>
      <c r="C3402" s="50"/>
      <c r="D3402" s="15"/>
    </row>
    <row r="3403" spans="2:4" x14ac:dyDescent="0.25">
      <c r="B3403" s="68"/>
      <c r="C3403" s="50"/>
      <c r="D3403" s="15"/>
    </row>
    <row r="3404" spans="2:4" x14ac:dyDescent="0.25">
      <c r="B3404" s="68"/>
      <c r="C3404" s="50"/>
      <c r="D3404" s="15"/>
    </row>
    <row r="3405" spans="2:4" x14ac:dyDescent="0.25">
      <c r="B3405" s="68"/>
      <c r="C3405" s="50"/>
      <c r="D3405" s="15"/>
    </row>
    <row r="3406" spans="2:4" x14ac:dyDescent="0.25">
      <c r="B3406" s="68"/>
      <c r="C3406" s="50"/>
      <c r="D3406" s="15"/>
    </row>
    <row r="3407" spans="2:4" x14ac:dyDescent="0.25">
      <c r="B3407" s="68"/>
      <c r="C3407" s="50"/>
      <c r="D3407" s="15"/>
    </row>
    <row r="3408" spans="2:4" x14ac:dyDescent="0.25">
      <c r="B3408" s="68"/>
      <c r="C3408" s="50"/>
      <c r="D3408" s="15"/>
    </row>
    <row r="3409" spans="2:4" x14ac:dyDescent="0.25">
      <c r="B3409" s="68"/>
      <c r="C3409" s="50"/>
      <c r="D3409" s="15"/>
    </row>
    <row r="3410" spans="2:4" x14ac:dyDescent="0.25">
      <c r="B3410" s="68"/>
      <c r="C3410" s="50"/>
      <c r="D3410" s="15"/>
    </row>
    <row r="3411" spans="2:4" x14ac:dyDescent="0.25">
      <c r="B3411" s="68"/>
      <c r="C3411" s="50"/>
      <c r="D3411" s="15"/>
    </row>
    <row r="3412" spans="2:4" x14ac:dyDescent="0.25">
      <c r="B3412" s="68"/>
      <c r="C3412" s="50"/>
      <c r="D3412" s="15"/>
    </row>
    <row r="3413" spans="2:4" x14ac:dyDescent="0.25">
      <c r="B3413" s="68"/>
      <c r="C3413" s="50"/>
      <c r="D3413" s="15"/>
    </row>
    <row r="3414" spans="2:4" x14ac:dyDescent="0.25">
      <c r="B3414" s="68"/>
      <c r="C3414" s="50"/>
      <c r="D3414" s="15"/>
    </row>
    <row r="3415" spans="2:4" x14ac:dyDescent="0.25">
      <c r="B3415" s="68"/>
      <c r="C3415" s="50"/>
      <c r="D3415" s="15"/>
    </row>
    <row r="3416" spans="2:4" x14ac:dyDescent="0.25">
      <c r="B3416" s="68"/>
      <c r="C3416" s="50"/>
      <c r="D3416" s="15"/>
    </row>
    <row r="3417" spans="2:4" x14ac:dyDescent="0.25">
      <c r="B3417" s="68"/>
      <c r="C3417" s="50"/>
      <c r="D3417" s="15"/>
    </row>
    <row r="3418" spans="2:4" x14ac:dyDescent="0.25">
      <c r="B3418" s="68"/>
      <c r="C3418" s="50"/>
      <c r="D3418" s="15"/>
    </row>
    <row r="3419" spans="2:4" x14ac:dyDescent="0.25">
      <c r="B3419" s="68"/>
      <c r="C3419" s="50"/>
      <c r="D3419" s="15"/>
    </row>
    <row r="3420" spans="2:4" x14ac:dyDescent="0.25">
      <c r="B3420" s="68"/>
      <c r="C3420" s="50"/>
      <c r="D3420" s="15"/>
    </row>
    <row r="3421" spans="2:4" x14ac:dyDescent="0.25">
      <c r="B3421" s="68"/>
      <c r="C3421" s="50"/>
      <c r="D3421" s="15"/>
    </row>
    <row r="3422" spans="2:4" x14ac:dyDescent="0.25">
      <c r="B3422" s="68"/>
      <c r="C3422" s="50"/>
      <c r="D3422" s="15"/>
    </row>
    <row r="3423" spans="2:4" x14ac:dyDescent="0.25">
      <c r="B3423" s="68"/>
      <c r="C3423" s="50"/>
      <c r="D3423" s="15"/>
    </row>
    <row r="3424" spans="2:4" x14ac:dyDescent="0.25">
      <c r="B3424" s="68"/>
      <c r="C3424" s="50"/>
      <c r="D3424" s="15"/>
    </row>
    <row r="3425" spans="2:4" x14ac:dyDescent="0.25">
      <c r="B3425" s="68"/>
      <c r="C3425" s="50"/>
      <c r="D3425" s="15"/>
    </row>
    <row r="3426" spans="2:4" x14ac:dyDescent="0.25">
      <c r="B3426" s="68"/>
      <c r="C3426" s="50"/>
      <c r="D3426" s="15"/>
    </row>
    <row r="3427" spans="2:4" x14ac:dyDescent="0.25">
      <c r="B3427" s="68"/>
      <c r="C3427" s="50"/>
      <c r="D3427" s="15"/>
    </row>
    <row r="3428" spans="2:4" x14ac:dyDescent="0.25">
      <c r="B3428" s="68"/>
      <c r="C3428" s="50"/>
      <c r="D3428" s="15"/>
    </row>
    <row r="3429" spans="2:4" x14ac:dyDescent="0.25">
      <c r="B3429" s="68"/>
      <c r="C3429" s="50"/>
      <c r="D3429" s="15"/>
    </row>
    <row r="3430" spans="2:4" x14ac:dyDescent="0.25">
      <c r="B3430" s="68"/>
      <c r="C3430" s="50"/>
      <c r="D3430" s="15"/>
    </row>
    <row r="3431" spans="2:4" x14ac:dyDescent="0.25">
      <c r="B3431" s="68"/>
      <c r="C3431" s="50"/>
      <c r="D3431" s="15"/>
    </row>
    <row r="3432" spans="2:4" x14ac:dyDescent="0.25">
      <c r="B3432" s="68"/>
      <c r="C3432" s="50"/>
      <c r="D3432" s="15"/>
    </row>
    <row r="3433" spans="2:4" x14ac:dyDescent="0.25">
      <c r="B3433" s="68"/>
      <c r="C3433" s="50"/>
      <c r="D3433" s="15"/>
    </row>
    <row r="3434" spans="2:4" x14ac:dyDescent="0.25">
      <c r="B3434" s="68"/>
      <c r="C3434" s="50"/>
      <c r="D3434" s="15"/>
    </row>
    <row r="3435" spans="2:4" x14ac:dyDescent="0.25">
      <c r="B3435" s="68"/>
      <c r="C3435" s="50"/>
      <c r="D3435" s="15"/>
    </row>
    <row r="3436" spans="2:4" x14ac:dyDescent="0.25">
      <c r="B3436" s="68"/>
      <c r="C3436" s="50"/>
      <c r="D3436" s="15"/>
    </row>
    <row r="3437" spans="2:4" x14ac:dyDescent="0.25">
      <c r="B3437" s="68"/>
      <c r="C3437" s="50"/>
      <c r="D3437" s="15"/>
    </row>
    <row r="3438" spans="2:4" x14ac:dyDescent="0.25">
      <c r="B3438" s="68"/>
      <c r="C3438" s="50"/>
      <c r="D3438" s="15"/>
    </row>
    <row r="3439" spans="2:4" x14ac:dyDescent="0.25">
      <c r="B3439" s="68"/>
      <c r="C3439" s="50"/>
      <c r="D3439" s="15"/>
    </row>
    <row r="3440" spans="2:4" x14ac:dyDescent="0.25">
      <c r="B3440" s="68"/>
      <c r="C3440" s="50"/>
      <c r="D3440" s="15"/>
    </row>
    <row r="3441" spans="2:4" x14ac:dyDescent="0.25">
      <c r="B3441" s="68"/>
      <c r="C3441" s="50"/>
      <c r="D3441" s="15"/>
    </row>
    <row r="3442" spans="2:4" x14ac:dyDescent="0.25">
      <c r="B3442" s="68"/>
      <c r="C3442" s="50"/>
      <c r="D3442" s="15"/>
    </row>
    <row r="3443" spans="2:4" x14ac:dyDescent="0.25">
      <c r="B3443" s="68"/>
      <c r="C3443" s="50"/>
      <c r="D3443" s="15"/>
    </row>
    <row r="3444" spans="2:4" x14ac:dyDescent="0.25">
      <c r="B3444" s="68"/>
      <c r="C3444" s="50"/>
      <c r="D3444" s="15"/>
    </row>
    <row r="3445" spans="2:4" x14ac:dyDescent="0.25">
      <c r="B3445" s="68"/>
      <c r="C3445" s="50"/>
      <c r="D3445" s="15"/>
    </row>
    <row r="3446" spans="2:4" x14ac:dyDescent="0.25">
      <c r="B3446" s="68"/>
      <c r="C3446" s="50"/>
      <c r="D3446" s="15"/>
    </row>
    <row r="3447" spans="2:4" x14ac:dyDescent="0.25">
      <c r="B3447" s="68"/>
      <c r="C3447" s="50"/>
      <c r="D3447" s="15"/>
    </row>
    <row r="3448" spans="2:4" x14ac:dyDescent="0.25">
      <c r="B3448" s="68"/>
      <c r="C3448" s="50"/>
      <c r="D3448" s="15"/>
    </row>
    <row r="3449" spans="2:4" x14ac:dyDescent="0.25">
      <c r="B3449" s="68"/>
      <c r="C3449" s="50"/>
      <c r="D3449" s="15"/>
    </row>
    <row r="3450" spans="2:4" x14ac:dyDescent="0.25">
      <c r="B3450" s="68"/>
      <c r="C3450" s="50"/>
      <c r="D3450" s="15"/>
    </row>
    <row r="3451" spans="2:4" x14ac:dyDescent="0.25">
      <c r="B3451" s="68"/>
      <c r="C3451" s="50"/>
      <c r="D3451" s="15"/>
    </row>
    <row r="3452" spans="2:4" x14ac:dyDescent="0.25">
      <c r="B3452" s="68"/>
      <c r="C3452" s="50"/>
      <c r="D3452" s="15"/>
    </row>
    <row r="3453" spans="2:4" x14ac:dyDescent="0.25">
      <c r="B3453" s="68"/>
      <c r="C3453" s="50"/>
      <c r="D3453" s="15"/>
    </row>
    <row r="3454" spans="2:4" x14ac:dyDescent="0.25">
      <c r="B3454" s="68"/>
      <c r="C3454" s="50"/>
      <c r="D3454" s="15"/>
    </row>
    <row r="3455" spans="2:4" x14ac:dyDescent="0.25">
      <c r="B3455" s="68"/>
      <c r="C3455" s="50"/>
      <c r="D3455" s="15"/>
    </row>
    <row r="3456" spans="2:4" x14ac:dyDescent="0.25">
      <c r="B3456" s="68"/>
      <c r="C3456" s="50"/>
      <c r="D3456" s="15"/>
    </row>
    <row r="3457" spans="2:4" x14ac:dyDescent="0.25">
      <c r="B3457" s="68"/>
      <c r="C3457" s="50"/>
      <c r="D3457" s="15"/>
    </row>
    <row r="3458" spans="2:4" x14ac:dyDescent="0.25">
      <c r="B3458" s="68"/>
      <c r="C3458" s="50"/>
      <c r="D3458" s="15"/>
    </row>
    <row r="3459" spans="2:4" x14ac:dyDescent="0.25">
      <c r="B3459" s="68"/>
      <c r="C3459" s="50"/>
      <c r="D3459" s="15"/>
    </row>
    <row r="3460" spans="2:4" x14ac:dyDescent="0.25">
      <c r="B3460" s="68"/>
      <c r="C3460" s="50"/>
      <c r="D3460" s="15"/>
    </row>
    <row r="3461" spans="2:4" x14ac:dyDescent="0.25">
      <c r="B3461" s="68"/>
      <c r="C3461" s="50"/>
      <c r="D3461" s="15"/>
    </row>
    <row r="3462" spans="2:4" x14ac:dyDescent="0.25">
      <c r="B3462" s="68"/>
      <c r="C3462" s="50"/>
      <c r="D3462" s="15"/>
    </row>
    <row r="3463" spans="2:4" x14ac:dyDescent="0.25">
      <c r="B3463" s="68"/>
      <c r="C3463" s="50"/>
      <c r="D3463" s="15"/>
    </row>
    <row r="3464" spans="2:4" x14ac:dyDescent="0.25">
      <c r="B3464" s="68"/>
      <c r="C3464" s="50"/>
      <c r="D3464" s="15"/>
    </row>
    <row r="3465" spans="2:4" x14ac:dyDescent="0.25">
      <c r="B3465" s="68"/>
      <c r="C3465" s="50"/>
      <c r="D3465" s="15"/>
    </row>
    <row r="3466" spans="2:4" x14ac:dyDescent="0.25">
      <c r="B3466" s="68"/>
      <c r="C3466" s="50"/>
      <c r="D3466" s="15"/>
    </row>
    <row r="3467" spans="2:4" x14ac:dyDescent="0.25">
      <c r="B3467" s="68"/>
      <c r="C3467" s="50"/>
      <c r="D3467" s="15"/>
    </row>
    <row r="3468" spans="2:4" x14ac:dyDescent="0.25">
      <c r="B3468" s="68"/>
      <c r="C3468" s="50"/>
      <c r="D3468" s="15"/>
    </row>
    <row r="3469" spans="2:4" x14ac:dyDescent="0.25">
      <c r="B3469" s="68"/>
      <c r="C3469" s="50"/>
      <c r="D3469" s="15"/>
    </row>
    <row r="3470" spans="2:4" x14ac:dyDescent="0.25">
      <c r="B3470" s="68"/>
      <c r="C3470" s="50"/>
      <c r="D3470" s="15"/>
    </row>
    <row r="3471" spans="2:4" x14ac:dyDescent="0.25">
      <c r="B3471" s="68"/>
      <c r="C3471" s="50"/>
      <c r="D3471" s="15"/>
    </row>
    <row r="3472" spans="2:4" x14ac:dyDescent="0.25">
      <c r="B3472" s="68"/>
      <c r="C3472" s="50"/>
      <c r="D3472" s="15"/>
    </row>
    <row r="3473" spans="2:4" x14ac:dyDescent="0.25">
      <c r="B3473" s="68"/>
      <c r="C3473" s="50"/>
      <c r="D3473" s="15"/>
    </row>
    <row r="3474" spans="2:4" x14ac:dyDescent="0.25">
      <c r="B3474" s="68"/>
      <c r="C3474" s="50"/>
      <c r="D3474" s="15"/>
    </row>
    <row r="3475" spans="2:4" x14ac:dyDescent="0.25">
      <c r="B3475" s="68"/>
      <c r="C3475" s="50"/>
      <c r="D3475" s="15"/>
    </row>
    <row r="3476" spans="2:4" x14ac:dyDescent="0.25">
      <c r="B3476" s="68"/>
      <c r="C3476" s="50"/>
      <c r="D3476" s="15"/>
    </row>
    <row r="3477" spans="2:4" x14ac:dyDescent="0.25">
      <c r="B3477" s="68"/>
      <c r="C3477" s="50"/>
      <c r="D3477" s="15"/>
    </row>
    <row r="3478" spans="2:4" x14ac:dyDescent="0.25">
      <c r="B3478" s="68"/>
      <c r="C3478" s="50"/>
      <c r="D3478" s="15"/>
    </row>
    <row r="3479" spans="2:4" x14ac:dyDescent="0.25">
      <c r="B3479" s="68"/>
      <c r="C3479" s="50"/>
      <c r="D3479" s="15"/>
    </row>
    <row r="3480" spans="2:4" x14ac:dyDescent="0.25">
      <c r="B3480" s="68"/>
      <c r="C3480" s="50"/>
      <c r="D3480" s="15"/>
    </row>
    <row r="3481" spans="2:4" x14ac:dyDescent="0.25">
      <c r="B3481" s="68"/>
      <c r="C3481" s="50"/>
      <c r="D3481" s="15"/>
    </row>
    <row r="3482" spans="2:4" x14ac:dyDescent="0.25">
      <c r="B3482" s="68"/>
      <c r="C3482" s="50"/>
      <c r="D3482" s="15"/>
    </row>
    <row r="3483" spans="2:4" x14ac:dyDescent="0.25">
      <c r="B3483" s="68"/>
      <c r="C3483" s="50"/>
      <c r="D3483" s="15"/>
    </row>
    <row r="3484" spans="2:4" x14ac:dyDescent="0.25">
      <c r="B3484" s="68"/>
      <c r="C3484" s="50"/>
      <c r="D3484" s="15"/>
    </row>
    <row r="3485" spans="2:4" x14ac:dyDescent="0.25">
      <c r="B3485" s="68"/>
      <c r="C3485" s="50"/>
      <c r="D3485" s="15"/>
    </row>
    <row r="3486" spans="2:4" x14ac:dyDescent="0.25">
      <c r="B3486" s="68"/>
      <c r="C3486" s="50"/>
      <c r="D3486" s="15"/>
    </row>
    <row r="3487" spans="2:4" x14ac:dyDescent="0.25">
      <c r="B3487" s="68"/>
      <c r="C3487" s="50"/>
      <c r="D3487" s="15"/>
    </row>
    <row r="3488" spans="2:4" x14ac:dyDescent="0.25">
      <c r="B3488" s="68"/>
      <c r="C3488" s="50"/>
      <c r="D3488" s="15"/>
    </row>
    <row r="3489" spans="2:4" x14ac:dyDescent="0.25">
      <c r="B3489" s="68"/>
      <c r="C3489" s="50"/>
      <c r="D3489" s="15"/>
    </row>
    <row r="3490" spans="2:4" x14ac:dyDescent="0.25">
      <c r="B3490" s="68"/>
      <c r="C3490" s="50"/>
      <c r="D3490" s="15"/>
    </row>
    <row r="3491" spans="2:4" x14ac:dyDescent="0.25">
      <c r="B3491" s="68"/>
      <c r="C3491" s="50"/>
      <c r="D3491" s="15"/>
    </row>
    <row r="3492" spans="2:4" x14ac:dyDescent="0.25">
      <c r="B3492" s="68"/>
      <c r="C3492" s="50"/>
      <c r="D3492" s="15"/>
    </row>
    <row r="3493" spans="2:4" x14ac:dyDescent="0.25">
      <c r="B3493" s="68"/>
      <c r="C3493" s="50"/>
      <c r="D3493" s="15"/>
    </row>
    <row r="3494" spans="2:4" x14ac:dyDescent="0.25">
      <c r="B3494" s="68"/>
      <c r="C3494" s="50"/>
      <c r="D3494" s="15"/>
    </row>
    <row r="3495" spans="2:4" x14ac:dyDescent="0.25">
      <c r="B3495" s="68"/>
      <c r="C3495" s="50"/>
      <c r="D3495" s="15"/>
    </row>
    <row r="3496" spans="2:4" x14ac:dyDescent="0.25">
      <c r="B3496" s="68"/>
      <c r="C3496" s="50"/>
      <c r="D3496" s="15"/>
    </row>
    <row r="3497" spans="2:4" x14ac:dyDescent="0.25">
      <c r="B3497" s="68"/>
      <c r="C3497" s="50"/>
      <c r="D3497" s="15"/>
    </row>
    <row r="3498" spans="2:4" x14ac:dyDescent="0.25">
      <c r="B3498" s="68"/>
      <c r="C3498" s="50"/>
      <c r="D3498" s="15"/>
    </row>
    <row r="3499" spans="2:4" x14ac:dyDescent="0.25">
      <c r="B3499" s="68"/>
      <c r="C3499" s="50"/>
      <c r="D3499" s="15"/>
    </row>
    <row r="3500" spans="2:4" x14ac:dyDescent="0.25">
      <c r="B3500" s="68"/>
      <c r="C3500" s="50"/>
      <c r="D3500" s="15"/>
    </row>
    <row r="3501" spans="2:4" x14ac:dyDescent="0.25">
      <c r="B3501" s="68"/>
      <c r="C3501" s="50"/>
      <c r="D3501" s="15"/>
    </row>
    <row r="3502" spans="2:4" x14ac:dyDescent="0.25">
      <c r="B3502" s="68"/>
      <c r="C3502" s="50"/>
      <c r="D3502" s="15"/>
    </row>
    <row r="3503" spans="2:4" x14ac:dyDescent="0.25">
      <c r="B3503" s="68"/>
      <c r="C3503" s="50"/>
      <c r="D3503" s="15"/>
    </row>
    <row r="3504" spans="2:4" x14ac:dyDescent="0.25">
      <c r="B3504" s="68"/>
      <c r="C3504" s="50"/>
      <c r="D3504" s="15"/>
    </row>
    <row r="3505" spans="2:4" x14ac:dyDescent="0.25">
      <c r="B3505" s="68"/>
      <c r="C3505" s="50"/>
      <c r="D3505" s="15"/>
    </row>
    <row r="3506" spans="2:4" x14ac:dyDescent="0.25">
      <c r="B3506" s="68"/>
      <c r="C3506" s="50"/>
      <c r="D3506" s="15"/>
    </row>
    <row r="3507" spans="2:4" x14ac:dyDescent="0.25">
      <c r="B3507" s="68"/>
      <c r="C3507" s="50"/>
      <c r="D3507" s="15"/>
    </row>
    <row r="3508" spans="2:4" x14ac:dyDescent="0.25">
      <c r="B3508" s="68"/>
      <c r="C3508" s="50"/>
      <c r="D3508" s="15"/>
    </row>
    <row r="3509" spans="2:4" x14ac:dyDescent="0.25">
      <c r="B3509" s="68"/>
      <c r="C3509" s="50"/>
      <c r="D3509" s="15"/>
    </row>
    <row r="3510" spans="2:4" x14ac:dyDescent="0.25">
      <c r="B3510" s="68"/>
      <c r="C3510" s="50"/>
      <c r="D3510" s="15"/>
    </row>
    <row r="3511" spans="2:4" x14ac:dyDescent="0.25">
      <c r="B3511" s="68"/>
      <c r="C3511" s="50"/>
      <c r="D3511" s="15"/>
    </row>
    <row r="3512" spans="2:4" x14ac:dyDescent="0.25">
      <c r="B3512" s="68"/>
      <c r="C3512" s="50"/>
      <c r="D3512" s="15"/>
    </row>
    <row r="3513" spans="2:4" x14ac:dyDescent="0.25">
      <c r="B3513" s="68"/>
      <c r="C3513" s="50"/>
      <c r="D3513" s="15"/>
    </row>
    <row r="3514" spans="2:4" x14ac:dyDescent="0.25">
      <c r="B3514" s="68"/>
      <c r="C3514" s="50"/>
      <c r="D3514" s="15"/>
    </row>
    <row r="3515" spans="2:4" x14ac:dyDescent="0.25">
      <c r="B3515" s="68"/>
      <c r="C3515" s="50"/>
      <c r="D3515" s="15"/>
    </row>
    <row r="3516" spans="2:4" x14ac:dyDescent="0.25">
      <c r="B3516" s="68"/>
      <c r="C3516" s="50"/>
      <c r="D3516" s="15"/>
    </row>
    <row r="3517" spans="2:4" x14ac:dyDescent="0.25">
      <c r="B3517" s="68"/>
      <c r="C3517" s="50"/>
      <c r="D3517" s="15"/>
    </row>
    <row r="3518" spans="2:4" x14ac:dyDescent="0.25">
      <c r="B3518" s="68"/>
      <c r="C3518" s="50"/>
      <c r="D3518" s="15"/>
    </row>
    <row r="3519" spans="2:4" x14ac:dyDescent="0.25">
      <c r="B3519" s="68"/>
      <c r="C3519" s="50"/>
      <c r="D3519" s="15"/>
    </row>
    <row r="3520" spans="2:4" x14ac:dyDescent="0.25">
      <c r="B3520" s="68"/>
      <c r="C3520" s="50"/>
      <c r="D3520" s="15"/>
    </row>
    <row r="3521" spans="2:4" x14ac:dyDescent="0.25">
      <c r="B3521" s="68"/>
      <c r="C3521" s="50"/>
      <c r="D3521" s="15"/>
    </row>
    <row r="3522" spans="2:4" x14ac:dyDescent="0.25">
      <c r="B3522" s="68"/>
      <c r="C3522" s="50"/>
      <c r="D3522" s="15"/>
    </row>
    <row r="3523" spans="2:4" x14ac:dyDescent="0.25">
      <c r="B3523" s="68"/>
      <c r="C3523" s="50"/>
      <c r="D3523" s="15"/>
    </row>
    <row r="3524" spans="2:4" x14ac:dyDescent="0.25">
      <c r="B3524" s="68"/>
      <c r="C3524" s="50"/>
      <c r="D3524" s="15"/>
    </row>
    <row r="3525" spans="2:4" x14ac:dyDescent="0.25">
      <c r="B3525" s="68"/>
      <c r="C3525" s="50"/>
      <c r="D3525" s="15"/>
    </row>
    <row r="3526" spans="2:4" x14ac:dyDescent="0.25">
      <c r="B3526" s="68"/>
      <c r="C3526" s="50"/>
      <c r="D3526" s="15"/>
    </row>
    <row r="3527" spans="2:4" x14ac:dyDescent="0.25">
      <c r="B3527" s="68"/>
      <c r="C3527" s="50"/>
      <c r="D3527" s="15"/>
    </row>
    <row r="3528" spans="2:4" x14ac:dyDescent="0.25">
      <c r="B3528" s="68"/>
      <c r="C3528" s="50"/>
      <c r="D3528" s="15"/>
    </row>
    <row r="3529" spans="2:4" x14ac:dyDescent="0.25">
      <c r="B3529" s="68"/>
      <c r="C3529" s="50"/>
      <c r="D3529" s="15"/>
    </row>
    <row r="3530" spans="2:4" x14ac:dyDescent="0.25">
      <c r="B3530" s="68"/>
      <c r="C3530" s="50"/>
      <c r="D3530" s="15"/>
    </row>
    <row r="3531" spans="2:4" x14ac:dyDescent="0.25">
      <c r="B3531" s="68"/>
      <c r="C3531" s="50"/>
      <c r="D3531" s="15"/>
    </row>
    <row r="3532" spans="2:4" x14ac:dyDescent="0.25">
      <c r="B3532" s="68"/>
      <c r="C3532" s="50"/>
      <c r="D3532" s="15"/>
    </row>
    <row r="3533" spans="2:4" x14ac:dyDescent="0.25">
      <c r="B3533" s="68"/>
      <c r="C3533" s="50"/>
      <c r="D3533" s="15"/>
    </row>
    <row r="3534" spans="2:4" x14ac:dyDescent="0.25">
      <c r="B3534" s="68"/>
      <c r="C3534" s="50"/>
      <c r="D3534" s="15"/>
    </row>
    <row r="3535" spans="2:4" x14ac:dyDescent="0.25">
      <c r="B3535" s="68"/>
      <c r="C3535" s="50"/>
      <c r="D3535" s="15"/>
    </row>
    <row r="3536" spans="2:4" x14ac:dyDescent="0.25">
      <c r="B3536" s="68"/>
      <c r="C3536" s="50"/>
      <c r="D3536" s="15"/>
    </row>
    <row r="3537" spans="2:4" x14ac:dyDescent="0.25">
      <c r="B3537" s="68"/>
      <c r="C3537" s="50"/>
      <c r="D3537" s="15"/>
    </row>
    <row r="3538" spans="2:4" x14ac:dyDescent="0.25">
      <c r="B3538" s="68"/>
      <c r="C3538" s="50"/>
      <c r="D3538" s="15"/>
    </row>
    <row r="3539" spans="2:4" x14ac:dyDescent="0.25">
      <c r="B3539" s="68"/>
      <c r="C3539" s="50"/>
      <c r="D3539" s="15"/>
    </row>
    <row r="3540" spans="2:4" x14ac:dyDescent="0.25">
      <c r="B3540" s="68"/>
      <c r="C3540" s="50"/>
      <c r="D3540" s="15"/>
    </row>
    <row r="3541" spans="2:4" x14ac:dyDescent="0.25">
      <c r="B3541" s="68"/>
      <c r="C3541" s="50"/>
      <c r="D3541" s="15"/>
    </row>
    <row r="3542" spans="2:4" x14ac:dyDescent="0.25">
      <c r="B3542" s="68"/>
      <c r="C3542" s="50"/>
      <c r="D3542" s="15"/>
    </row>
    <row r="3543" spans="2:4" x14ac:dyDescent="0.25">
      <c r="B3543" s="68"/>
      <c r="C3543" s="50"/>
      <c r="D3543" s="15"/>
    </row>
    <row r="3544" spans="2:4" x14ac:dyDescent="0.25">
      <c r="B3544" s="68"/>
      <c r="C3544" s="50"/>
      <c r="D3544" s="15"/>
    </row>
    <row r="3545" spans="2:4" x14ac:dyDescent="0.25">
      <c r="B3545" s="68"/>
      <c r="C3545" s="50"/>
      <c r="D3545" s="15"/>
    </row>
    <row r="3546" spans="2:4" x14ac:dyDescent="0.25">
      <c r="B3546" s="68"/>
      <c r="C3546" s="50"/>
      <c r="D3546" s="15"/>
    </row>
    <row r="3547" spans="2:4" x14ac:dyDescent="0.25">
      <c r="B3547" s="68"/>
      <c r="C3547" s="50"/>
      <c r="D3547" s="15"/>
    </row>
    <row r="3548" spans="2:4" x14ac:dyDescent="0.25">
      <c r="B3548" s="68"/>
      <c r="C3548" s="50"/>
      <c r="D3548" s="15"/>
    </row>
    <row r="3549" spans="2:4" x14ac:dyDescent="0.25">
      <c r="B3549" s="68"/>
      <c r="C3549" s="50"/>
      <c r="D3549" s="15"/>
    </row>
    <row r="3550" spans="2:4" x14ac:dyDescent="0.25">
      <c r="B3550" s="68"/>
      <c r="C3550" s="50"/>
      <c r="D3550" s="15"/>
    </row>
    <row r="3551" spans="2:4" x14ac:dyDescent="0.25">
      <c r="B3551" s="68"/>
      <c r="C3551" s="50"/>
      <c r="D3551" s="15"/>
    </row>
    <row r="3552" spans="2:4" x14ac:dyDescent="0.25">
      <c r="B3552" s="68"/>
      <c r="C3552" s="50"/>
      <c r="D3552" s="15"/>
    </row>
    <row r="3553" spans="2:4" x14ac:dyDescent="0.25">
      <c r="B3553" s="68"/>
      <c r="C3553" s="50"/>
      <c r="D3553" s="15"/>
    </row>
    <row r="3554" spans="2:4" x14ac:dyDescent="0.25">
      <c r="B3554" s="68"/>
      <c r="C3554" s="50"/>
      <c r="D3554" s="15"/>
    </row>
    <row r="3555" spans="2:4" x14ac:dyDescent="0.25">
      <c r="B3555" s="68"/>
      <c r="C3555" s="50"/>
      <c r="D3555" s="15"/>
    </row>
    <row r="3556" spans="2:4" x14ac:dyDescent="0.25">
      <c r="B3556" s="68"/>
      <c r="C3556" s="50"/>
      <c r="D3556" s="15"/>
    </row>
    <row r="3557" spans="2:4" x14ac:dyDescent="0.25">
      <c r="B3557" s="68"/>
      <c r="C3557" s="50"/>
      <c r="D3557" s="15"/>
    </row>
    <row r="3558" spans="2:4" x14ac:dyDescent="0.25">
      <c r="B3558" s="68"/>
      <c r="C3558" s="50"/>
      <c r="D3558" s="15"/>
    </row>
    <row r="3559" spans="2:4" x14ac:dyDescent="0.25">
      <c r="B3559" s="68"/>
      <c r="C3559" s="50"/>
      <c r="D3559" s="15"/>
    </row>
    <row r="3560" spans="2:4" x14ac:dyDescent="0.25">
      <c r="B3560" s="68"/>
      <c r="C3560" s="50"/>
      <c r="D3560" s="15"/>
    </row>
    <row r="3561" spans="2:4" x14ac:dyDescent="0.25">
      <c r="B3561" s="68"/>
      <c r="C3561" s="50"/>
      <c r="D3561" s="15"/>
    </row>
    <row r="3562" spans="2:4" x14ac:dyDescent="0.25">
      <c r="B3562" s="68"/>
      <c r="C3562" s="50"/>
      <c r="D3562" s="15"/>
    </row>
    <row r="3563" spans="2:4" x14ac:dyDescent="0.25">
      <c r="B3563" s="68"/>
      <c r="C3563" s="50"/>
      <c r="D3563" s="15"/>
    </row>
    <row r="3564" spans="2:4" x14ac:dyDescent="0.25">
      <c r="B3564" s="68"/>
      <c r="C3564" s="50"/>
      <c r="D3564" s="15"/>
    </row>
    <row r="3565" spans="2:4" x14ac:dyDescent="0.25">
      <c r="B3565" s="68"/>
      <c r="C3565" s="50"/>
      <c r="D3565" s="15"/>
    </row>
    <row r="3566" spans="2:4" x14ac:dyDescent="0.25">
      <c r="B3566" s="68"/>
      <c r="C3566" s="50"/>
      <c r="D3566" s="15"/>
    </row>
    <row r="3567" spans="2:4" x14ac:dyDescent="0.25">
      <c r="B3567" s="68"/>
      <c r="C3567" s="50"/>
      <c r="D3567" s="15"/>
    </row>
    <row r="3568" spans="2:4" x14ac:dyDescent="0.25">
      <c r="B3568" s="68"/>
      <c r="C3568" s="50"/>
      <c r="D3568" s="15"/>
    </row>
    <row r="3569" spans="2:4" x14ac:dyDescent="0.25">
      <c r="B3569" s="68"/>
      <c r="C3569" s="50"/>
      <c r="D3569" s="15"/>
    </row>
    <row r="3570" spans="2:4" x14ac:dyDescent="0.25">
      <c r="B3570" s="68"/>
      <c r="C3570" s="50"/>
      <c r="D3570" s="15"/>
    </row>
    <row r="3571" spans="2:4" x14ac:dyDescent="0.25">
      <c r="B3571" s="68"/>
      <c r="C3571" s="50"/>
      <c r="D3571" s="15"/>
    </row>
    <row r="3572" spans="2:4" x14ac:dyDescent="0.25">
      <c r="B3572" s="68"/>
      <c r="C3572" s="50"/>
      <c r="D3572" s="15"/>
    </row>
    <row r="3573" spans="2:4" x14ac:dyDescent="0.25">
      <c r="B3573" s="68"/>
      <c r="C3573" s="50"/>
      <c r="D3573" s="15"/>
    </row>
    <row r="3574" spans="2:4" x14ac:dyDescent="0.25">
      <c r="B3574" s="68"/>
      <c r="C3574" s="50"/>
      <c r="D3574" s="15"/>
    </row>
    <row r="3575" spans="2:4" x14ac:dyDescent="0.25">
      <c r="B3575" s="68"/>
      <c r="C3575" s="50"/>
      <c r="D3575" s="15"/>
    </row>
    <row r="3576" spans="2:4" x14ac:dyDescent="0.25">
      <c r="B3576" s="68"/>
      <c r="C3576" s="50"/>
      <c r="D3576" s="15"/>
    </row>
    <row r="3577" spans="2:4" x14ac:dyDescent="0.25">
      <c r="B3577" s="68"/>
      <c r="C3577" s="50"/>
      <c r="D3577" s="15"/>
    </row>
    <row r="3578" spans="2:4" x14ac:dyDescent="0.25">
      <c r="B3578" s="68"/>
      <c r="C3578" s="50"/>
      <c r="D3578" s="15"/>
    </row>
    <row r="3579" spans="2:4" x14ac:dyDescent="0.25">
      <c r="B3579" s="68"/>
      <c r="C3579" s="50"/>
      <c r="D3579" s="15"/>
    </row>
    <row r="3580" spans="2:4" x14ac:dyDescent="0.25">
      <c r="B3580" s="68"/>
      <c r="C3580" s="50"/>
      <c r="D3580" s="15"/>
    </row>
    <row r="3581" spans="2:4" x14ac:dyDescent="0.25">
      <c r="B3581" s="68"/>
      <c r="C3581" s="50"/>
      <c r="D3581" s="15"/>
    </row>
    <row r="3582" spans="2:4" x14ac:dyDescent="0.25">
      <c r="B3582" s="68"/>
      <c r="C3582" s="50"/>
      <c r="D3582" s="15"/>
    </row>
    <row r="3583" spans="2:4" x14ac:dyDescent="0.25">
      <c r="B3583" s="68"/>
      <c r="C3583" s="50"/>
      <c r="D3583" s="15"/>
    </row>
    <row r="3584" spans="2:4" x14ac:dyDescent="0.25">
      <c r="B3584" s="68"/>
      <c r="C3584" s="50"/>
      <c r="D3584" s="15"/>
    </row>
    <row r="3585" spans="2:4" x14ac:dyDescent="0.25">
      <c r="B3585" s="68"/>
      <c r="C3585" s="50"/>
      <c r="D3585" s="15"/>
    </row>
    <row r="3586" spans="2:4" x14ac:dyDescent="0.25">
      <c r="B3586" s="68"/>
      <c r="C3586" s="50"/>
      <c r="D3586" s="15"/>
    </row>
    <row r="3587" spans="2:4" x14ac:dyDescent="0.25">
      <c r="B3587" s="68"/>
      <c r="C3587" s="50"/>
      <c r="D3587" s="15"/>
    </row>
    <row r="3588" spans="2:4" x14ac:dyDescent="0.25">
      <c r="B3588" s="68"/>
      <c r="C3588" s="50"/>
      <c r="D3588" s="15"/>
    </row>
    <row r="3589" spans="2:4" x14ac:dyDescent="0.25">
      <c r="B3589" s="68"/>
      <c r="C3589" s="50"/>
      <c r="D3589" s="15"/>
    </row>
    <row r="3590" spans="2:4" x14ac:dyDescent="0.25">
      <c r="B3590" s="68"/>
      <c r="C3590" s="50"/>
      <c r="D3590" s="15"/>
    </row>
    <row r="3591" spans="2:4" x14ac:dyDescent="0.25">
      <c r="B3591" s="68"/>
      <c r="C3591" s="50"/>
      <c r="D3591" s="15"/>
    </row>
    <row r="3592" spans="2:4" x14ac:dyDescent="0.25">
      <c r="B3592" s="68"/>
      <c r="C3592" s="50"/>
      <c r="D3592" s="15"/>
    </row>
    <row r="3593" spans="2:4" x14ac:dyDescent="0.25">
      <c r="B3593" s="68"/>
      <c r="C3593" s="50"/>
      <c r="D3593" s="15"/>
    </row>
    <row r="3594" spans="2:4" x14ac:dyDescent="0.25">
      <c r="B3594" s="68"/>
      <c r="C3594" s="50"/>
      <c r="D3594" s="15"/>
    </row>
    <row r="3595" spans="2:4" x14ac:dyDescent="0.25">
      <c r="B3595" s="68"/>
      <c r="C3595" s="50"/>
      <c r="D3595" s="15"/>
    </row>
    <row r="3596" spans="2:4" x14ac:dyDescent="0.25">
      <c r="B3596" s="68"/>
      <c r="C3596" s="50"/>
      <c r="D3596" s="15"/>
    </row>
    <row r="3597" spans="2:4" x14ac:dyDescent="0.25">
      <c r="B3597" s="68"/>
      <c r="C3597" s="50"/>
      <c r="D3597" s="15"/>
    </row>
    <row r="3598" spans="2:4" x14ac:dyDescent="0.25">
      <c r="B3598" s="68"/>
      <c r="C3598" s="50"/>
      <c r="D3598" s="15"/>
    </row>
    <row r="3599" spans="2:4" x14ac:dyDescent="0.25">
      <c r="B3599" s="68"/>
      <c r="C3599" s="50"/>
      <c r="D3599" s="15"/>
    </row>
    <row r="3600" spans="2:4" x14ac:dyDescent="0.25">
      <c r="B3600" s="68"/>
      <c r="C3600" s="50"/>
      <c r="D3600" s="15"/>
    </row>
    <row r="3601" spans="2:4" x14ac:dyDescent="0.25">
      <c r="B3601" s="68"/>
      <c r="C3601" s="50"/>
      <c r="D3601" s="15"/>
    </row>
    <row r="3602" spans="2:4" x14ac:dyDescent="0.25">
      <c r="B3602" s="68"/>
      <c r="C3602" s="50"/>
      <c r="D3602" s="15"/>
    </row>
    <row r="3603" spans="2:4" x14ac:dyDescent="0.25">
      <c r="B3603" s="68"/>
      <c r="C3603" s="50"/>
      <c r="D3603" s="15"/>
    </row>
    <row r="3604" spans="2:4" x14ac:dyDescent="0.25">
      <c r="B3604" s="68"/>
      <c r="C3604" s="50"/>
      <c r="D3604" s="15"/>
    </row>
    <row r="3605" spans="2:4" x14ac:dyDescent="0.25">
      <c r="B3605" s="68"/>
      <c r="C3605" s="50"/>
      <c r="D3605" s="15"/>
    </row>
    <row r="3606" spans="2:4" x14ac:dyDescent="0.25">
      <c r="B3606" s="68"/>
      <c r="C3606" s="50"/>
      <c r="D3606" s="15"/>
    </row>
    <row r="3607" spans="2:4" x14ac:dyDescent="0.25">
      <c r="B3607" s="68"/>
      <c r="C3607" s="50"/>
      <c r="D3607" s="15"/>
    </row>
    <row r="3608" spans="2:4" x14ac:dyDescent="0.25">
      <c r="B3608" s="68"/>
      <c r="C3608" s="50"/>
      <c r="D3608" s="15"/>
    </row>
    <row r="3609" spans="2:4" x14ac:dyDescent="0.25">
      <c r="B3609" s="68"/>
      <c r="C3609" s="50"/>
      <c r="D3609" s="15"/>
    </row>
    <row r="3610" spans="2:4" x14ac:dyDescent="0.25">
      <c r="B3610" s="68"/>
      <c r="C3610" s="50"/>
      <c r="D3610" s="15"/>
    </row>
    <row r="3611" spans="2:4" x14ac:dyDescent="0.25">
      <c r="B3611" s="68"/>
      <c r="C3611" s="50"/>
      <c r="D3611" s="15"/>
    </row>
    <row r="3612" spans="2:4" x14ac:dyDescent="0.25">
      <c r="B3612" s="68"/>
      <c r="C3612" s="50"/>
      <c r="D3612" s="15"/>
    </row>
    <row r="3613" spans="2:4" x14ac:dyDescent="0.25">
      <c r="B3613" s="68"/>
      <c r="C3613" s="50"/>
      <c r="D3613" s="15"/>
    </row>
    <row r="3614" spans="2:4" x14ac:dyDescent="0.25">
      <c r="B3614" s="68"/>
      <c r="C3614" s="50"/>
      <c r="D3614" s="15"/>
    </row>
    <row r="3615" spans="2:4" x14ac:dyDescent="0.25">
      <c r="B3615" s="68"/>
      <c r="C3615" s="50"/>
      <c r="D3615" s="15"/>
    </row>
    <row r="3616" spans="2:4" x14ac:dyDescent="0.25">
      <c r="B3616" s="68"/>
      <c r="C3616" s="50"/>
      <c r="D3616" s="15"/>
    </row>
    <row r="3617" spans="2:4" x14ac:dyDescent="0.25">
      <c r="B3617" s="68"/>
      <c r="C3617" s="50"/>
      <c r="D3617" s="15"/>
    </row>
    <row r="3618" spans="2:4" x14ac:dyDescent="0.25">
      <c r="B3618" s="68"/>
      <c r="C3618" s="50"/>
      <c r="D3618" s="15"/>
    </row>
    <row r="3619" spans="2:4" x14ac:dyDescent="0.25">
      <c r="B3619" s="68"/>
      <c r="C3619" s="50"/>
      <c r="D3619" s="15"/>
    </row>
    <row r="3620" spans="2:4" x14ac:dyDescent="0.25">
      <c r="B3620" s="68"/>
      <c r="C3620" s="50"/>
      <c r="D3620" s="15"/>
    </row>
    <row r="3621" spans="2:4" x14ac:dyDescent="0.25">
      <c r="B3621" s="68"/>
      <c r="C3621" s="50"/>
      <c r="D3621" s="15"/>
    </row>
    <row r="3622" spans="2:4" x14ac:dyDescent="0.25">
      <c r="B3622" s="68"/>
      <c r="C3622" s="50"/>
      <c r="D3622" s="15"/>
    </row>
    <row r="3623" spans="2:4" x14ac:dyDescent="0.25">
      <c r="B3623" s="68"/>
      <c r="C3623" s="50"/>
      <c r="D3623" s="15"/>
    </row>
    <row r="3624" spans="2:4" x14ac:dyDescent="0.25">
      <c r="B3624" s="68"/>
      <c r="C3624" s="50"/>
      <c r="D3624" s="15"/>
    </row>
    <row r="3625" spans="2:4" x14ac:dyDescent="0.25">
      <c r="B3625" s="68"/>
      <c r="C3625" s="50"/>
      <c r="D3625" s="15"/>
    </row>
    <row r="3626" spans="2:4" x14ac:dyDescent="0.25">
      <c r="B3626" s="68"/>
      <c r="C3626" s="50"/>
      <c r="D3626" s="15"/>
    </row>
    <row r="3627" spans="2:4" x14ac:dyDescent="0.25">
      <c r="B3627" s="68"/>
      <c r="C3627" s="50"/>
      <c r="D3627" s="15"/>
    </row>
    <row r="3628" spans="2:4" x14ac:dyDescent="0.25">
      <c r="B3628" s="68"/>
      <c r="C3628" s="50"/>
      <c r="D3628" s="15"/>
    </row>
    <row r="3629" spans="2:4" x14ac:dyDescent="0.25">
      <c r="B3629" s="68"/>
      <c r="C3629" s="50"/>
      <c r="D3629" s="15"/>
    </row>
    <row r="3630" spans="2:4" x14ac:dyDescent="0.25">
      <c r="B3630" s="68"/>
      <c r="C3630" s="50"/>
      <c r="D3630" s="15"/>
    </row>
    <row r="3631" spans="2:4" x14ac:dyDescent="0.25">
      <c r="B3631" s="68"/>
      <c r="C3631" s="50"/>
      <c r="D3631" s="15"/>
    </row>
    <row r="3632" spans="2:4" x14ac:dyDescent="0.25">
      <c r="B3632" s="68"/>
      <c r="C3632" s="50"/>
      <c r="D3632" s="15"/>
    </row>
    <row r="3633" spans="2:4" x14ac:dyDescent="0.25">
      <c r="B3633" s="68"/>
      <c r="C3633" s="50"/>
      <c r="D3633" s="15"/>
    </row>
    <row r="3634" spans="2:4" x14ac:dyDescent="0.25">
      <c r="B3634" s="68"/>
      <c r="C3634" s="50"/>
      <c r="D3634" s="15"/>
    </row>
    <row r="3635" spans="2:4" x14ac:dyDescent="0.25">
      <c r="B3635" s="68"/>
      <c r="C3635" s="50"/>
      <c r="D3635" s="15"/>
    </row>
    <row r="3636" spans="2:4" x14ac:dyDescent="0.25">
      <c r="B3636" s="68"/>
      <c r="C3636" s="50"/>
      <c r="D3636" s="15"/>
    </row>
    <row r="3637" spans="2:4" x14ac:dyDescent="0.25">
      <c r="B3637" s="68"/>
      <c r="C3637" s="50"/>
      <c r="D3637" s="15"/>
    </row>
    <row r="3638" spans="2:4" x14ac:dyDescent="0.25">
      <c r="B3638" s="68"/>
      <c r="C3638" s="50"/>
      <c r="D3638" s="15"/>
    </row>
    <row r="3639" spans="2:4" x14ac:dyDescent="0.25">
      <c r="B3639" s="68"/>
      <c r="C3639" s="50"/>
      <c r="D3639" s="15"/>
    </row>
    <row r="3640" spans="2:4" x14ac:dyDescent="0.25">
      <c r="B3640" s="68"/>
      <c r="C3640" s="50"/>
      <c r="D3640" s="15"/>
    </row>
    <row r="3641" spans="2:4" x14ac:dyDescent="0.25">
      <c r="B3641" s="68"/>
      <c r="C3641" s="50"/>
      <c r="D3641" s="15"/>
    </row>
    <row r="3642" spans="2:4" x14ac:dyDescent="0.25">
      <c r="B3642" s="68"/>
      <c r="C3642" s="50"/>
      <c r="D3642" s="15"/>
    </row>
    <row r="3643" spans="2:4" x14ac:dyDescent="0.25">
      <c r="B3643" s="68"/>
      <c r="C3643" s="50"/>
      <c r="D3643" s="15"/>
    </row>
    <row r="3644" spans="2:4" x14ac:dyDescent="0.25">
      <c r="B3644" s="68"/>
      <c r="C3644" s="50"/>
      <c r="D3644" s="15"/>
    </row>
    <row r="3645" spans="2:4" x14ac:dyDescent="0.25">
      <c r="B3645" s="68"/>
      <c r="C3645" s="50"/>
      <c r="D3645" s="15"/>
    </row>
    <row r="3646" spans="2:4" x14ac:dyDescent="0.25">
      <c r="B3646" s="68"/>
      <c r="C3646" s="50"/>
      <c r="D3646" s="15"/>
    </row>
    <row r="3647" spans="2:4" x14ac:dyDescent="0.25">
      <c r="B3647" s="68"/>
      <c r="C3647" s="50"/>
      <c r="D3647" s="15"/>
    </row>
    <row r="3648" spans="2:4" x14ac:dyDescent="0.25">
      <c r="B3648" s="68"/>
      <c r="C3648" s="50"/>
      <c r="D3648" s="15"/>
    </row>
    <row r="3649" spans="2:4" x14ac:dyDescent="0.25">
      <c r="B3649" s="68"/>
      <c r="C3649" s="50"/>
      <c r="D3649" s="15"/>
    </row>
    <row r="3650" spans="2:4" x14ac:dyDescent="0.25">
      <c r="B3650" s="68"/>
      <c r="C3650" s="50"/>
      <c r="D3650" s="15"/>
    </row>
    <row r="3651" spans="2:4" x14ac:dyDescent="0.25">
      <c r="B3651" s="68"/>
      <c r="C3651" s="50"/>
      <c r="D3651" s="15"/>
    </row>
    <row r="3652" spans="2:4" x14ac:dyDescent="0.25">
      <c r="B3652" s="68"/>
      <c r="C3652" s="50"/>
      <c r="D3652" s="15"/>
    </row>
    <row r="3653" spans="2:4" x14ac:dyDescent="0.25">
      <c r="B3653" s="68"/>
      <c r="C3653" s="50"/>
      <c r="D3653" s="15"/>
    </row>
    <row r="3654" spans="2:4" x14ac:dyDescent="0.25">
      <c r="B3654" s="68"/>
      <c r="C3654" s="50"/>
      <c r="D3654" s="15"/>
    </row>
    <row r="3655" spans="2:4" x14ac:dyDescent="0.25">
      <c r="B3655" s="68"/>
      <c r="C3655" s="50"/>
      <c r="D3655" s="15"/>
    </row>
    <row r="3656" spans="2:4" x14ac:dyDescent="0.25">
      <c r="B3656" s="68"/>
      <c r="C3656" s="50"/>
      <c r="D3656" s="15"/>
    </row>
    <row r="3657" spans="2:4" x14ac:dyDescent="0.25">
      <c r="B3657" s="68"/>
      <c r="C3657" s="50"/>
      <c r="D3657" s="15"/>
    </row>
    <row r="3658" spans="2:4" x14ac:dyDescent="0.25">
      <c r="B3658" s="68"/>
      <c r="C3658" s="50"/>
      <c r="D3658" s="15"/>
    </row>
    <row r="3659" spans="2:4" x14ac:dyDescent="0.25">
      <c r="B3659" s="68"/>
      <c r="C3659" s="50"/>
      <c r="D3659" s="15"/>
    </row>
    <row r="3660" spans="2:4" x14ac:dyDescent="0.25">
      <c r="B3660" s="68"/>
      <c r="C3660" s="50"/>
      <c r="D3660" s="15"/>
    </row>
    <row r="3661" spans="2:4" x14ac:dyDescent="0.25">
      <c r="B3661" s="68"/>
      <c r="C3661" s="50"/>
      <c r="D3661" s="15"/>
    </row>
    <row r="3662" spans="2:4" x14ac:dyDescent="0.25">
      <c r="B3662" s="68"/>
      <c r="C3662" s="50"/>
      <c r="D3662" s="15"/>
    </row>
    <row r="3663" spans="2:4" x14ac:dyDescent="0.25">
      <c r="B3663" s="68"/>
      <c r="C3663" s="50"/>
      <c r="D3663" s="15"/>
    </row>
    <row r="3664" spans="2:4" x14ac:dyDescent="0.25">
      <c r="B3664" s="68"/>
      <c r="C3664" s="50"/>
      <c r="D3664" s="15"/>
    </row>
    <row r="3665" spans="2:4" x14ac:dyDescent="0.25">
      <c r="B3665" s="68"/>
      <c r="C3665" s="50"/>
      <c r="D3665" s="15"/>
    </row>
    <row r="3666" spans="2:4" x14ac:dyDescent="0.25">
      <c r="B3666" s="68"/>
      <c r="C3666" s="50"/>
      <c r="D3666" s="15"/>
    </row>
    <row r="3667" spans="2:4" x14ac:dyDescent="0.25">
      <c r="B3667" s="68"/>
      <c r="C3667" s="50"/>
      <c r="D3667" s="15"/>
    </row>
    <row r="3668" spans="2:4" x14ac:dyDescent="0.25">
      <c r="B3668" s="68"/>
      <c r="C3668" s="50"/>
      <c r="D3668" s="15"/>
    </row>
    <row r="3669" spans="2:4" x14ac:dyDescent="0.25">
      <c r="B3669" s="68"/>
      <c r="C3669" s="50"/>
      <c r="D3669" s="15"/>
    </row>
    <row r="3670" spans="2:4" x14ac:dyDescent="0.25">
      <c r="B3670" s="68"/>
      <c r="C3670" s="50"/>
      <c r="D3670" s="15"/>
    </row>
    <row r="3671" spans="2:4" x14ac:dyDescent="0.25">
      <c r="B3671" s="68"/>
      <c r="C3671" s="50"/>
      <c r="D3671" s="15"/>
    </row>
    <row r="3672" spans="2:4" x14ac:dyDescent="0.25">
      <c r="B3672" s="68"/>
      <c r="C3672" s="50"/>
      <c r="D3672" s="15"/>
    </row>
    <row r="3673" spans="2:4" x14ac:dyDescent="0.25">
      <c r="B3673" s="68"/>
      <c r="C3673" s="50"/>
      <c r="D3673" s="15"/>
    </row>
    <row r="3674" spans="2:4" x14ac:dyDescent="0.25">
      <c r="B3674" s="68"/>
      <c r="C3674" s="50"/>
      <c r="D3674" s="15"/>
    </row>
    <row r="3675" spans="2:4" x14ac:dyDescent="0.25">
      <c r="B3675" s="68"/>
      <c r="C3675" s="50"/>
      <c r="D3675" s="15"/>
    </row>
    <row r="3676" spans="2:4" x14ac:dyDescent="0.25">
      <c r="B3676" s="68"/>
      <c r="C3676" s="50"/>
      <c r="D3676" s="15"/>
    </row>
    <row r="3677" spans="2:4" x14ac:dyDescent="0.25">
      <c r="B3677" s="68"/>
      <c r="C3677" s="50"/>
      <c r="D3677" s="15"/>
    </row>
    <row r="3678" spans="2:4" x14ac:dyDescent="0.25">
      <c r="B3678" s="68"/>
      <c r="C3678" s="50"/>
      <c r="D3678" s="15"/>
    </row>
    <row r="3679" spans="2:4" x14ac:dyDescent="0.25">
      <c r="B3679" s="68"/>
      <c r="C3679" s="50"/>
      <c r="D3679" s="15"/>
    </row>
    <row r="3680" spans="2:4" x14ac:dyDescent="0.25">
      <c r="B3680" s="68"/>
      <c r="C3680" s="50"/>
      <c r="D3680" s="15"/>
    </row>
    <row r="3681" spans="2:4" x14ac:dyDescent="0.25">
      <c r="B3681" s="68"/>
      <c r="C3681" s="50"/>
      <c r="D3681" s="15"/>
    </row>
    <row r="3682" spans="2:4" x14ac:dyDescent="0.25">
      <c r="B3682" s="68"/>
      <c r="C3682" s="50"/>
      <c r="D3682" s="15"/>
    </row>
    <row r="3683" spans="2:4" x14ac:dyDescent="0.25">
      <c r="B3683" s="68"/>
      <c r="C3683" s="50"/>
      <c r="D3683" s="15"/>
    </row>
    <row r="3684" spans="2:4" x14ac:dyDescent="0.25">
      <c r="B3684" s="68"/>
      <c r="C3684" s="50"/>
      <c r="D3684" s="15"/>
    </row>
    <row r="3685" spans="2:4" x14ac:dyDescent="0.25">
      <c r="B3685" s="68"/>
      <c r="C3685" s="50"/>
      <c r="D3685" s="15"/>
    </row>
    <row r="3686" spans="2:4" x14ac:dyDescent="0.25">
      <c r="B3686" s="68"/>
      <c r="C3686" s="50"/>
      <c r="D3686" s="15"/>
    </row>
    <row r="3687" spans="2:4" x14ac:dyDescent="0.25">
      <c r="B3687" s="68"/>
      <c r="C3687" s="50"/>
      <c r="D3687" s="15"/>
    </row>
    <row r="3688" spans="2:4" x14ac:dyDescent="0.25">
      <c r="B3688" s="68"/>
      <c r="C3688" s="50"/>
      <c r="D3688" s="15"/>
    </row>
    <row r="3689" spans="2:4" x14ac:dyDescent="0.25">
      <c r="B3689" s="68"/>
      <c r="C3689" s="50"/>
      <c r="D3689" s="15"/>
    </row>
    <row r="3690" spans="2:4" x14ac:dyDescent="0.25">
      <c r="B3690" s="68"/>
      <c r="C3690" s="50"/>
      <c r="D3690" s="15"/>
    </row>
    <row r="3691" spans="2:4" x14ac:dyDescent="0.25">
      <c r="B3691" s="68"/>
      <c r="C3691" s="50"/>
      <c r="D3691" s="15"/>
    </row>
    <row r="3692" spans="2:4" x14ac:dyDescent="0.25">
      <c r="B3692" s="68"/>
      <c r="C3692" s="50"/>
      <c r="D3692" s="15"/>
    </row>
    <row r="3693" spans="2:4" x14ac:dyDescent="0.25">
      <c r="B3693" s="68"/>
      <c r="C3693" s="50"/>
      <c r="D3693" s="15"/>
    </row>
    <row r="3694" spans="2:4" x14ac:dyDescent="0.25">
      <c r="B3694" s="68"/>
      <c r="C3694" s="50"/>
      <c r="D3694" s="15"/>
    </row>
    <row r="3695" spans="2:4" x14ac:dyDescent="0.25">
      <c r="B3695" s="68"/>
      <c r="C3695" s="50"/>
      <c r="D3695" s="15"/>
    </row>
    <row r="3696" spans="2:4" x14ac:dyDescent="0.25">
      <c r="B3696" s="68"/>
      <c r="C3696" s="50"/>
      <c r="D3696" s="15"/>
    </row>
    <row r="3697" spans="2:4" x14ac:dyDescent="0.25">
      <c r="B3697" s="68"/>
      <c r="C3697" s="50"/>
      <c r="D3697" s="15"/>
    </row>
    <row r="3698" spans="2:4" x14ac:dyDescent="0.25">
      <c r="B3698" s="68"/>
      <c r="C3698" s="50"/>
      <c r="D3698" s="15"/>
    </row>
    <row r="3699" spans="2:4" x14ac:dyDescent="0.25">
      <c r="B3699" s="68"/>
      <c r="C3699" s="50"/>
      <c r="D3699" s="15"/>
    </row>
    <row r="3700" spans="2:4" x14ac:dyDescent="0.25">
      <c r="B3700" s="68"/>
      <c r="C3700" s="50"/>
      <c r="D3700" s="15"/>
    </row>
    <row r="3701" spans="2:4" x14ac:dyDescent="0.25">
      <c r="B3701" s="68"/>
      <c r="C3701" s="50"/>
      <c r="D3701" s="15"/>
    </row>
    <row r="3702" spans="2:4" x14ac:dyDescent="0.25">
      <c r="B3702" s="68"/>
      <c r="C3702" s="50"/>
      <c r="D3702" s="15"/>
    </row>
    <row r="3703" spans="2:4" x14ac:dyDescent="0.25">
      <c r="B3703" s="68"/>
      <c r="C3703" s="50"/>
      <c r="D3703" s="15"/>
    </row>
    <row r="3704" spans="2:4" x14ac:dyDescent="0.25">
      <c r="B3704" s="68"/>
      <c r="C3704" s="50"/>
      <c r="D3704" s="15"/>
    </row>
    <row r="3705" spans="2:4" x14ac:dyDescent="0.25">
      <c r="B3705" s="68"/>
      <c r="C3705" s="50"/>
      <c r="D3705" s="15"/>
    </row>
    <row r="3706" spans="2:4" x14ac:dyDescent="0.25">
      <c r="B3706" s="68"/>
      <c r="C3706" s="50"/>
      <c r="D3706" s="15"/>
    </row>
    <row r="3707" spans="2:4" x14ac:dyDescent="0.25">
      <c r="B3707" s="68"/>
      <c r="C3707" s="50"/>
      <c r="D3707" s="15"/>
    </row>
    <row r="3708" spans="2:4" x14ac:dyDescent="0.25">
      <c r="B3708" s="68"/>
      <c r="C3708" s="50"/>
      <c r="D3708" s="15"/>
    </row>
    <row r="3709" spans="2:4" x14ac:dyDescent="0.25">
      <c r="B3709" s="68"/>
      <c r="C3709" s="50"/>
      <c r="D3709" s="15"/>
    </row>
    <row r="3710" spans="2:4" x14ac:dyDescent="0.25">
      <c r="B3710" s="68"/>
      <c r="C3710" s="50"/>
      <c r="D3710" s="15"/>
    </row>
    <row r="3711" spans="2:4" x14ac:dyDescent="0.25">
      <c r="B3711" s="68"/>
      <c r="C3711" s="50"/>
      <c r="D3711" s="15"/>
    </row>
    <row r="3712" spans="2:4" x14ac:dyDescent="0.25">
      <c r="B3712" s="68"/>
      <c r="C3712" s="50"/>
      <c r="D3712" s="15"/>
    </row>
    <row r="3713" spans="2:4" x14ac:dyDescent="0.25">
      <c r="B3713" s="68"/>
      <c r="C3713" s="50"/>
      <c r="D3713" s="15"/>
    </row>
    <row r="3714" spans="2:4" x14ac:dyDescent="0.25">
      <c r="B3714" s="68"/>
      <c r="C3714" s="50"/>
      <c r="D3714" s="15"/>
    </row>
    <row r="3715" spans="2:4" x14ac:dyDescent="0.25">
      <c r="B3715" s="68"/>
      <c r="C3715" s="50"/>
      <c r="D3715" s="15"/>
    </row>
    <row r="3716" spans="2:4" x14ac:dyDescent="0.25">
      <c r="B3716" s="68"/>
      <c r="C3716" s="50"/>
      <c r="D3716" s="15"/>
    </row>
    <row r="3717" spans="2:4" x14ac:dyDescent="0.25">
      <c r="B3717" s="68"/>
      <c r="C3717" s="50"/>
      <c r="D3717" s="15"/>
    </row>
    <row r="3718" spans="2:4" x14ac:dyDescent="0.25">
      <c r="B3718" s="68"/>
      <c r="C3718" s="50"/>
      <c r="D3718" s="15"/>
    </row>
    <row r="3719" spans="2:4" x14ac:dyDescent="0.25">
      <c r="B3719" s="68"/>
      <c r="C3719" s="50"/>
      <c r="D3719" s="15"/>
    </row>
    <row r="3720" spans="2:4" x14ac:dyDescent="0.25">
      <c r="B3720" s="68"/>
      <c r="C3720" s="50"/>
      <c r="D3720" s="15"/>
    </row>
    <row r="3721" spans="2:4" x14ac:dyDescent="0.25">
      <c r="B3721" s="68"/>
      <c r="C3721" s="50"/>
      <c r="D3721" s="15"/>
    </row>
    <row r="3722" spans="2:4" x14ac:dyDescent="0.25">
      <c r="B3722" s="68"/>
      <c r="C3722" s="50"/>
      <c r="D3722" s="15"/>
    </row>
    <row r="3723" spans="2:4" x14ac:dyDescent="0.25">
      <c r="B3723" s="68"/>
      <c r="C3723" s="50"/>
      <c r="D3723" s="15"/>
    </row>
    <row r="3724" spans="2:4" x14ac:dyDescent="0.25">
      <c r="B3724" s="68"/>
      <c r="C3724" s="50"/>
      <c r="D3724" s="15"/>
    </row>
    <row r="3725" spans="2:4" x14ac:dyDescent="0.25">
      <c r="B3725" s="68"/>
      <c r="C3725" s="50"/>
      <c r="D3725" s="15"/>
    </row>
    <row r="3726" spans="2:4" x14ac:dyDescent="0.25">
      <c r="B3726" s="68"/>
      <c r="C3726" s="50"/>
      <c r="D3726" s="15"/>
    </row>
    <row r="3727" spans="2:4" x14ac:dyDescent="0.25">
      <c r="B3727" s="68"/>
      <c r="C3727" s="50"/>
      <c r="D3727" s="15"/>
    </row>
    <row r="3728" spans="2:4" x14ac:dyDescent="0.25">
      <c r="B3728" s="68"/>
      <c r="C3728" s="50"/>
      <c r="D3728" s="15"/>
    </row>
    <row r="3729" spans="2:4" x14ac:dyDescent="0.25">
      <c r="B3729" s="68"/>
      <c r="C3729" s="50"/>
      <c r="D3729" s="15"/>
    </row>
    <row r="3730" spans="2:4" x14ac:dyDescent="0.25">
      <c r="B3730" s="68"/>
      <c r="C3730" s="50"/>
      <c r="D3730" s="15"/>
    </row>
    <row r="3731" spans="2:4" x14ac:dyDescent="0.25">
      <c r="B3731" s="68"/>
      <c r="C3731" s="50"/>
      <c r="D3731" s="15"/>
    </row>
    <row r="3732" spans="2:4" x14ac:dyDescent="0.25">
      <c r="B3732" s="68"/>
      <c r="C3732" s="50"/>
      <c r="D3732" s="15"/>
    </row>
    <row r="3733" spans="2:4" x14ac:dyDescent="0.25">
      <c r="B3733" s="68"/>
      <c r="C3733" s="50"/>
      <c r="D3733" s="15"/>
    </row>
    <row r="3734" spans="2:4" x14ac:dyDescent="0.25">
      <c r="B3734" s="68"/>
      <c r="C3734" s="50"/>
      <c r="D3734" s="15"/>
    </row>
    <row r="3735" spans="2:4" x14ac:dyDescent="0.25">
      <c r="B3735" s="68"/>
      <c r="C3735" s="50"/>
      <c r="D3735" s="15"/>
    </row>
    <row r="3736" spans="2:4" x14ac:dyDescent="0.25">
      <c r="B3736" s="68"/>
      <c r="C3736" s="50"/>
      <c r="D3736" s="15"/>
    </row>
    <row r="3737" spans="2:4" x14ac:dyDescent="0.25">
      <c r="B3737" s="68"/>
      <c r="C3737" s="50"/>
      <c r="D3737" s="15"/>
    </row>
    <row r="3738" spans="2:4" x14ac:dyDescent="0.25">
      <c r="B3738" s="68"/>
      <c r="C3738" s="50"/>
      <c r="D3738" s="15"/>
    </row>
    <row r="3739" spans="2:4" x14ac:dyDescent="0.25">
      <c r="B3739" s="68"/>
      <c r="C3739" s="50"/>
      <c r="D3739" s="15"/>
    </row>
    <row r="3740" spans="2:4" x14ac:dyDescent="0.25">
      <c r="B3740" s="68"/>
      <c r="C3740" s="50"/>
      <c r="D3740" s="15"/>
    </row>
    <row r="3741" spans="2:4" x14ac:dyDescent="0.25">
      <c r="B3741" s="68"/>
      <c r="C3741" s="50"/>
      <c r="D3741" s="15"/>
    </row>
    <row r="3742" spans="2:4" x14ac:dyDescent="0.25">
      <c r="B3742" s="68"/>
      <c r="C3742" s="50"/>
      <c r="D3742" s="15"/>
    </row>
    <row r="3743" spans="2:4" x14ac:dyDescent="0.25">
      <c r="B3743" s="68"/>
      <c r="C3743" s="50"/>
      <c r="D3743" s="15"/>
    </row>
    <row r="3744" spans="2:4" x14ac:dyDescent="0.25">
      <c r="B3744" s="68"/>
      <c r="C3744" s="50"/>
      <c r="D3744" s="15"/>
    </row>
    <row r="3745" spans="2:4" x14ac:dyDescent="0.25">
      <c r="B3745" s="68"/>
      <c r="C3745" s="50"/>
      <c r="D3745" s="15"/>
    </row>
    <row r="3746" spans="2:4" x14ac:dyDescent="0.25">
      <c r="B3746" s="68"/>
      <c r="C3746" s="50"/>
      <c r="D3746" s="15"/>
    </row>
    <row r="3747" spans="2:4" x14ac:dyDescent="0.25">
      <c r="B3747" s="68"/>
      <c r="C3747" s="50"/>
      <c r="D3747" s="15"/>
    </row>
    <row r="3748" spans="2:4" x14ac:dyDescent="0.25">
      <c r="B3748" s="68"/>
      <c r="C3748" s="50"/>
      <c r="D3748" s="15"/>
    </row>
    <row r="3749" spans="2:4" x14ac:dyDescent="0.25">
      <c r="B3749" s="68"/>
      <c r="C3749" s="50"/>
      <c r="D3749" s="15"/>
    </row>
    <row r="3750" spans="2:4" x14ac:dyDescent="0.25">
      <c r="B3750" s="68"/>
      <c r="C3750" s="50"/>
      <c r="D3750" s="15"/>
    </row>
    <row r="3751" spans="2:4" x14ac:dyDescent="0.25">
      <c r="B3751" s="68"/>
      <c r="C3751" s="50"/>
      <c r="D3751" s="15"/>
    </row>
    <row r="3752" spans="2:4" x14ac:dyDescent="0.25">
      <c r="B3752" s="68"/>
      <c r="C3752" s="50"/>
      <c r="D3752" s="15"/>
    </row>
    <row r="3753" spans="2:4" x14ac:dyDescent="0.25">
      <c r="B3753" s="68"/>
      <c r="C3753" s="50"/>
      <c r="D3753" s="15"/>
    </row>
    <row r="3754" spans="2:4" x14ac:dyDescent="0.25">
      <c r="B3754" s="68"/>
      <c r="C3754" s="50"/>
      <c r="D3754" s="15"/>
    </row>
    <row r="3755" spans="2:4" x14ac:dyDescent="0.25">
      <c r="B3755" s="68"/>
      <c r="C3755" s="50"/>
      <c r="D3755" s="15"/>
    </row>
    <row r="3756" spans="2:4" x14ac:dyDescent="0.25">
      <c r="B3756" s="68"/>
      <c r="C3756" s="50"/>
      <c r="D3756" s="15"/>
    </row>
    <row r="3757" spans="2:4" x14ac:dyDescent="0.25">
      <c r="B3757" s="68"/>
      <c r="C3757" s="50"/>
      <c r="D3757" s="15"/>
    </row>
    <row r="3758" spans="2:4" x14ac:dyDescent="0.25">
      <c r="B3758" s="68"/>
      <c r="C3758" s="50"/>
      <c r="D3758" s="15"/>
    </row>
    <row r="3759" spans="2:4" x14ac:dyDescent="0.25">
      <c r="B3759" s="68"/>
      <c r="C3759" s="50"/>
      <c r="D3759" s="15"/>
    </row>
    <row r="3760" spans="2:4" x14ac:dyDescent="0.25">
      <c r="B3760" s="68"/>
      <c r="C3760" s="50"/>
      <c r="D3760" s="15"/>
    </row>
    <row r="3761" spans="2:4" x14ac:dyDescent="0.25">
      <c r="B3761" s="68"/>
      <c r="C3761" s="50"/>
      <c r="D3761" s="15"/>
    </row>
    <row r="3762" spans="2:4" x14ac:dyDescent="0.25">
      <c r="B3762" s="68"/>
      <c r="C3762" s="50"/>
      <c r="D3762" s="15"/>
    </row>
    <row r="3763" spans="2:4" x14ac:dyDescent="0.25">
      <c r="B3763" s="68"/>
      <c r="C3763" s="50"/>
      <c r="D3763" s="15"/>
    </row>
    <row r="3764" spans="2:4" x14ac:dyDescent="0.25">
      <c r="B3764" s="68"/>
      <c r="C3764" s="50"/>
      <c r="D3764" s="15"/>
    </row>
    <row r="3765" spans="2:4" x14ac:dyDescent="0.25">
      <c r="B3765" s="68"/>
      <c r="C3765" s="50"/>
      <c r="D3765" s="15"/>
    </row>
    <row r="3766" spans="2:4" x14ac:dyDescent="0.25">
      <c r="B3766" s="68"/>
      <c r="C3766" s="50"/>
      <c r="D3766" s="15"/>
    </row>
    <row r="3767" spans="2:4" x14ac:dyDescent="0.25">
      <c r="B3767" s="68"/>
      <c r="C3767" s="50"/>
      <c r="D3767" s="15"/>
    </row>
    <row r="3768" spans="2:4" x14ac:dyDescent="0.25">
      <c r="B3768" s="68"/>
      <c r="C3768" s="50"/>
      <c r="D3768" s="15"/>
    </row>
    <row r="3769" spans="2:4" x14ac:dyDescent="0.25">
      <c r="B3769" s="68"/>
      <c r="C3769" s="50"/>
      <c r="D3769" s="15"/>
    </row>
    <row r="3770" spans="2:4" x14ac:dyDescent="0.25">
      <c r="B3770" s="68"/>
      <c r="C3770" s="50"/>
      <c r="D3770" s="15"/>
    </row>
    <row r="3771" spans="2:4" x14ac:dyDescent="0.25">
      <c r="B3771" s="68"/>
      <c r="C3771" s="50"/>
      <c r="D3771" s="15"/>
    </row>
    <row r="3772" spans="2:4" x14ac:dyDescent="0.25">
      <c r="B3772" s="68"/>
      <c r="C3772" s="50"/>
      <c r="D3772" s="15"/>
    </row>
    <row r="3773" spans="2:4" x14ac:dyDescent="0.25">
      <c r="B3773" s="68"/>
      <c r="C3773" s="50"/>
      <c r="D3773" s="15"/>
    </row>
  </sheetData>
  <mergeCells count="4">
    <mergeCell ref="B2:E2"/>
    <mergeCell ref="B4:D4"/>
    <mergeCell ref="G4:I4"/>
    <mergeCell ref="L4:M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0"/>
  <sheetViews>
    <sheetView showGridLines="0" workbookViewId="0">
      <selection activeCell="F15" sqref="F15"/>
    </sheetView>
  </sheetViews>
  <sheetFormatPr defaultRowHeight="15" x14ac:dyDescent="0.25"/>
  <cols>
    <col min="1" max="1" width="1.85546875" customWidth="1"/>
    <col min="5" max="5" width="18.7109375" customWidth="1"/>
  </cols>
  <sheetData>
    <row r="2" spans="1:8" x14ac:dyDescent="0.25">
      <c r="A2" s="95" t="s">
        <v>107</v>
      </c>
      <c r="B2" s="95"/>
      <c r="C2" s="95"/>
      <c r="D2" s="1"/>
      <c r="E2" s="1"/>
      <c r="F2" s="1"/>
      <c r="G2" s="76"/>
      <c r="H2" s="76"/>
    </row>
    <row r="3" spans="1:8" s="77" customFormat="1" x14ac:dyDescent="0.25"/>
    <row r="4" spans="1:8" x14ac:dyDescent="0.25">
      <c r="B4" s="65" t="s">
        <v>105</v>
      </c>
      <c r="C4" s="3" t="s">
        <v>106</v>
      </c>
    </row>
    <row r="5" spans="1:8" x14ac:dyDescent="0.25">
      <c r="B5" s="79">
        <v>2000</v>
      </c>
      <c r="C5" s="15">
        <v>-0.14649999999999999</v>
      </c>
    </row>
    <row r="6" spans="1:8" x14ac:dyDescent="0.25">
      <c r="B6" s="79">
        <v>2001</v>
      </c>
      <c r="C6" s="15">
        <v>-0.1618</v>
      </c>
      <c r="E6" t="s">
        <v>108</v>
      </c>
      <c r="F6" s="83">
        <f>AVERAGE(C5:C29)</f>
        <v>0.15334799999999998</v>
      </c>
    </row>
    <row r="7" spans="1:8" ht="17.25" x14ac:dyDescent="0.25">
      <c r="B7" s="79">
        <v>2002</v>
      </c>
      <c r="C7" s="15">
        <v>3.2500000000000001E-2</v>
      </c>
      <c r="E7" t="s">
        <v>109</v>
      </c>
      <c r="F7" s="82" t="s">
        <v>110</v>
      </c>
    </row>
    <row r="8" spans="1:8" x14ac:dyDescent="0.25">
      <c r="B8" s="79">
        <v>2003</v>
      </c>
      <c r="C8" s="15">
        <v>0.71900000000000008</v>
      </c>
      <c r="E8" s="63" t="s">
        <v>111</v>
      </c>
      <c r="F8" s="84">
        <f>SUM(F6:F7)</f>
        <v>0.15334799999999998</v>
      </c>
    </row>
    <row r="9" spans="1:8" x14ac:dyDescent="0.25">
      <c r="B9" s="79">
        <v>2004</v>
      </c>
      <c r="C9" s="15">
        <v>0.10679999999999999</v>
      </c>
    </row>
    <row r="10" spans="1:8" x14ac:dyDescent="0.25">
      <c r="B10" s="79">
        <v>2005</v>
      </c>
      <c r="C10" s="15">
        <v>0.36340000000000006</v>
      </c>
    </row>
    <row r="11" spans="1:8" x14ac:dyDescent="0.25">
      <c r="B11" s="79">
        <v>2006</v>
      </c>
      <c r="C11" s="15">
        <v>0.39829999999999999</v>
      </c>
    </row>
    <row r="12" spans="1:8" x14ac:dyDescent="0.25">
      <c r="B12" s="79">
        <v>2007</v>
      </c>
      <c r="C12" s="15">
        <v>0.54770000000000008</v>
      </c>
    </row>
    <row r="13" spans="1:8" x14ac:dyDescent="0.25">
      <c r="B13" s="79">
        <v>2008</v>
      </c>
      <c r="C13" s="15">
        <v>-0.51790000000000003</v>
      </c>
    </row>
    <row r="14" spans="1:8" x14ac:dyDescent="0.25">
      <c r="B14" s="79">
        <v>2009</v>
      </c>
      <c r="C14" s="15">
        <v>0.75760000000000005</v>
      </c>
    </row>
    <row r="15" spans="1:8" x14ac:dyDescent="0.25">
      <c r="B15" s="79">
        <v>2010</v>
      </c>
      <c r="C15" s="15">
        <v>0.17949999999999999</v>
      </c>
    </row>
    <row r="16" spans="1:8" x14ac:dyDescent="0.25">
      <c r="B16" s="79">
        <v>2011</v>
      </c>
      <c r="C16" s="15">
        <v>-0.2462</v>
      </c>
    </row>
    <row r="17" spans="2:3" x14ac:dyDescent="0.25">
      <c r="B17" s="79">
        <v>2012</v>
      </c>
      <c r="C17" s="15">
        <v>0.27699999999999997</v>
      </c>
    </row>
    <row r="18" spans="2:3" x14ac:dyDescent="0.25">
      <c r="B18" s="79">
        <v>2013</v>
      </c>
      <c r="C18" s="15">
        <v>6.7599999999999993E-2</v>
      </c>
    </row>
    <row r="19" spans="2:3" x14ac:dyDescent="0.25">
      <c r="B19" s="79">
        <v>2014</v>
      </c>
      <c r="C19" s="15">
        <v>0.31390000000000001</v>
      </c>
    </row>
    <row r="20" spans="2:3" x14ac:dyDescent="0.25">
      <c r="B20" s="79">
        <v>2015</v>
      </c>
      <c r="C20" s="15">
        <v>-4.0599999999999997E-2</v>
      </c>
    </row>
    <row r="21" spans="2:3" x14ac:dyDescent="0.25">
      <c r="B21" s="79">
        <v>2016</v>
      </c>
      <c r="C21" s="15">
        <v>3.0099999999999998E-2</v>
      </c>
    </row>
    <row r="22" spans="2:3" x14ac:dyDescent="0.25">
      <c r="B22" s="79">
        <v>2017</v>
      </c>
      <c r="C22" s="15">
        <v>0.28649999999999998</v>
      </c>
    </row>
    <row r="23" spans="2:3" x14ac:dyDescent="0.25">
      <c r="B23" s="79">
        <v>2018</v>
      </c>
      <c r="C23" s="15">
        <v>3.15E-2</v>
      </c>
    </row>
    <row r="24" spans="2:3" x14ac:dyDescent="0.25">
      <c r="B24" s="79">
        <v>2019</v>
      </c>
      <c r="C24" s="15">
        <v>0.1202</v>
      </c>
    </row>
    <row r="25" spans="2:3" x14ac:dyDescent="0.25">
      <c r="B25" s="79">
        <v>2020</v>
      </c>
      <c r="C25" s="15">
        <v>0.14899999999999999</v>
      </c>
    </row>
    <row r="26" spans="2:3" x14ac:dyDescent="0.25">
      <c r="B26" s="79">
        <v>2021</v>
      </c>
      <c r="C26" s="15">
        <v>0.2412</v>
      </c>
    </row>
    <row r="27" spans="2:3" x14ac:dyDescent="0.25">
      <c r="B27" s="79">
        <v>2022</v>
      </c>
      <c r="C27" s="15">
        <v>4.3200000000000002E-2</v>
      </c>
    </row>
    <row r="28" spans="2:3" x14ac:dyDescent="0.25">
      <c r="B28" s="79">
        <v>2023</v>
      </c>
      <c r="C28" s="15">
        <v>0.19420000000000001</v>
      </c>
    </row>
    <row r="29" spans="2:3" x14ac:dyDescent="0.25">
      <c r="B29" s="79">
        <v>2024</v>
      </c>
      <c r="C29" s="15">
        <v>8.7499999999999994E-2</v>
      </c>
    </row>
    <row r="30" spans="2:3" x14ac:dyDescent="0.25">
      <c r="B30" s="79">
        <v>2025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DCF&gt;</vt:lpstr>
      <vt:lpstr>WACC</vt:lpstr>
      <vt:lpstr>WACC (2)</vt:lpstr>
      <vt:lpstr>Beta Comps</vt:lpstr>
      <vt:lpstr>Data&gt;</vt:lpstr>
      <vt:lpstr>Beta</vt:lpstr>
      <vt:lpstr>Beta 2</vt:lpstr>
      <vt:lpstr>Beta 3</vt:lpstr>
      <vt:lpstr>Beta 4</vt:lpstr>
      <vt:lpstr>Beta 5</vt:lpstr>
      <vt:lpstr>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2025-12-13T07:16:34Z</dcterms:modified>
</cp:coreProperties>
</file>