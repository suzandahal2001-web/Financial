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Tata Power" sheetId="1" r:id="rId1"/>
    <sheet name="Reliance Pow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2" l="1"/>
  <c r="E16" i="2"/>
  <c r="E17" i="2"/>
  <c r="E18" i="2"/>
  <c r="E19" i="2"/>
  <c r="D16" i="2"/>
  <c r="D17" i="2"/>
  <c r="D18" i="2"/>
  <c r="D19" i="2"/>
  <c r="D15" i="2"/>
  <c r="B16" i="2"/>
  <c r="B17" i="2" s="1"/>
  <c r="B18" i="2" s="1"/>
  <c r="B19" i="2" s="1"/>
  <c r="C16" i="2"/>
  <c r="C17" i="2"/>
  <c r="C18" i="2" s="1"/>
  <c r="C19" i="2" s="1"/>
  <c r="C15" i="2"/>
  <c r="B15" i="2"/>
  <c r="E15" i="1"/>
  <c r="E16" i="1"/>
  <c r="E17" i="1"/>
  <c r="E18" i="1"/>
  <c r="E19" i="1"/>
  <c r="D16" i="1"/>
  <c r="D17" i="1"/>
  <c r="D18" i="1"/>
  <c r="D19" i="1"/>
  <c r="D15" i="1"/>
  <c r="B19" i="1"/>
  <c r="C19" i="1"/>
  <c r="B18" i="1" l="1"/>
  <c r="C18" i="1"/>
  <c r="E14" i="2"/>
  <c r="E13" i="2"/>
  <c r="E12" i="2"/>
  <c r="E11" i="2"/>
  <c r="E10" i="2"/>
  <c r="E9" i="2"/>
  <c r="E8" i="2"/>
  <c r="E7" i="2"/>
  <c r="C7" i="2"/>
  <c r="C8" i="2" s="1"/>
  <c r="C9" i="2" s="1"/>
  <c r="C10" i="2" s="1"/>
  <c r="C11" i="2" s="1"/>
  <c r="C12" i="2" s="1"/>
  <c r="C13" i="2" s="1"/>
  <c r="C14" i="2" s="1"/>
  <c r="E6" i="2"/>
  <c r="C6" i="2"/>
  <c r="B6" i="2"/>
  <c r="B7" i="2" s="1"/>
  <c r="B8" i="2" s="1"/>
  <c r="B9" i="2" s="1"/>
  <c r="B10" i="2" s="1"/>
  <c r="B11" i="2" s="1"/>
  <c r="B12" i="2" s="1"/>
  <c r="B13" i="2" s="1"/>
  <c r="B14" i="2" s="1"/>
  <c r="E5" i="2"/>
  <c r="C5" i="2"/>
  <c r="B5" i="2"/>
  <c r="E4" i="2"/>
  <c r="C4" i="2"/>
  <c r="B4" i="2"/>
  <c r="E4" i="1"/>
  <c r="B4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E5" i="1"/>
  <c r="E6" i="1"/>
  <c r="E7" i="1"/>
  <c r="E8" i="1"/>
  <c r="E9" i="1"/>
  <c r="E10" i="1"/>
  <c r="E11" i="1"/>
  <c r="E12" i="1"/>
  <c r="E13" i="1"/>
  <c r="E14" i="1"/>
</calcChain>
</file>

<file path=xl/sharedStrings.xml><?xml version="1.0" encoding="utf-8"?>
<sst xmlns="http://schemas.openxmlformats.org/spreadsheetml/2006/main" count="36" uniqueCount="30">
  <si>
    <t>Sales Growth</t>
  </si>
  <si>
    <t>Sales</t>
  </si>
  <si>
    <t>Year</t>
  </si>
  <si>
    <t>Year Weight</t>
  </si>
  <si>
    <t>Tata Power</t>
  </si>
  <si>
    <t>Reliance Power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</si>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</sst>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74" formatCode="0\ &quot;A&quot;"/>
    <numFmt numFmtId="175" formatCode="0\ &quot;E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wrapText="1"/>
    </xf>
    <xf numFmtId="10" fontId="0" fillId="0" borderId="0" xfId="1" applyNumberFormat="1" applyFont="1"/>
    <xf numFmtId="9" fontId="0" fillId="0" borderId="0" xfId="1" applyFont="1" applyAlignment="1">
      <alignment horizontal="center"/>
    </xf>
    <xf numFmtId="9" fontId="3" fillId="2" borderId="0" xfId="1" applyFont="1" applyFill="1" applyAlignment="1">
      <alignment horizontal="center"/>
    </xf>
    <xf numFmtId="9" fontId="3" fillId="2" borderId="0" xfId="1" applyFont="1" applyFill="1" applyAlignment="1">
      <alignment horizontal="right"/>
    </xf>
    <xf numFmtId="9" fontId="0" fillId="0" borderId="0" xfId="1" applyFont="1"/>
    <xf numFmtId="1" fontId="0" fillId="0" borderId="0" xfId="1" applyNumberFormat="1" applyFont="1" applyAlignment="1">
      <alignment horizontal="left"/>
    </xf>
    <xf numFmtId="1" fontId="3" fillId="2" borderId="0" xfId="1" applyNumberFormat="1" applyFont="1" applyFill="1"/>
    <xf numFmtId="1" fontId="0" fillId="0" borderId="0" xfId="1" applyNumberFormat="1" applyFont="1"/>
    <xf numFmtId="1" fontId="0" fillId="0" borderId="0" xfId="0" applyNumberFormat="1"/>
    <xf numFmtId="0" fontId="0" fillId="0" borderId="0" xfId="1" applyNumberFormat="1" applyFont="1"/>
    <xf numFmtId="17" fontId="0" fillId="0" borderId="0" xfId="0" applyNumberFormat="1"/>
    <xf numFmtId="3" fontId="0" fillId="0" borderId="0" xfId="0" applyNumberFormat="1"/>
    <xf numFmtId="9" fontId="0" fillId="3" borderId="0" xfId="1" applyFont="1" applyFill="1" applyAlignment="1">
      <alignment horizontal="center"/>
    </xf>
    <xf numFmtId="0" fontId="0" fillId="3" borderId="0" xfId="0" applyFill="1"/>
    <xf numFmtId="1" fontId="3" fillId="3" borderId="0" xfId="1" applyNumberFormat="1" applyFont="1" applyFill="1"/>
    <xf numFmtId="9" fontId="3" fillId="3" borderId="0" xfId="1" applyFont="1" applyFill="1" applyAlignment="1">
      <alignment horizontal="center"/>
    </xf>
    <xf numFmtId="9" fontId="3" fillId="3" borderId="0" xfId="1" applyFont="1" applyFill="1" applyAlignment="1">
      <alignment horizontal="right"/>
    </xf>
    <xf numFmtId="1" fontId="0" fillId="3" borderId="0" xfId="1" applyNumberFormat="1" applyFont="1" applyFill="1" applyAlignment="1">
      <alignment horizontal="left"/>
    </xf>
    <xf numFmtId="0" fontId="0" fillId="3" borderId="0" xfId="1" applyNumberFormat="1" applyFont="1" applyFill="1"/>
    <xf numFmtId="2" fontId="2" fillId="3" borderId="0" xfId="1" applyNumberFormat="1" applyFont="1" applyFill="1"/>
    <xf numFmtId="9" fontId="0" fillId="3" borderId="0" xfId="1" applyFont="1" applyFill="1"/>
    <xf numFmtId="174" fontId="0" fillId="0" borderId="0" xfId="1" applyNumberFormat="1" applyFont="1"/>
    <xf numFmtId="175" fontId="0" fillId="0" borderId="0" xfId="1" applyNumberFormat="1" applyFont="1"/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Continuous"/>
    </xf>
    <xf numFmtId="4" fontId="2" fillId="0" borderId="0" xfId="1" applyNumberFormat="1" applyFont="1"/>
    <xf numFmtId="4" fontId="1" fillId="0" borderId="0" xfId="1" applyNumberFormat="1" applyFont="1"/>
    <xf numFmtId="43" fontId="2" fillId="0" borderId="0" xfId="1" applyNumberFormat="1" applyFont="1"/>
    <xf numFmtId="43" fontId="1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Regression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00206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rgbClr val="00206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'Tata Power'!$C$3:$C$14</c:f>
              <c:numCache>
                <c:formatCode>0\ "A"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xVal>
          <c:yVal>
            <c:numRef>
              <c:f>'Tata Power'!$D$3:$D$14</c:f>
              <c:numCache>
                <c:formatCode>#,##0.00</c:formatCode>
                <c:ptCount val="12"/>
                <c:pt idx="0">
                  <c:v>35726</c:v>
                </c:pt>
                <c:pt idx="1">
                  <c:v>33593</c:v>
                </c:pt>
                <c:pt idx="2">
                  <c:v>29494</c:v>
                </c:pt>
                <c:pt idx="3">
                  <c:v>27588</c:v>
                </c:pt>
                <c:pt idx="4">
                  <c:v>26840</c:v>
                </c:pt>
                <c:pt idx="5">
                  <c:v>29881</c:v>
                </c:pt>
                <c:pt idx="6">
                  <c:v>29136</c:v>
                </c:pt>
                <c:pt idx="7">
                  <c:v>32703</c:v>
                </c:pt>
                <c:pt idx="8">
                  <c:v>42816</c:v>
                </c:pt>
                <c:pt idx="9">
                  <c:v>55109</c:v>
                </c:pt>
                <c:pt idx="10">
                  <c:v>61449</c:v>
                </c:pt>
                <c:pt idx="11">
                  <c:v>65478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88-4C28-A17E-FF6BA06D5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184160"/>
        <c:axId val="383190816"/>
      </c:scatterChart>
      <c:valAx>
        <c:axId val="38318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190816"/>
        <c:crosses val="autoZero"/>
        <c:crossBetween val="midCat"/>
      </c:valAx>
      <c:valAx>
        <c:axId val="38319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184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904874</xdr:colOff>
      <xdr:row>0</xdr:row>
      <xdr:rowOff>190499</xdr:rowOff>
    </xdr:from>
    <xdr:to>
      <xdr:col>12</xdr:col>
      <xdr:colOff>466724</xdr:colOff>
      <xdr:row>12</xdr:row>
      <xdr:rowOff>161924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showGridLines="0" workbookViewId="0">
      <selection activeCell="D21" sqref="D21"/>
    </sheetView>
  </sheetViews>
  <sheetFormatPr defaultRowHeight="15" x14ac:dyDescent="0.25"/>
  <cols>
    <col min="1" max="1" width="1.85546875" style="1" customWidth="1"/>
    <col min="2" max="2" width="18.5703125" style="10" bestFit="1" customWidth="1"/>
    <col min="3" max="3" width="8.5703125" bestFit="1" customWidth="1"/>
    <col min="4" max="4" width="15.85546875" customWidth="1"/>
    <col min="5" max="5" width="12.7109375" bestFit="1" customWidth="1"/>
    <col min="7" max="7" width="18.5703125" bestFit="1" customWidth="1"/>
    <col min="8" max="8" width="12" bestFit="1" customWidth="1"/>
    <col min="9" max="9" width="8.5703125" bestFit="1" customWidth="1"/>
    <col min="10" max="10" width="12.7109375" bestFit="1" customWidth="1"/>
  </cols>
  <sheetData>
    <row r="1" spans="2:11" x14ac:dyDescent="0.25">
      <c r="B1" s="3" t="s">
        <v>4</v>
      </c>
      <c r="C1" s="3"/>
      <c r="D1" s="3"/>
      <c r="E1" s="3"/>
      <c r="G1" s="14"/>
      <c r="H1" s="14"/>
      <c r="I1" s="14"/>
      <c r="J1" s="14"/>
      <c r="K1" s="15"/>
    </row>
    <row r="2" spans="2:11" x14ac:dyDescent="0.25">
      <c r="B2" s="8" t="s">
        <v>3</v>
      </c>
      <c r="C2" s="4" t="s">
        <v>2</v>
      </c>
      <c r="D2" s="5" t="s">
        <v>1</v>
      </c>
      <c r="E2" s="5" t="s">
        <v>0</v>
      </c>
      <c r="G2" s="16"/>
      <c r="H2" s="17"/>
      <c r="I2" s="18"/>
      <c r="J2" s="18"/>
      <c r="K2" s="15"/>
    </row>
    <row r="3" spans="2:11" x14ac:dyDescent="0.25">
      <c r="B3" s="7">
        <v>1</v>
      </c>
      <c r="C3" s="23">
        <v>2014</v>
      </c>
      <c r="D3" s="29">
        <v>35726</v>
      </c>
      <c r="E3" s="6"/>
      <c r="G3" s="19"/>
      <c r="H3" s="20"/>
      <c r="I3" s="21"/>
      <c r="J3" s="22"/>
      <c r="K3" s="15"/>
    </row>
    <row r="4" spans="2:11" x14ac:dyDescent="0.25">
      <c r="B4" s="7">
        <f>B3+1</f>
        <v>2</v>
      </c>
      <c r="C4" s="23">
        <f>C3+1</f>
        <v>2015</v>
      </c>
      <c r="D4" s="29">
        <v>33593</v>
      </c>
      <c r="E4" s="6">
        <f>D3/D4-1</f>
        <v>6.3495371059446803E-2</v>
      </c>
      <c r="G4" s="19"/>
      <c r="H4" s="20"/>
      <c r="I4" s="21"/>
      <c r="J4" s="22"/>
      <c r="K4" s="15"/>
    </row>
    <row r="5" spans="2:11" x14ac:dyDescent="0.25">
      <c r="B5" s="7">
        <f>B4+1</f>
        <v>3</v>
      </c>
      <c r="C5" s="23">
        <f>C4+1</f>
        <v>2016</v>
      </c>
      <c r="D5" s="29">
        <v>29494</v>
      </c>
      <c r="E5" s="6">
        <f>D4/D5-1</f>
        <v>0.13897741913609551</v>
      </c>
      <c r="G5" s="19"/>
      <c r="H5" s="20"/>
      <c r="I5" s="21"/>
      <c r="J5" s="22"/>
      <c r="K5" s="15"/>
    </row>
    <row r="6" spans="2:11" x14ac:dyDescent="0.25">
      <c r="B6" s="7">
        <f>B5+1</f>
        <v>4</v>
      </c>
      <c r="C6" s="23">
        <f>C5+1</f>
        <v>2017</v>
      </c>
      <c r="D6" s="29">
        <v>27588</v>
      </c>
      <c r="E6" s="6">
        <f>D5/D6-1</f>
        <v>6.9088009279396845E-2</v>
      </c>
      <c r="G6" s="19"/>
      <c r="H6" s="20"/>
      <c r="I6" s="21"/>
      <c r="J6" s="22"/>
      <c r="K6" s="15"/>
    </row>
    <row r="7" spans="2:11" x14ac:dyDescent="0.25">
      <c r="B7" s="7">
        <f>B6+1</f>
        <v>5</v>
      </c>
      <c r="C7" s="23">
        <f>C6+1</f>
        <v>2018</v>
      </c>
      <c r="D7" s="29">
        <v>26840</v>
      </c>
      <c r="E7" s="6">
        <f>D6/D7-1</f>
        <v>2.7868852459016491E-2</v>
      </c>
      <c r="G7" s="19"/>
      <c r="H7" s="20"/>
      <c r="I7" s="21"/>
      <c r="J7" s="22"/>
      <c r="K7" s="15"/>
    </row>
    <row r="8" spans="2:11" x14ac:dyDescent="0.25">
      <c r="B8" s="7">
        <f>B7+1</f>
        <v>6</v>
      </c>
      <c r="C8" s="23">
        <f>C7+1</f>
        <v>2019</v>
      </c>
      <c r="D8" s="29">
        <v>29881</v>
      </c>
      <c r="E8" s="6">
        <f>D7/D8-1</f>
        <v>-0.10177035574445303</v>
      </c>
      <c r="G8" s="19"/>
      <c r="H8" s="20"/>
      <c r="I8" s="21"/>
      <c r="J8" s="22"/>
      <c r="K8" s="15"/>
    </row>
    <row r="9" spans="2:11" x14ac:dyDescent="0.25">
      <c r="B9" s="7">
        <f>B8+1</f>
        <v>7</v>
      </c>
      <c r="C9" s="23">
        <f>C8+1</f>
        <v>2020</v>
      </c>
      <c r="D9" s="29">
        <v>29136</v>
      </c>
      <c r="E9" s="6">
        <f>D8/D9-1</f>
        <v>2.5569741900054899E-2</v>
      </c>
      <c r="G9" s="19"/>
      <c r="H9" s="20"/>
      <c r="I9" s="21"/>
      <c r="J9" s="22"/>
      <c r="K9" s="15"/>
    </row>
    <row r="10" spans="2:11" x14ac:dyDescent="0.25">
      <c r="B10" s="7">
        <f>B9+1</f>
        <v>8</v>
      </c>
      <c r="C10" s="23">
        <f>C9+1</f>
        <v>2021</v>
      </c>
      <c r="D10" s="29">
        <v>32703</v>
      </c>
      <c r="E10" s="6">
        <f>D9/D10-1</f>
        <v>-0.1090725621502614</v>
      </c>
      <c r="G10" s="19"/>
      <c r="H10" s="20"/>
      <c r="I10" s="21"/>
      <c r="J10" s="22"/>
      <c r="K10" s="15"/>
    </row>
    <row r="11" spans="2:11" x14ac:dyDescent="0.25">
      <c r="B11" s="7">
        <f>B10+1</f>
        <v>9</v>
      </c>
      <c r="C11" s="23">
        <f>C10+1</f>
        <v>2022</v>
      </c>
      <c r="D11" s="29">
        <v>42816</v>
      </c>
      <c r="E11" s="6">
        <f>D10/D11-1</f>
        <v>-0.23619674887892372</v>
      </c>
      <c r="G11" s="19"/>
      <c r="H11" s="20"/>
      <c r="I11" s="21"/>
      <c r="J11" s="22"/>
      <c r="K11" s="15"/>
    </row>
    <row r="12" spans="2:11" x14ac:dyDescent="0.25">
      <c r="B12" s="7">
        <f>B11+1</f>
        <v>10</v>
      </c>
      <c r="C12" s="23">
        <f>C11+1</f>
        <v>2023</v>
      </c>
      <c r="D12" s="29">
        <v>55109</v>
      </c>
      <c r="E12" s="6">
        <f>D11/D12-1</f>
        <v>-0.22306701264766193</v>
      </c>
      <c r="G12" s="19"/>
      <c r="H12" s="20"/>
      <c r="I12" s="21"/>
      <c r="J12" s="22"/>
      <c r="K12" s="15"/>
    </row>
    <row r="13" spans="2:11" x14ac:dyDescent="0.25">
      <c r="B13" s="7">
        <f>B12+1</f>
        <v>11</v>
      </c>
      <c r="C13" s="23">
        <f>C12+1</f>
        <v>2024</v>
      </c>
      <c r="D13" s="29">
        <v>61449</v>
      </c>
      <c r="E13" s="6">
        <f>D12/D13-1</f>
        <v>-0.10317499064264679</v>
      </c>
      <c r="G13" s="19"/>
      <c r="H13" s="20"/>
      <c r="I13" s="21"/>
      <c r="J13" s="22"/>
      <c r="K13" s="15"/>
    </row>
    <row r="14" spans="2:11" x14ac:dyDescent="0.25">
      <c r="B14" s="7">
        <f>B13+1</f>
        <v>12</v>
      </c>
      <c r="C14" s="23">
        <f>C13+1</f>
        <v>2025</v>
      </c>
      <c r="D14" s="29">
        <v>65478</v>
      </c>
      <c r="E14" s="6">
        <f>D13/D14-1</f>
        <v>-6.153211765783928E-2</v>
      </c>
      <c r="G14" s="19"/>
      <c r="H14" s="20"/>
      <c r="I14" s="21"/>
      <c r="J14" s="22"/>
      <c r="K14" s="15"/>
    </row>
    <row r="15" spans="2:11" x14ac:dyDescent="0.25">
      <c r="B15" s="7">
        <f t="shared" ref="B15:B17" si="0">B14+1</f>
        <v>13</v>
      </c>
      <c r="C15" s="24">
        <f t="shared" ref="C15:C17" si="1">C14+1</f>
        <v>2026</v>
      </c>
      <c r="D15" s="30">
        <f>FORECAST(B15,$D$3:$D$14,$B$3:$B$14)</f>
        <v>58475.28787878788</v>
      </c>
      <c r="E15" s="6">
        <f t="shared" ref="E15:E19" si="2">D14/D15-1</f>
        <v>0.11975506876901387</v>
      </c>
      <c r="G15" t="s">
        <v>6</v>
      </c>
    </row>
    <row r="16" spans="2:11" ht="15.75" thickBot="1" x14ac:dyDescent="0.3">
      <c r="B16" s="7">
        <f t="shared" si="0"/>
        <v>14</v>
      </c>
      <c r="C16" s="24">
        <f t="shared" si="1"/>
        <v>2027</v>
      </c>
      <c r="D16" s="30">
        <f t="shared" ref="D16:D19" si="3">FORECAST(B16,$D$3:$D$14,$B$3:$B$14)</f>
        <v>61448.242424242431</v>
      </c>
      <c r="E16" s="6">
        <f t="shared" si="2"/>
        <v>-4.8381441489067978E-2</v>
      </c>
    </row>
    <row r="17" spans="2:15" x14ac:dyDescent="0.25">
      <c r="B17" s="7">
        <f t="shared" si="0"/>
        <v>15</v>
      </c>
      <c r="C17" s="24">
        <f t="shared" si="1"/>
        <v>2028</v>
      </c>
      <c r="D17" s="30">
        <f t="shared" si="3"/>
        <v>64421.196969696975</v>
      </c>
      <c r="E17" s="6">
        <f t="shared" si="2"/>
        <v>-4.6148700820523247E-2</v>
      </c>
      <c r="G17" s="28" t="s">
        <v>7</v>
      </c>
      <c r="H17" s="28"/>
    </row>
    <row r="18" spans="2:15" x14ac:dyDescent="0.25">
      <c r="B18" s="7">
        <f t="shared" ref="B18" si="4">B17+1</f>
        <v>16</v>
      </c>
      <c r="C18" s="24">
        <f t="shared" ref="C18" si="5">C17+1</f>
        <v>2029</v>
      </c>
      <c r="D18" s="30">
        <f t="shared" si="3"/>
        <v>67394.15151515152</v>
      </c>
      <c r="E18" s="6">
        <f t="shared" si="2"/>
        <v>-4.4112945687670879E-2</v>
      </c>
      <c r="G18" s="25" t="s">
        <v>8</v>
      </c>
      <c r="H18" s="25">
        <v>0.77443941707629904</v>
      </c>
    </row>
    <row r="19" spans="2:15" x14ac:dyDescent="0.25">
      <c r="B19" s="7">
        <f t="shared" ref="B19" si="6">B18+1</f>
        <v>17</v>
      </c>
      <c r="C19" s="24">
        <f t="shared" ref="C19" si="7">C18+1</f>
        <v>2030</v>
      </c>
      <c r="D19" s="30">
        <f t="shared" si="3"/>
        <v>70367.106060606064</v>
      </c>
      <c r="E19" s="6">
        <f t="shared" si="2"/>
        <v>-4.2249208641520486E-2</v>
      </c>
      <c r="G19" s="25" t="s">
        <v>9</v>
      </c>
      <c r="H19" s="25">
        <v>0.5997564107214779</v>
      </c>
    </row>
    <row r="20" spans="2:15" x14ac:dyDescent="0.25">
      <c r="B20" s="7"/>
      <c r="C20" s="11"/>
      <c r="E20" s="6"/>
      <c r="G20" s="25" t="s">
        <v>10</v>
      </c>
      <c r="H20" s="25">
        <v>0.55973205179362573</v>
      </c>
    </row>
    <row r="21" spans="2:15" x14ac:dyDescent="0.25">
      <c r="G21" s="25" t="s">
        <v>11</v>
      </c>
      <c r="H21" s="25">
        <v>9183.9821462218242</v>
      </c>
    </row>
    <row r="22" spans="2:15" ht="15.75" thickBot="1" x14ac:dyDescent="0.3">
      <c r="G22" s="26" t="s">
        <v>12</v>
      </c>
      <c r="H22" s="26">
        <v>12</v>
      </c>
    </row>
    <row r="24" spans="2:15" ht="15.75" thickBot="1" x14ac:dyDescent="0.3">
      <c r="G24" t="s">
        <v>13</v>
      </c>
    </row>
    <row r="25" spans="2:15" x14ac:dyDescent="0.25">
      <c r="G25" s="27"/>
      <c r="H25" s="27" t="s">
        <v>18</v>
      </c>
      <c r="I25" s="27" t="s">
        <v>19</v>
      </c>
      <c r="J25" s="27" t="s">
        <v>20</v>
      </c>
      <c r="K25" s="27" t="s">
        <v>21</v>
      </c>
      <c r="L25" s="27" t="s">
        <v>22</v>
      </c>
    </row>
    <row r="26" spans="2:15" x14ac:dyDescent="0.25">
      <c r="G26" s="25" t="s">
        <v>14</v>
      </c>
      <c r="H26" s="25">
        <v>1</v>
      </c>
      <c r="I26" s="25">
        <v>1263899598.2954545</v>
      </c>
      <c r="J26" s="25">
        <v>1263899598.2954545</v>
      </c>
      <c r="K26" s="25">
        <v>14.984784935658729</v>
      </c>
      <c r="L26" s="25">
        <v>3.1040056464328824E-3</v>
      </c>
    </row>
    <row r="27" spans="2:15" x14ac:dyDescent="0.25">
      <c r="G27" s="25" t="s">
        <v>15</v>
      </c>
      <c r="H27" s="25">
        <v>10</v>
      </c>
      <c r="I27" s="25">
        <v>843455280.62121212</v>
      </c>
      <c r="J27" s="25">
        <v>84345528.062121212</v>
      </c>
      <c r="K27" s="25"/>
      <c r="L27" s="25"/>
    </row>
    <row r="28" spans="2:15" ht="15.75" thickBot="1" x14ac:dyDescent="0.3">
      <c r="G28" s="26" t="s">
        <v>16</v>
      </c>
      <c r="H28" s="26">
        <v>11</v>
      </c>
      <c r="I28" s="26">
        <v>2107354878.9166665</v>
      </c>
      <c r="J28" s="26"/>
      <c r="K28" s="26"/>
      <c r="L28" s="26"/>
    </row>
    <row r="29" spans="2:15" ht="15.75" thickBot="1" x14ac:dyDescent="0.3"/>
    <row r="30" spans="2:15" x14ac:dyDescent="0.25">
      <c r="G30" s="27"/>
      <c r="H30" s="27" t="s">
        <v>23</v>
      </c>
      <c r="I30" s="27" t="s">
        <v>11</v>
      </c>
      <c r="J30" s="27" t="s">
        <v>24</v>
      </c>
      <c r="K30" s="27" t="s">
        <v>25</v>
      </c>
      <c r="L30" s="27" t="s">
        <v>26</v>
      </c>
      <c r="M30" s="27" t="s">
        <v>27</v>
      </c>
      <c r="N30" s="27" t="s">
        <v>28</v>
      </c>
      <c r="O30" s="27" t="s">
        <v>29</v>
      </c>
    </row>
    <row r="31" spans="2:15" x14ac:dyDescent="0.25">
      <c r="G31" s="25" t="s">
        <v>17</v>
      </c>
      <c r="H31" s="25">
        <v>19826.878787878788</v>
      </c>
      <c r="I31" s="25">
        <v>5652.3502775300831</v>
      </c>
      <c r="J31" s="25">
        <v>3.5077229496369027</v>
      </c>
      <c r="K31" s="25">
        <v>5.6531097757990144E-3</v>
      </c>
      <c r="L31" s="25">
        <v>7232.6575294786089</v>
      </c>
      <c r="M31" s="25">
        <v>32421.100046278967</v>
      </c>
      <c r="N31" s="25">
        <v>7232.6575294786089</v>
      </c>
      <c r="O31" s="25">
        <v>32421.100046278967</v>
      </c>
    </row>
    <row r="32" spans="2:15" ht="15.75" thickBot="1" x14ac:dyDescent="0.3">
      <c r="G32" s="26" t="s">
        <v>3</v>
      </c>
      <c r="H32" s="26">
        <v>2972.954545454546</v>
      </c>
      <c r="I32" s="26">
        <v>768.00316898257734</v>
      </c>
      <c r="J32" s="26">
        <v>3.8710185914896784</v>
      </c>
      <c r="K32" s="26">
        <v>3.1040056464328824E-3</v>
      </c>
      <c r="L32" s="26">
        <v>1261.7368461958854</v>
      </c>
      <c r="M32" s="26">
        <v>4684.172244713207</v>
      </c>
      <c r="N32" s="26">
        <v>1261.7368461958854</v>
      </c>
      <c r="O32" s="26">
        <v>4684.172244713207</v>
      </c>
    </row>
  </sheetData>
  <mergeCells count="2">
    <mergeCell ref="B1:E1"/>
    <mergeCell ref="G1:J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"/>
  <sheetViews>
    <sheetView showGridLines="0" tabSelected="1" workbookViewId="0">
      <selection activeCell="B2" sqref="B2:E2"/>
    </sheetView>
  </sheetViews>
  <sheetFormatPr defaultRowHeight="15" x14ac:dyDescent="0.25"/>
  <cols>
    <col min="1" max="1" width="1.85546875" style="1" customWidth="1"/>
    <col min="2" max="2" width="18.5703125" style="10" bestFit="1" customWidth="1"/>
    <col min="3" max="3" width="8.5703125" bestFit="1" customWidth="1"/>
    <col min="4" max="4" width="15.85546875" customWidth="1"/>
    <col min="5" max="5" width="12.7109375" bestFit="1" customWidth="1"/>
  </cols>
  <sheetData>
    <row r="1" spans="2:23" x14ac:dyDescent="0.25">
      <c r="B1" s="3" t="s">
        <v>5</v>
      </c>
      <c r="C1" s="3"/>
      <c r="D1" s="3"/>
      <c r="E1" s="3"/>
    </row>
    <row r="2" spans="2:23" x14ac:dyDescent="0.25">
      <c r="B2" s="8" t="s">
        <v>3</v>
      </c>
      <c r="C2" s="4" t="s">
        <v>2</v>
      </c>
      <c r="D2" s="5" t="s">
        <v>1</v>
      </c>
      <c r="E2" s="5" t="s">
        <v>0</v>
      </c>
    </row>
    <row r="3" spans="2:23" x14ac:dyDescent="0.25">
      <c r="B3" s="7">
        <v>1</v>
      </c>
      <c r="C3" s="23">
        <v>2014</v>
      </c>
      <c r="D3" s="31">
        <v>5175</v>
      </c>
      <c r="E3" s="6"/>
    </row>
    <row r="4" spans="2:23" x14ac:dyDescent="0.25">
      <c r="B4" s="7">
        <f>B3+1</f>
        <v>2</v>
      </c>
      <c r="C4" s="23">
        <f>C3+1</f>
        <v>2015</v>
      </c>
      <c r="D4" s="31">
        <v>6903</v>
      </c>
      <c r="E4" s="2">
        <f>D3/D4-1</f>
        <v>-0.25032594524119944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2:23" x14ac:dyDescent="0.25">
      <c r="B5" s="7">
        <f>B4+1</f>
        <v>3</v>
      </c>
      <c r="C5" s="23">
        <f>C4+1</f>
        <v>2016</v>
      </c>
      <c r="D5" s="31">
        <v>10299</v>
      </c>
      <c r="E5" s="2">
        <f>D4/D5-1</f>
        <v>-0.32974075152927473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2:23" x14ac:dyDescent="0.25">
      <c r="B6" s="7">
        <f>B5+1</f>
        <v>4</v>
      </c>
      <c r="C6" s="23">
        <f>C5+1</f>
        <v>2017</v>
      </c>
      <c r="D6" s="31">
        <v>10396</v>
      </c>
      <c r="E6" s="2">
        <f>D5/D6-1</f>
        <v>-9.3305117352827649E-3</v>
      </c>
    </row>
    <row r="7" spans="2:23" x14ac:dyDescent="0.25">
      <c r="B7" s="7">
        <f>B6+1</f>
        <v>5</v>
      </c>
      <c r="C7" s="23">
        <f>C6+1</f>
        <v>2018</v>
      </c>
      <c r="D7" s="31">
        <v>9593</v>
      </c>
      <c r="E7" s="2">
        <f>D6/D7-1</f>
        <v>8.3706869592411026E-2</v>
      </c>
    </row>
    <row r="8" spans="2:23" x14ac:dyDescent="0.25">
      <c r="B8" s="7">
        <f>B7+1</f>
        <v>6</v>
      </c>
      <c r="C8" s="23">
        <f>C7+1</f>
        <v>2019</v>
      </c>
      <c r="D8" s="31">
        <v>8201</v>
      </c>
      <c r="E8" s="2">
        <f>D7/D8-1</f>
        <v>0.1697353981221803</v>
      </c>
    </row>
    <row r="9" spans="2:23" x14ac:dyDescent="0.25">
      <c r="B9" s="7">
        <f>B8+1</f>
        <v>7</v>
      </c>
      <c r="C9" s="23">
        <f>C8+1</f>
        <v>2020</v>
      </c>
      <c r="D9" s="31">
        <v>7562</v>
      </c>
      <c r="E9" s="2">
        <f>D8/D9-1</f>
        <v>8.450145464162917E-2</v>
      </c>
    </row>
    <row r="10" spans="2:23" x14ac:dyDescent="0.25">
      <c r="B10" s="7">
        <f>B9+1</f>
        <v>8</v>
      </c>
      <c r="C10" s="23">
        <f>C9+1</f>
        <v>2021</v>
      </c>
      <c r="D10" s="31">
        <v>7934</v>
      </c>
      <c r="E10" s="2">
        <f>D9/D10-1</f>
        <v>-4.6886816233929873E-2</v>
      </c>
    </row>
    <row r="11" spans="2:23" x14ac:dyDescent="0.25">
      <c r="B11" s="7">
        <f>B10+1</f>
        <v>9</v>
      </c>
      <c r="C11" s="23">
        <f>C10+1</f>
        <v>2022</v>
      </c>
      <c r="D11" s="31">
        <v>7503</v>
      </c>
      <c r="E11" s="2">
        <f>D10/D11-1</f>
        <v>5.7443689190990188E-2</v>
      </c>
    </row>
    <row r="12" spans="2:23" x14ac:dyDescent="0.25">
      <c r="B12" s="7">
        <f>B11+1</f>
        <v>10</v>
      </c>
      <c r="C12" s="23">
        <f>C11+1</f>
        <v>2023</v>
      </c>
      <c r="D12" s="31">
        <v>7514</v>
      </c>
      <c r="E12" s="2">
        <f>D11/D12-1</f>
        <v>-1.4639339898855352E-3</v>
      </c>
    </row>
    <row r="13" spans="2:23" x14ac:dyDescent="0.25">
      <c r="B13" s="7">
        <f>B12+1</f>
        <v>11</v>
      </c>
      <c r="C13" s="23">
        <f>C12+1</f>
        <v>2024</v>
      </c>
      <c r="D13" s="31">
        <v>7893</v>
      </c>
      <c r="E13" s="2">
        <f>D12/D13-1</f>
        <v>-4.8017230457367277E-2</v>
      </c>
    </row>
    <row r="14" spans="2:23" x14ac:dyDescent="0.25">
      <c r="B14" s="7">
        <f>B13+1</f>
        <v>12</v>
      </c>
      <c r="C14" s="23">
        <f>C13+1</f>
        <v>2025</v>
      </c>
      <c r="D14" s="31">
        <v>7583</v>
      </c>
      <c r="E14" s="2">
        <f>D13/D14-1</f>
        <v>4.0880917842542441E-2</v>
      </c>
    </row>
    <row r="15" spans="2:23" x14ac:dyDescent="0.25">
      <c r="B15" s="7">
        <f>B14+1</f>
        <v>13</v>
      </c>
      <c r="C15" s="24">
        <f>C14+1</f>
        <v>2026</v>
      </c>
      <c r="D15" s="32">
        <f>FORECAST(B15,$D$3:$D$14,$B$3:$B$14)</f>
        <v>7951.378787878788</v>
      </c>
      <c r="E15" s="2">
        <f t="shared" ref="E15:E19" si="0">D14/D15-1</f>
        <v>-4.6328919512720335E-2</v>
      </c>
    </row>
    <row r="16" spans="2:23" x14ac:dyDescent="0.25">
      <c r="B16" s="7">
        <f t="shared" ref="B16:B19" si="1">B15+1</f>
        <v>14</v>
      </c>
      <c r="C16" s="24">
        <f t="shared" ref="C16:C19" si="2">C15+1</f>
        <v>2027</v>
      </c>
      <c r="D16" s="32">
        <f t="shared" ref="D16:D19" si="3">FORECAST(B16,$D$3:$D$14,$B$3:$B$14)</f>
        <v>7936.7703962703963</v>
      </c>
      <c r="E16" s="2">
        <f t="shared" si="0"/>
        <v>1.8405964742607139E-3</v>
      </c>
    </row>
    <row r="17" spans="2:5" x14ac:dyDescent="0.25">
      <c r="B17" s="7">
        <f t="shared" si="1"/>
        <v>15</v>
      </c>
      <c r="C17" s="24">
        <f t="shared" si="2"/>
        <v>2028</v>
      </c>
      <c r="D17" s="32">
        <f t="shared" si="3"/>
        <v>7922.1620046620046</v>
      </c>
      <c r="E17" s="2">
        <f t="shared" si="0"/>
        <v>1.8439905167042525E-3</v>
      </c>
    </row>
    <row r="18" spans="2:5" x14ac:dyDescent="0.25">
      <c r="B18" s="7">
        <f t="shared" si="1"/>
        <v>16</v>
      </c>
      <c r="C18" s="24">
        <f t="shared" si="2"/>
        <v>2029</v>
      </c>
      <c r="D18" s="32">
        <f t="shared" si="3"/>
        <v>7907.5536130536129</v>
      </c>
      <c r="E18" s="2">
        <f t="shared" si="0"/>
        <v>1.8473970994361544E-3</v>
      </c>
    </row>
    <row r="19" spans="2:5" x14ac:dyDescent="0.25">
      <c r="B19" s="7">
        <f t="shared" si="1"/>
        <v>17</v>
      </c>
      <c r="C19" s="24">
        <f t="shared" si="2"/>
        <v>2030</v>
      </c>
      <c r="D19" s="32">
        <f t="shared" si="3"/>
        <v>7892.9452214452213</v>
      </c>
      <c r="E19" s="2">
        <f t="shared" si="0"/>
        <v>1.8508162920858329E-3</v>
      </c>
    </row>
    <row r="20" spans="2:5" x14ac:dyDescent="0.25">
      <c r="B20" s="9"/>
      <c r="C20" s="6"/>
      <c r="D20" s="6"/>
      <c r="E20" s="6"/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Tata Power</vt:lpstr>
      <vt:lpstr>Reliance 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2025-11-12T04:45:48Z</dcterms:modified>
</cp:coreProperties>
</file>